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activeX/activeX21.xml" ContentType="application/vnd.ms-office.activeX+xml"/>
  <Override PartName="/xl/activeX/activeX21.bin" ContentType="application/vnd.ms-office.activeX"/>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drawings/drawing3.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TRANSFERENCIAS\"/>
    </mc:Choice>
  </mc:AlternateContent>
  <bookViews>
    <workbookView xWindow="240" yWindow="37920" windowWidth="15480" windowHeight="8565"/>
  </bookViews>
  <sheets>
    <sheet name="TRANSFERENCIA" sheetId="1" r:id="rId1"/>
    <sheet name="Form" sheetId="21" state="hidden" r:id="rId2"/>
    <sheet name="DUE" sheetId="19" state="hidden" r:id="rId3"/>
    <sheet name="US" sheetId="17" state="veryHidden" r:id="rId4"/>
    <sheet name="PATH" sheetId="13" state="hidden" r:id="rId5"/>
    <sheet name="DATOS" sheetId="3" state="hidden" r:id="rId6"/>
    <sheet name="REPETIDO" sheetId="4" state="hidden" r:id="rId7"/>
    <sheet name="USER" sheetId="18" state="hidden" r:id="rId8"/>
    <sheet name="CUBICAJE" sheetId="5" state="hidden" r:id="rId9"/>
    <sheet name="RECETAS" sheetId="7" state="hidden" r:id="rId10"/>
    <sheet name="ASIGNACION" sheetId="8" state="hidden" r:id="rId11"/>
    <sheet name="MPyPT" sheetId="9" state="hidden" r:id="rId12"/>
    <sheet name="Causas" sheetId="10" state="hidden" r:id="rId13"/>
    <sheet name="IMPRESION" sheetId="11" state="hidden" r:id="rId14"/>
    <sheet name="CriteriosFiltros" sheetId="12" state="hidden" r:id="rId15"/>
    <sheet name="CONSOLIDADOS" sheetId="15" state="hidden" r:id="rId16"/>
    <sheet name="v_buffer_hist_hoy" sheetId="20" state="hidden" r:id="rId17"/>
    <sheet name="CONSUMO" sheetId="16" state="hidden" r:id="rId18"/>
  </sheets>
  <functionGroups builtInGroupCount="18"/>
  <externalReferences>
    <externalReference r:id="rId19"/>
    <externalReference r:id="rId20"/>
  </externalReferences>
  <definedNames>
    <definedName name="_cmdAnadeRegistro_Range" localSheetId="0" hidden="1">{18.75,364.5,TRUE,3,2.25,15}</definedName>
    <definedName name="_cmdAscendente_Range" localSheetId="0" hidden="1">{18.75,300.75,TRUE,3,2.25,13.5}</definedName>
    <definedName name="_cmdBorraRegistro_Range" localSheetId="0" hidden="1">{18.75,351,TRUE,3,2.25,15}</definedName>
    <definedName name="_cmdBuscaItem_Range" localSheetId="0" hidden="1">{21,0,TRUE,3,2.25,21.75}</definedName>
    <definedName name="_cmdCambiarPropiedad_Range" localSheetId="0" hidden="1">{21,106.5,TRUE,3,26.25,51.75}</definedName>
    <definedName name="_cmdCancelar_Range" localSheetId="0" hidden="1">{21,54,TRUE,3,26.25,51.75}</definedName>
    <definedName name="_cmdConfirmar_Range" localSheetId="0" hidden="1">{21,1.5,TRUE,3,26.25,51.75}</definedName>
    <definedName name="_cmdConsumo_Range" localSheetId="0" hidden="1">{21,21,TRUE,1,2.25,21}</definedName>
    <definedName name="_cmdDarDeBaja_Range" localSheetId="0" hidden="1">{21,88.5,TRUE,3,2.25,31.5}</definedName>
    <definedName name="_cmdDescendente_Range" localSheetId="0" hidden="1">{18.75,315,TRUE,3,2.25,13.5}</definedName>
    <definedName name="_cmdFechaArribo_Range" localSheetId="0" hidden="1">{16.5,331.5,TRUE,2,111.75,12.75}</definedName>
    <definedName name="_cmdFechaCierre_Range" localSheetId="0" hidden="1">{16.5,531.75,TRUE,2,50.25,14.25}</definedName>
    <definedName name="_cmdImprimir_Range" localSheetId="0" hidden="1">{21,119.25,TRUE,3,2.25,29.25}</definedName>
    <definedName name="_cmdLlenarTransfer_Range" localSheetId="0" hidden="1">{21,677.25,TRUE,3,21.75,71.25}</definedName>
    <definedName name="_cmdLlenarTransferEspecial_Range" localSheetId="0" hidden="1">{21,628.5,TRUE,3,21.75,82.5}</definedName>
    <definedName name="_cmdMRP_Range" localSheetId="0" hidden="1">{21,148.5,TRUE,3,2.25,27}</definedName>
    <definedName name="_cmdOrdenamientoMultiple_Range" localSheetId="0" hidden="1">{18.75,330,TRUE,3,2.25,20.25}</definedName>
    <definedName name="_cmdQuitaFiltros_Range" localSheetId="0" hidden="1">{19.5,282,TRUE,3,2.25,18}</definedName>
    <definedName name="_cmdRefrescar_Range" localSheetId="0" hidden="1">{21,65.25,TRUE,3,2.25,20.25}</definedName>
    <definedName name="_cmdVistas_Range" localSheetId="0" hidden="1">{21,42,TRUE,3,2.25,23.25}</definedName>
    <definedName name="_xlnm._FilterDatabase" localSheetId="0" hidden="1">TRANSFERENCIA!$A$8:$BU$50</definedName>
    <definedName name="_txtBusqueda_Range" localSheetId="0" hidden="1">{22.5,176.25,TRUE,3,2.25,105.75}</definedName>
    <definedName name="BODEGAS">[1]!Tabla_EmpresaBodega[BODEGA]</definedName>
    <definedName name="CODTRANSFERENCIA">TRANSFERENCIA!$B$2</definedName>
    <definedName name="Consulta_desde_Central_Control_Buffers" localSheetId="4" hidden="1">PATH!$G$1:$I$2</definedName>
    <definedName name="Consulta_desde_DatosConsolidados" localSheetId="4" hidden="1">PATH!$A$1:$D$2</definedName>
    <definedName name="Consulta_desde_ODBC_MySQL_en_AGROTA" localSheetId="12" hidden="1">Causas!$A$1:$A$4</definedName>
    <definedName name="Consulta_desde_ODBC_RAMCAS1" localSheetId="4" hidden="1">PATH!$K$1:$M$2</definedName>
    <definedName name="Consulta_desde_ODBC_RAMCAS1_1" localSheetId="4" hidden="1">PATH!$Q$1:$R$3</definedName>
    <definedName name="Consulta_desde_ODBC_RAMCAS1_2" localSheetId="4" hidden="1">PATH!$T$1:$W$111</definedName>
    <definedName name="Consulta_desde_REPORTES_en_Access" localSheetId="11" hidden="1">MPyPT!$A$1:$B$745</definedName>
    <definedName name="Consulta_desde_REPORTES_en_Access" localSheetId="9" hidden="1">RECETAS!$A$1:$G$24</definedName>
    <definedName name="DESTINO">TRANSFERENCIA!$B$4</definedName>
    <definedName name="EMPRESA" comment="Rango que se utiliza para llenar el combobox donde se elije en qué empresa se está trabajando." localSheetId="4">[1]!Tabla_EMPRESA[NombreEmpresa]</definedName>
    <definedName name="EMPRESA">DATOS!$A$7</definedName>
    <definedName name="FaltaCausa">Causas!$D$2</definedName>
    <definedName name="FECHAARRIBO">TRANSFERENCIA!$B$6</definedName>
    <definedName name="FECHACIERRE">TRANSFERENCIA!$D$3</definedName>
    <definedName name="FECHANOMBRE">DATOS!$A$1</definedName>
    <definedName name="FECHAORIGEN">TRANSFERENCIA!$D$2</definedName>
    <definedName name="ImprEmpresa">IMPRESION!$B$2</definedName>
    <definedName name="ImprFecha">IMPRESION!$B$3</definedName>
    <definedName name="INI_PERIODO">TABLATRANSFERENCIA[[#Headers],[2016-5]]</definedName>
    <definedName name="INICIO">TABLATRANSFERENCIA[[#Headers],[CODIGO]]</definedName>
    <definedName name="ItemsSeleccionados">[1]!tblItemsSeleccionados[#Data]</definedName>
    <definedName name="Observacion">TRANSFERENCIA!$B$7</definedName>
    <definedName name="ORIGEN">TRANSFERENCIA!$B$3</definedName>
    <definedName name="PATH">[1]!ARCHIVOSCB[PATH]</definedName>
    <definedName name="PATHTRANSFERENCIA">DATOS!$A$3</definedName>
    <definedName name="PERSONA">DUE!$A$1</definedName>
    <definedName name="RangoCausas">Tabla_Causas[Causa]</definedName>
    <definedName name="RangoLlenadoTipoMP">OFFSET(TIPO,2,0,COUNTA(ASIGNACION!$A:$A)-3,1)</definedName>
    <definedName name="REFERENCIA">TRANSFERENCIA!$B$5</definedName>
    <definedName name="TABLA" localSheetId="4">OFFSET([0]!INICIO,0,0,COUNTA([2]TRANSFERENCIA!$A:$A)-4,COUNTA([2]TRANSFERENCIA!$8:$8))</definedName>
    <definedName name="TABLA">TRANSFERENCIA!$A$8:$BU$50</definedName>
    <definedName name="TIPO">ASIGNACION!$D$3</definedName>
    <definedName name="TIPO_TRANSFER">DUE!$A$3</definedName>
    <definedName name="TipoMateriaPrima">OFFSET(TIPO,2,0,COUNTA(ASIGNACION!$D:$D)-2,1)</definedName>
    <definedName name="Trans_Dada_Baja" comment="Sitio donde se almacena el path completo de la transferencia dada de baja recientemente">[1]AUX!$B$1</definedName>
    <definedName name="US">USER!$A$1</definedName>
    <definedName name="USER">US!$A$1</definedName>
    <definedName name="VALORTOTAL">TRANSFERENCIA!$D$5</definedName>
  </definedNames>
  <calcPr calcId="152511"/>
  <pivotCaches>
    <pivotCache cacheId="50" r:id="rId21"/>
  </pivotCaches>
</workbook>
</file>

<file path=xl/calcChain.xml><?xml version="1.0" encoding="utf-8"?>
<calcChain xmlns="http://schemas.openxmlformats.org/spreadsheetml/2006/main">
  <c r="G2" i="16" l="1"/>
  <c r="G3" i="16"/>
  <c r="G4" i="16"/>
  <c r="G5" i="16"/>
  <c r="G6" i="16"/>
  <c r="D1026" i="16"/>
  <c r="D1027" i="16"/>
  <c r="D1028" i="16"/>
  <c r="D1029" i="16"/>
  <c r="D1030" i="16"/>
  <c r="D1031" i="16"/>
  <c r="D1032" i="16"/>
  <c r="D1033" i="16"/>
  <c r="D1034" i="16"/>
  <c r="D1035" i="16"/>
  <c r="D1036" i="16"/>
  <c r="D1037" i="16"/>
  <c r="D1038" i="16"/>
  <c r="D1039" i="16"/>
  <c r="D1040" i="16"/>
  <c r="D1041" i="16"/>
  <c r="D1042" i="16"/>
  <c r="D1043" i="16"/>
  <c r="D1044" i="16"/>
  <c r="D1045" i="16"/>
  <c r="D1046" i="16"/>
  <c r="D1047" i="16"/>
  <c r="D1048" i="16"/>
  <c r="D1049" i="16"/>
  <c r="D1050" i="16"/>
  <c r="D1051" i="16"/>
  <c r="D1052" i="16"/>
  <c r="D1053" i="16"/>
  <c r="D770" i="16"/>
  <c r="D771" i="16"/>
  <c r="D772" i="16"/>
  <c r="D773" i="16"/>
  <c r="D774" i="16"/>
  <c r="D775" i="16"/>
  <c r="D776" i="16"/>
  <c r="D777" i="16"/>
  <c r="D778" i="16"/>
  <c r="D779" i="16"/>
  <c r="D780" i="16"/>
  <c r="D781" i="16"/>
  <c r="D782" i="16"/>
  <c r="D783" i="16"/>
  <c r="D784" i="16"/>
  <c r="D785" i="16"/>
  <c r="D786" i="16"/>
  <c r="D787" i="16"/>
  <c r="D788" i="16"/>
  <c r="D789" i="16"/>
  <c r="D790" i="16"/>
  <c r="D791" i="16"/>
  <c r="D792" i="16"/>
  <c r="D793" i="16"/>
  <c r="D794" i="16"/>
  <c r="D795" i="16"/>
  <c r="D796" i="16"/>
  <c r="D797" i="16"/>
  <c r="D798" i="16"/>
  <c r="D799" i="16"/>
  <c r="D800" i="16"/>
  <c r="D801" i="16"/>
  <c r="D802" i="16"/>
  <c r="D803" i="16"/>
  <c r="D804" i="16"/>
  <c r="D805" i="16"/>
  <c r="D806" i="16"/>
  <c r="D807" i="16"/>
  <c r="D808" i="16"/>
  <c r="D809" i="16"/>
  <c r="D810" i="16"/>
  <c r="D811" i="16"/>
  <c r="D812" i="16"/>
  <c r="D813" i="16"/>
  <c r="D814" i="16"/>
  <c r="D815" i="16"/>
  <c r="D816" i="16"/>
  <c r="D817" i="16"/>
  <c r="D818" i="16"/>
  <c r="D819" i="16"/>
  <c r="D820" i="16"/>
  <c r="D821" i="16"/>
  <c r="D822" i="16"/>
  <c r="D823" i="16"/>
  <c r="D824" i="16"/>
  <c r="D825" i="16"/>
  <c r="D826" i="16"/>
  <c r="D827" i="16"/>
  <c r="D828" i="16"/>
  <c r="D829" i="16"/>
  <c r="D830" i="16"/>
  <c r="D831" i="16"/>
  <c r="D832" i="16"/>
  <c r="D833" i="16"/>
  <c r="D834" i="16"/>
  <c r="D835" i="16"/>
  <c r="D836" i="16"/>
  <c r="D837" i="16"/>
  <c r="D838" i="16"/>
  <c r="D839" i="16"/>
  <c r="D840" i="16"/>
  <c r="D841" i="16"/>
  <c r="D842" i="16"/>
  <c r="D843" i="16"/>
  <c r="D844" i="16"/>
  <c r="D845" i="16"/>
  <c r="D846" i="16"/>
  <c r="D847" i="16"/>
  <c r="D848" i="16"/>
  <c r="D849" i="16"/>
  <c r="D850" i="16"/>
  <c r="D851" i="16"/>
  <c r="D852" i="16"/>
  <c r="D853" i="16"/>
  <c r="D854" i="16"/>
  <c r="D855" i="16"/>
  <c r="D856" i="16"/>
  <c r="D857" i="16"/>
  <c r="D858" i="16"/>
  <c r="D859" i="16"/>
  <c r="D860" i="16"/>
  <c r="D861" i="16"/>
  <c r="D862" i="16"/>
  <c r="D863" i="16"/>
  <c r="D864" i="16"/>
  <c r="D865" i="16"/>
  <c r="D866" i="16"/>
  <c r="D867" i="16"/>
  <c r="D868" i="16"/>
  <c r="D869" i="16"/>
  <c r="D870" i="16"/>
  <c r="D871" i="16"/>
  <c r="D872" i="16"/>
  <c r="D873" i="16"/>
  <c r="D874" i="16"/>
  <c r="D875" i="16"/>
  <c r="D876" i="16"/>
  <c r="D877" i="16"/>
  <c r="D878" i="16"/>
  <c r="D879" i="16"/>
  <c r="D880" i="16"/>
  <c r="D881" i="16"/>
  <c r="D882" i="16"/>
  <c r="D883" i="16"/>
  <c r="D884" i="16"/>
  <c r="D885" i="16"/>
  <c r="D886" i="16"/>
  <c r="D887" i="16"/>
  <c r="D888" i="16"/>
  <c r="D889" i="16"/>
  <c r="D890" i="16"/>
  <c r="D891" i="16"/>
  <c r="D892" i="16"/>
  <c r="D893" i="16"/>
  <c r="D894" i="16"/>
  <c r="D895" i="16"/>
  <c r="D896" i="16"/>
  <c r="D897" i="16"/>
  <c r="D898" i="16"/>
  <c r="D899" i="16"/>
  <c r="D900" i="16"/>
  <c r="D901" i="16"/>
  <c r="D902" i="16"/>
  <c r="D903" i="16"/>
  <c r="D904" i="16"/>
  <c r="D905" i="16"/>
  <c r="D906" i="16"/>
  <c r="D907" i="16"/>
  <c r="D908" i="16"/>
  <c r="D909" i="16"/>
  <c r="D910" i="16"/>
  <c r="D911" i="16"/>
  <c r="D912" i="16"/>
  <c r="D913" i="16"/>
  <c r="D914" i="16"/>
  <c r="D915" i="16"/>
  <c r="D916" i="16"/>
  <c r="D917" i="16"/>
  <c r="D918" i="16"/>
  <c r="D919" i="16"/>
  <c r="D920" i="16"/>
  <c r="D921" i="16"/>
  <c r="D922" i="16"/>
  <c r="D923" i="16"/>
  <c r="D924" i="16"/>
  <c r="D925" i="16"/>
  <c r="D926" i="16"/>
  <c r="D927" i="16"/>
  <c r="D928" i="16"/>
  <c r="D929" i="16"/>
  <c r="D930" i="16"/>
  <c r="D931" i="16"/>
  <c r="D932" i="16"/>
  <c r="D933" i="16"/>
  <c r="D934" i="16"/>
  <c r="D935" i="16"/>
  <c r="D936" i="16"/>
  <c r="D937" i="16"/>
  <c r="D938" i="16"/>
  <c r="D939" i="16"/>
  <c r="D940" i="16"/>
  <c r="D941" i="16"/>
  <c r="D942" i="16"/>
  <c r="D943" i="16"/>
  <c r="D944" i="16"/>
  <c r="D945" i="16"/>
  <c r="D946" i="16"/>
  <c r="D947" i="16"/>
  <c r="D948" i="16"/>
  <c r="D949" i="16"/>
  <c r="D950" i="16"/>
  <c r="D951" i="16"/>
  <c r="D952" i="16"/>
  <c r="D953" i="16"/>
  <c r="D954" i="16"/>
  <c r="D955" i="16"/>
  <c r="D956" i="16"/>
  <c r="D957" i="16"/>
  <c r="D958" i="16"/>
  <c r="D959" i="16"/>
  <c r="D960" i="16"/>
  <c r="D961" i="16"/>
  <c r="D962" i="16"/>
  <c r="D963" i="16"/>
  <c r="D964" i="16"/>
  <c r="D965" i="16"/>
  <c r="D966" i="16"/>
  <c r="D967" i="16"/>
  <c r="D968" i="16"/>
  <c r="D969" i="16"/>
  <c r="D970" i="16"/>
  <c r="D971" i="16"/>
  <c r="D972" i="16"/>
  <c r="D973" i="16"/>
  <c r="D974" i="16"/>
  <c r="D975" i="16"/>
  <c r="D976" i="16"/>
  <c r="D977" i="16"/>
  <c r="D978" i="16"/>
  <c r="D979" i="16"/>
  <c r="D980" i="16"/>
  <c r="D981" i="16"/>
  <c r="D982" i="16"/>
  <c r="D983" i="16"/>
  <c r="D984" i="16"/>
  <c r="D985" i="16"/>
  <c r="D986" i="16"/>
  <c r="D987" i="16"/>
  <c r="D988" i="16"/>
  <c r="D989" i="16"/>
  <c r="D990" i="16"/>
  <c r="D991" i="16"/>
  <c r="D992" i="16"/>
  <c r="D993" i="16"/>
  <c r="D994" i="16"/>
  <c r="D995" i="16"/>
  <c r="D996" i="16"/>
  <c r="D997" i="16"/>
  <c r="D998" i="16"/>
  <c r="D999" i="16"/>
  <c r="D1000" i="16"/>
  <c r="D1001" i="16"/>
  <c r="D1002" i="16"/>
  <c r="D1003" i="16"/>
  <c r="D1004" i="16"/>
  <c r="D1005" i="16"/>
  <c r="D1006" i="16"/>
  <c r="D1007" i="16"/>
  <c r="D1008" i="16"/>
  <c r="D1009" i="16"/>
  <c r="D1010" i="16"/>
  <c r="D1011" i="16"/>
  <c r="D1012" i="16"/>
  <c r="D1013" i="16"/>
  <c r="D1014" i="16"/>
  <c r="D1015" i="16"/>
  <c r="D1016" i="16"/>
  <c r="D1017" i="16"/>
  <c r="D1018" i="16"/>
  <c r="D1019" i="16"/>
  <c r="D1020" i="16"/>
  <c r="D1021" i="16"/>
  <c r="D1022" i="16"/>
  <c r="D1023" i="16"/>
  <c r="D1024" i="16"/>
  <c r="D1025" i="16"/>
  <c r="D514" i="16"/>
  <c r="D515" i="16"/>
  <c r="D516" i="16"/>
  <c r="D517" i="16"/>
  <c r="D518" i="16"/>
  <c r="D519" i="16"/>
  <c r="D520" i="16"/>
  <c r="D521" i="16"/>
  <c r="D522" i="16"/>
  <c r="D523" i="16"/>
  <c r="D524" i="16"/>
  <c r="D525" i="16"/>
  <c r="D526" i="16"/>
  <c r="D527" i="16"/>
  <c r="D528" i="16"/>
  <c r="D529" i="16"/>
  <c r="D530" i="16"/>
  <c r="D531" i="16"/>
  <c r="D532" i="16"/>
  <c r="D533" i="16"/>
  <c r="D534" i="16"/>
  <c r="D535" i="16"/>
  <c r="D536" i="16"/>
  <c r="D537" i="16"/>
  <c r="D538" i="16"/>
  <c r="D539" i="16"/>
  <c r="D540" i="16"/>
  <c r="D541" i="16"/>
  <c r="D542" i="16"/>
  <c r="D543" i="16"/>
  <c r="D544" i="16"/>
  <c r="D545" i="16"/>
  <c r="D546" i="16"/>
  <c r="D547" i="16"/>
  <c r="D548" i="16"/>
  <c r="D549" i="16"/>
  <c r="D550" i="16"/>
  <c r="D551" i="16"/>
  <c r="D552" i="16"/>
  <c r="D553" i="16"/>
  <c r="D554" i="16"/>
  <c r="D555" i="16"/>
  <c r="D556" i="16"/>
  <c r="D557" i="16"/>
  <c r="D558" i="16"/>
  <c r="D559" i="16"/>
  <c r="D560" i="16"/>
  <c r="D561" i="16"/>
  <c r="D562" i="16"/>
  <c r="D563" i="16"/>
  <c r="D564" i="16"/>
  <c r="D565" i="16"/>
  <c r="D566" i="16"/>
  <c r="D567" i="16"/>
  <c r="D568" i="16"/>
  <c r="D569" i="16"/>
  <c r="D570" i="16"/>
  <c r="D571" i="16"/>
  <c r="D572" i="16"/>
  <c r="D573" i="16"/>
  <c r="D574" i="16"/>
  <c r="D575" i="16"/>
  <c r="D576" i="16"/>
  <c r="D577" i="16"/>
  <c r="D578" i="16"/>
  <c r="D579" i="16"/>
  <c r="D580" i="16"/>
  <c r="D581" i="16"/>
  <c r="D582" i="16"/>
  <c r="D583" i="16"/>
  <c r="D584" i="16"/>
  <c r="D585" i="16"/>
  <c r="D586" i="16"/>
  <c r="D587" i="16"/>
  <c r="D588" i="16"/>
  <c r="D589" i="16"/>
  <c r="D590" i="16"/>
  <c r="D591" i="16"/>
  <c r="D592" i="16"/>
  <c r="D593" i="16"/>
  <c r="D594" i="16"/>
  <c r="D595" i="16"/>
  <c r="D596" i="16"/>
  <c r="D597" i="16"/>
  <c r="D598" i="16"/>
  <c r="D599" i="16"/>
  <c r="D600" i="16"/>
  <c r="D601" i="16"/>
  <c r="D602" i="16"/>
  <c r="D603" i="16"/>
  <c r="D604" i="16"/>
  <c r="D605" i="16"/>
  <c r="D606" i="16"/>
  <c r="D607" i="16"/>
  <c r="D608" i="16"/>
  <c r="D609" i="16"/>
  <c r="D610" i="16"/>
  <c r="D611" i="16"/>
  <c r="D612" i="16"/>
  <c r="D613" i="16"/>
  <c r="D614" i="16"/>
  <c r="D615" i="16"/>
  <c r="D616" i="16"/>
  <c r="D617" i="16"/>
  <c r="D618" i="16"/>
  <c r="D619" i="16"/>
  <c r="D620" i="16"/>
  <c r="D621" i="16"/>
  <c r="D622" i="16"/>
  <c r="D623" i="16"/>
  <c r="D624" i="16"/>
  <c r="D625" i="16"/>
  <c r="D626" i="16"/>
  <c r="D627" i="16"/>
  <c r="D628" i="16"/>
  <c r="D629" i="16"/>
  <c r="D630" i="16"/>
  <c r="D631" i="16"/>
  <c r="D632" i="16"/>
  <c r="D633" i="16"/>
  <c r="D634" i="16"/>
  <c r="D635" i="16"/>
  <c r="D636" i="16"/>
  <c r="D637" i="16"/>
  <c r="D638" i="16"/>
  <c r="D639" i="16"/>
  <c r="D640" i="16"/>
  <c r="D641" i="16"/>
  <c r="D642" i="16"/>
  <c r="D643" i="16"/>
  <c r="D644" i="16"/>
  <c r="D645" i="16"/>
  <c r="D646" i="16"/>
  <c r="D647" i="16"/>
  <c r="D648" i="16"/>
  <c r="D649" i="16"/>
  <c r="D650" i="16"/>
  <c r="D651" i="16"/>
  <c r="D652" i="16"/>
  <c r="D653" i="16"/>
  <c r="D654" i="16"/>
  <c r="D655" i="16"/>
  <c r="D656" i="16"/>
  <c r="D657" i="16"/>
  <c r="D658" i="16"/>
  <c r="D659" i="16"/>
  <c r="D660" i="16"/>
  <c r="D661" i="16"/>
  <c r="D662" i="16"/>
  <c r="D663" i="16"/>
  <c r="D664" i="16"/>
  <c r="D665" i="16"/>
  <c r="D666" i="16"/>
  <c r="D667" i="16"/>
  <c r="D668" i="16"/>
  <c r="D669" i="16"/>
  <c r="D670" i="16"/>
  <c r="D671" i="16"/>
  <c r="D672" i="16"/>
  <c r="D673" i="16"/>
  <c r="D674" i="16"/>
  <c r="D675" i="16"/>
  <c r="D676" i="16"/>
  <c r="D677" i="16"/>
  <c r="D678" i="16"/>
  <c r="D679" i="16"/>
  <c r="D680" i="16"/>
  <c r="D681" i="16"/>
  <c r="D682" i="16"/>
  <c r="D683" i="16"/>
  <c r="D684" i="16"/>
  <c r="D685" i="16"/>
  <c r="D686" i="16"/>
  <c r="D687" i="16"/>
  <c r="D688" i="16"/>
  <c r="D689" i="16"/>
  <c r="D690" i="16"/>
  <c r="D691" i="16"/>
  <c r="D692" i="16"/>
  <c r="D693" i="16"/>
  <c r="D694" i="16"/>
  <c r="D695" i="16"/>
  <c r="D696" i="16"/>
  <c r="D697" i="16"/>
  <c r="D698" i="16"/>
  <c r="D699" i="16"/>
  <c r="D700" i="16"/>
  <c r="D701" i="16"/>
  <c r="D702" i="16"/>
  <c r="D703" i="16"/>
  <c r="D704" i="16"/>
  <c r="D705" i="16"/>
  <c r="D706" i="16"/>
  <c r="D707" i="16"/>
  <c r="D708" i="16"/>
  <c r="D709" i="16"/>
  <c r="D710" i="16"/>
  <c r="D711" i="16"/>
  <c r="D712" i="16"/>
  <c r="D713" i="16"/>
  <c r="D714" i="16"/>
  <c r="D715" i="16"/>
  <c r="D716" i="16"/>
  <c r="D717" i="16"/>
  <c r="D718" i="16"/>
  <c r="D719" i="16"/>
  <c r="D720" i="16"/>
  <c r="D721" i="16"/>
  <c r="D722" i="16"/>
  <c r="D723" i="16"/>
  <c r="D724" i="16"/>
  <c r="D725" i="16"/>
  <c r="D726" i="16"/>
  <c r="D727" i="16"/>
  <c r="D728" i="16"/>
  <c r="D729" i="16"/>
  <c r="D730" i="16"/>
  <c r="D731" i="16"/>
  <c r="D732" i="16"/>
  <c r="D733" i="16"/>
  <c r="D734" i="16"/>
  <c r="D735" i="16"/>
  <c r="D736" i="16"/>
  <c r="D737" i="16"/>
  <c r="D738" i="16"/>
  <c r="D739" i="16"/>
  <c r="D740" i="16"/>
  <c r="D741" i="16"/>
  <c r="D742" i="16"/>
  <c r="D743" i="16"/>
  <c r="D744" i="16"/>
  <c r="D745" i="16"/>
  <c r="D746" i="16"/>
  <c r="D747" i="16"/>
  <c r="D748" i="16"/>
  <c r="D749" i="16"/>
  <c r="D750" i="16"/>
  <c r="D751" i="16"/>
  <c r="D752" i="16"/>
  <c r="D753" i="16"/>
  <c r="D754" i="16"/>
  <c r="D755" i="16"/>
  <c r="D756" i="16"/>
  <c r="D757" i="16"/>
  <c r="D758" i="16"/>
  <c r="D759" i="16"/>
  <c r="D760" i="16"/>
  <c r="D761" i="16"/>
  <c r="D762" i="16"/>
  <c r="D763" i="16"/>
  <c r="D764" i="16"/>
  <c r="D765" i="16"/>
  <c r="D766" i="16"/>
  <c r="D767" i="16"/>
  <c r="D768" i="16"/>
  <c r="D769"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322" i="16"/>
  <c r="D323" i="16"/>
  <c r="D324" i="16"/>
  <c r="D325" i="16"/>
  <c r="D326" i="16"/>
  <c r="D327" i="16"/>
  <c r="D328" i="16"/>
  <c r="D329" i="16"/>
  <c r="D330" i="16"/>
  <c r="D331" i="16"/>
  <c r="D332" i="16"/>
  <c r="D333" i="16"/>
  <c r="D334" i="16"/>
  <c r="D335" i="16"/>
  <c r="D336" i="16"/>
  <c r="D337" i="16"/>
  <c r="D338" i="16"/>
  <c r="D339" i="16"/>
  <c r="D340" i="16"/>
  <c r="D341" i="16"/>
  <c r="D342" i="16"/>
  <c r="D343" i="16"/>
  <c r="D344" i="16"/>
  <c r="D345" i="16"/>
  <c r="D346" i="16"/>
  <c r="D347" i="16"/>
  <c r="D348" i="16"/>
  <c r="D349" i="16"/>
  <c r="D350" i="16"/>
  <c r="D351" i="16"/>
  <c r="D352" i="16"/>
  <c r="D353" i="16"/>
  <c r="D354" i="16"/>
  <c r="D355" i="16"/>
  <c r="D356" i="16"/>
  <c r="D357" i="16"/>
  <c r="D358" i="16"/>
  <c r="D359" i="16"/>
  <c r="D360" i="16"/>
  <c r="D361" i="16"/>
  <c r="D362" i="16"/>
  <c r="D363" i="16"/>
  <c r="D364" i="16"/>
  <c r="D365" i="16"/>
  <c r="D366" i="16"/>
  <c r="D367" i="16"/>
  <c r="D368" i="16"/>
  <c r="D369" i="16"/>
  <c r="D370" i="16"/>
  <c r="D371" i="16"/>
  <c r="D372" i="16"/>
  <c r="D373" i="16"/>
  <c r="D374" i="16"/>
  <c r="D375" i="16"/>
  <c r="D376" i="16"/>
  <c r="D377" i="16"/>
  <c r="D378" i="16"/>
  <c r="D379" i="16"/>
  <c r="D380" i="16"/>
  <c r="D381" i="16"/>
  <c r="D382" i="16"/>
  <c r="D383" i="16"/>
  <c r="D384" i="16"/>
  <c r="D385" i="16"/>
  <c r="D386" i="16"/>
  <c r="D387" i="16"/>
  <c r="D388" i="16"/>
  <c r="D389" i="16"/>
  <c r="D390" i="16"/>
  <c r="D391" i="16"/>
  <c r="D392" i="16"/>
  <c r="D393" i="16"/>
  <c r="D394" i="16"/>
  <c r="D395" i="16"/>
  <c r="D396" i="16"/>
  <c r="D397" i="16"/>
  <c r="D398" i="16"/>
  <c r="D399" i="16"/>
  <c r="D400" i="16"/>
  <c r="D401" i="16"/>
  <c r="D402" i="16"/>
  <c r="D403" i="16"/>
  <c r="D404" i="16"/>
  <c r="D405" i="16"/>
  <c r="D406" i="16"/>
  <c r="D407" i="16"/>
  <c r="D408" i="16"/>
  <c r="D409" i="16"/>
  <c r="D410" i="16"/>
  <c r="D411" i="16"/>
  <c r="D412" i="16"/>
  <c r="D413" i="16"/>
  <c r="D414" i="16"/>
  <c r="D415" i="16"/>
  <c r="D416" i="16"/>
  <c r="D417" i="16"/>
  <c r="D418" i="16"/>
  <c r="D419" i="16"/>
  <c r="D420" i="16"/>
  <c r="D421" i="16"/>
  <c r="D422" i="16"/>
  <c r="D423" i="16"/>
  <c r="D424" i="16"/>
  <c r="D425" i="16"/>
  <c r="D426" i="16"/>
  <c r="D427" i="16"/>
  <c r="D428" i="16"/>
  <c r="D429" i="16"/>
  <c r="D430" i="16"/>
  <c r="D431" i="16"/>
  <c r="D432" i="16"/>
  <c r="D433" i="16"/>
  <c r="D434" i="16"/>
  <c r="D435" i="16"/>
  <c r="D436" i="16"/>
  <c r="D437" i="16"/>
  <c r="D438" i="16"/>
  <c r="D439" i="16"/>
  <c r="D440" i="16"/>
  <c r="D441" i="16"/>
  <c r="D442" i="16"/>
  <c r="D443" i="16"/>
  <c r="D444" i="16"/>
  <c r="D445" i="16"/>
  <c r="D446" i="16"/>
  <c r="D447" i="16"/>
  <c r="D448" i="16"/>
  <c r="D449" i="16"/>
  <c r="D450" i="16"/>
  <c r="D451" i="16"/>
  <c r="D452" i="16"/>
  <c r="D453" i="16"/>
  <c r="D454" i="16"/>
  <c r="D455" i="16"/>
  <c r="D456" i="16"/>
  <c r="D457" i="16"/>
  <c r="D458" i="16"/>
  <c r="D459" i="16"/>
  <c r="D460" i="16"/>
  <c r="D461" i="16"/>
  <c r="D462" i="16"/>
  <c r="D463" i="16"/>
  <c r="D464" i="16"/>
  <c r="D465" i="16"/>
  <c r="D466" i="16"/>
  <c r="D467" i="16"/>
  <c r="D468" i="16"/>
  <c r="D469" i="16"/>
  <c r="D470" i="16"/>
  <c r="D471" i="16"/>
  <c r="D472" i="16"/>
  <c r="D473" i="16"/>
  <c r="D474" i="16"/>
  <c r="D475" i="16"/>
  <c r="D476" i="16"/>
  <c r="D477" i="16"/>
  <c r="D478" i="16"/>
  <c r="D479" i="16"/>
  <c r="D480" i="16"/>
  <c r="D481" i="16"/>
  <c r="D482" i="16"/>
  <c r="D483" i="16"/>
  <c r="D484" i="16"/>
  <c r="D485" i="16"/>
  <c r="D486" i="16"/>
  <c r="D487" i="16"/>
  <c r="D488" i="16"/>
  <c r="D489" i="16"/>
  <c r="D490" i="16"/>
  <c r="D491" i="16"/>
  <c r="D492" i="16"/>
  <c r="D493" i="16"/>
  <c r="D494" i="16"/>
  <c r="D495" i="16"/>
  <c r="D496" i="16"/>
  <c r="D497" i="16"/>
  <c r="D498" i="16"/>
  <c r="D499" i="16"/>
  <c r="D500" i="16"/>
  <c r="D501" i="16"/>
  <c r="D502" i="16"/>
  <c r="D503" i="16"/>
  <c r="D504" i="16"/>
  <c r="D505" i="16"/>
  <c r="D506" i="16"/>
  <c r="D507" i="16"/>
  <c r="D508" i="16"/>
  <c r="D509" i="16"/>
  <c r="D510" i="16"/>
  <c r="D511" i="16"/>
  <c r="D512" i="16"/>
  <c r="D513" i="16"/>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AX13" i="1" a="1"/>
  <c r="AX13" i="1" s="1"/>
  <c r="AX24" i="1" a="1"/>
  <c r="AX24" i="1" s="1"/>
  <c r="AX29" i="1" a="1"/>
  <c r="AX29" i="1" s="1"/>
  <c r="AX40" i="1" a="1"/>
  <c r="AX40" i="1" s="1"/>
  <c r="AX45" i="1" a="1"/>
  <c r="AX45" i="1" s="1"/>
  <c r="AY15" i="1" a="1"/>
  <c r="AY15" i="1" s="1"/>
  <c r="AY20" i="1" a="1"/>
  <c r="AY20" i="1" s="1"/>
  <c r="AY31" i="1" a="1"/>
  <c r="AY31" i="1" s="1"/>
  <c r="AY36" i="1" a="1"/>
  <c r="AY36" i="1" s="1"/>
  <c r="AY47" i="1" a="1"/>
  <c r="AY47" i="1" s="1"/>
  <c r="AZ11" i="1" a="1"/>
  <c r="AZ11" i="1" s="1"/>
  <c r="AZ22" i="1" a="1"/>
  <c r="AZ22" i="1" s="1"/>
  <c r="AZ27" i="1" a="1"/>
  <c r="AZ27" i="1" s="1"/>
  <c r="AZ38" i="1" a="1"/>
  <c r="AZ38" i="1" s="1"/>
  <c r="AZ43" i="1" a="1"/>
  <c r="AZ43" i="1" s="1"/>
  <c r="BA13" i="1" a="1"/>
  <c r="BA13" i="1" s="1"/>
  <c r="BA18" i="1" a="1"/>
  <c r="BA18" i="1" s="1"/>
  <c r="BA29" i="1" a="1"/>
  <c r="BA29" i="1" s="1"/>
  <c r="BA34" i="1" a="1"/>
  <c r="BA34" i="1" s="1"/>
  <c r="BA45" i="1" a="1"/>
  <c r="BA45" i="1" s="1"/>
  <c r="BA50" i="1" a="1"/>
  <c r="BA50" i="1" s="1"/>
  <c r="BB19" i="1" a="1"/>
  <c r="BB19" i="1" s="1"/>
  <c r="BB23" i="1" a="1"/>
  <c r="BB23" i="1" s="1"/>
  <c r="BB28" i="1" a="1"/>
  <c r="BB28" i="1" s="1"/>
  <c r="BB31" i="1" a="1"/>
  <c r="BB31" i="1" s="1"/>
  <c r="BB36" i="1" a="1"/>
  <c r="BB36" i="1" s="1"/>
  <c r="BB39" i="1" a="1"/>
  <c r="BB39" i="1" s="1"/>
  <c r="BB44" i="1" a="1"/>
  <c r="BB44" i="1" s="1"/>
  <c r="BB47" i="1" a="1"/>
  <c r="BB47" i="1" s="1"/>
  <c r="BC11" i="1" a="1"/>
  <c r="BC11" i="1" s="1"/>
  <c r="BC14" i="1" a="1"/>
  <c r="BC14" i="1" s="1"/>
  <c r="BH10" i="1"/>
  <c r="BH11" i="1"/>
  <c r="BH12" i="1"/>
  <c r="BH13" i="1"/>
  <c r="BH14" i="1"/>
  <c r="BH15" i="1"/>
  <c r="BH16" i="1"/>
  <c r="BH17" i="1"/>
  <c r="BH18" i="1"/>
  <c r="BH19" i="1"/>
  <c r="BH20" i="1"/>
  <c r="BH21" i="1"/>
  <c r="BH22" i="1"/>
  <c r="BH23" i="1"/>
  <c r="BH24" i="1"/>
  <c r="BH25" i="1"/>
  <c r="BH26" i="1"/>
  <c r="BH27" i="1"/>
  <c r="BH28" i="1"/>
  <c r="BH29" i="1"/>
  <c r="BH30" i="1"/>
  <c r="BH31" i="1"/>
  <c r="BH32" i="1"/>
  <c r="BH33" i="1"/>
  <c r="BH34" i="1"/>
  <c r="BH35" i="1"/>
  <c r="BH36" i="1"/>
  <c r="BH37" i="1"/>
  <c r="BH38" i="1"/>
  <c r="BH39" i="1"/>
  <c r="BH40" i="1"/>
  <c r="BH41" i="1"/>
  <c r="BH42" i="1"/>
  <c r="BH43" i="1"/>
  <c r="BH44" i="1"/>
  <c r="BH45" i="1"/>
  <c r="BH46" i="1"/>
  <c r="BH47" i="1"/>
  <c r="BH48" i="1"/>
  <c r="BH49" i="1"/>
  <c r="BH50" i="1"/>
  <c r="BI10" i="1"/>
  <c r="BI11" i="1"/>
  <c r="BI12" i="1"/>
  <c r="BI13" i="1"/>
  <c r="BI14" i="1"/>
  <c r="BI15" i="1"/>
  <c r="BI16" i="1"/>
  <c r="BI17" i="1"/>
  <c r="BI18" i="1"/>
  <c r="BI19" i="1"/>
  <c r="BI20" i="1"/>
  <c r="BI21" i="1"/>
  <c r="BI22" i="1"/>
  <c r="BI23" i="1"/>
  <c r="BI24" i="1"/>
  <c r="BI25" i="1"/>
  <c r="BI26" i="1"/>
  <c r="BI27" i="1"/>
  <c r="BI28" i="1"/>
  <c r="BI29" i="1"/>
  <c r="BI30" i="1"/>
  <c r="BI31" i="1"/>
  <c r="BI32" i="1"/>
  <c r="BI33" i="1"/>
  <c r="BI34" i="1"/>
  <c r="BI35" i="1"/>
  <c r="BI36" i="1"/>
  <c r="BI37" i="1"/>
  <c r="BI38" i="1"/>
  <c r="BI39" i="1"/>
  <c r="BI40" i="1"/>
  <c r="BI41" i="1"/>
  <c r="BI42" i="1"/>
  <c r="BI43" i="1"/>
  <c r="BI44" i="1"/>
  <c r="BI45" i="1"/>
  <c r="BI46" i="1"/>
  <c r="BI47" i="1"/>
  <c r="BI48" i="1"/>
  <c r="BI49" i="1"/>
  <c r="BI50" i="1"/>
  <c r="BJ10" i="1"/>
  <c r="BJ11" i="1"/>
  <c r="BJ12" i="1"/>
  <c r="BJ13" i="1"/>
  <c r="BJ14" i="1"/>
  <c r="BJ15" i="1"/>
  <c r="BJ16" i="1"/>
  <c r="BJ17" i="1"/>
  <c r="BJ18" i="1"/>
  <c r="BJ19" i="1"/>
  <c r="BJ20" i="1"/>
  <c r="BJ21" i="1"/>
  <c r="BJ22" i="1"/>
  <c r="BJ23" i="1"/>
  <c r="BJ24" i="1"/>
  <c r="BJ25" i="1"/>
  <c r="BJ26" i="1"/>
  <c r="BJ27" i="1"/>
  <c r="BJ28" i="1"/>
  <c r="BJ29" i="1"/>
  <c r="BJ30" i="1"/>
  <c r="BJ31" i="1"/>
  <c r="BJ32" i="1"/>
  <c r="BJ33" i="1"/>
  <c r="BJ34" i="1"/>
  <c r="BJ35" i="1"/>
  <c r="BJ36" i="1"/>
  <c r="BJ37" i="1"/>
  <c r="BJ38" i="1"/>
  <c r="BJ39" i="1"/>
  <c r="BJ40" i="1"/>
  <c r="BJ41" i="1"/>
  <c r="BJ42" i="1"/>
  <c r="BJ43" i="1"/>
  <c r="BJ44" i="1"/>
  <c r="BJ45" i="1"/>
  <c r="BJ46" i="1"/>
  <c r="BJ47" i="1"/>
  <c r="BJ48" i="1"/>
  <c r="BJ49" i="1"/>
  <c r="BJ50" i="1"/>
  <c r="BK10" i="1"/>
  <c r="BK11" i="1"/>
  <c r="BK12" i="1"/>
  <c r="BK13" i="1"/>
  <c r="BK14" i="1"/>
  <c r="BK15" i="1"/>
  <c r="BK16" i="1"/>
  <c r="BK17" i="1"/>
  <c r="BK18" i="1"/>
  <c r="BK19" i="1"/>
  <c r="BK20" i="1"/>
  <c r="BK21" i="1"/>
  <c r="BK22" i="1"/>
  <c r="BK23" i="1"/>
  <c r="BK24" i="1"/>
  <c r="BK25" i="1"/>
  <c r="BK26" i="1"/>
  <c r="BK27" i="1"/>
  <c r="BK28" i="1"/>
  <c r="BK29" i="1"/>
  <c r="BK30" i="1"/>
  <c r="BK31" i="1"/>
  <c r="BK32" i="1"/>
  <c r="BK33" i="1"/>
  <c r="BK34" i="1"/>
  <c r="BK35" i="1"/>
  <c r="BK36" i="1"/>
  <c r="BK37" i="1"/>
  <c r="BK38" i="1"/>
  <c r="BK39" i="1"/>
  <c r="BK40" i="1"/>
  <c r="BK41" i="1"/>
  <c r="BK42" i="1"/>
  <c r="BK43" i="1"/>
  <c r="BK44" i="1"/>
  <c r="BK45" i="1"/>
  <c r="BK46" i="1"/>
  <c r="BK47" i="1"/>
  <c r="BK48" i="1"/>
  <c r="BK49" i="1"/>
  <c r="BK50" i="1"/>
  <c r="BL10" i="1"/>
  <c r="BL11" i="1"/>
  <c r="BL12" i="1"/>
  <c r="BL13" i="1"/>
  <c r="BL14" i="1"/>
  <c r="BL15" i="1"/>
  <c r="BL16" i="1"/>
  <c r="BL17" i="1"/>
  <c r="BL18" i="1"/>
  <c r="BL19" i="1"/>
  <c r="BL20" i="1"/>
  <c r="BL21" i="1"/>
  <c r="BL22" i="1"/>
  <c r="BL23" i="1"/>
  <c r="BL24" i="1"/>
  <c r="BL25" i="1"/>
  <c r="BL26" i="1"/>
  <c r="BL27" i="1"/>
  <c r="BL28" i="1"/>
  <c r="BL29" i="1"/>
  <c r="BL30" i="1"/>
  <c r="BL31" i="1"/>
  <c r="BL32" i="1"/>
  <c r="BL33" i="1"/>
  <c r="BL34" i="1"/>
  <c r="BL35" i="1"/>
  <c r="BL36" i="1"/>
  <c r="BL37" i="1"/>
  <c r="BL38" i="1"/>
  <c r="BL39" i="1"/>
  <c r="BL40" i="1"/>
  <c r="BL41" i="1"/>
  <c r="BL42" i="1"/>
  <c r="BL43" i="1"/>
  <c r="BL44" i="1"/>
  <c r="BL45" i="1"/>
  <c r="BL46" i="1"/>
  <c r="BL47" i="1"/>
  <c r="BL48" i="1"/>
  <c r="BL49" i="1"/>
  <c r="BL50" i="1"/>
  <c r="BQ10" i="1"/>
  <c r="BQ11" i="1"/>
  <c r="BQ12" i="1"/>
  <c r="BQ13" i="1"/>
  <c r="BQ14" i="1"/>
  <c r="BQ15" i="1"/>
  <c r="BQ16" i="1"/>
  <c r="BQ17" i="1"/>
  <c r="BQ18" i="1"/>
  <c r="BQ19" i="1"/>
  <c r="BQ20" i="1"/>
  <c r="BQ21" i="1"/>
  <c r="BQ22" i="1"/>
  <c r="BQ23" i="1"/>
  <c r="BQ24" i="1"/>
  <c r="BQ25" i="1"/>
  <c r="BQ26" i="1"/>
  <c r="BQ27" i="1"/>
  <c r="BQ28" i="1"/>
  <c r="BQ29" i="1"/>
  <c r="BQ30" i="1"/>
  <c r="BQ31" i="1"/>
  <c r="BQ32" i="1"/>
  <c r="BQ33" i="1"/>
  <c r="BQ34" i="1"/>
  <c r="BQ35" i="1"/>
  <c r="BQ36" i="1"/>
  <c r="BQ37" i="1"/>
  <c r="BQ38" i="1"/>
  <c r="BQ39" i="1"/>
  <c r="BQ40" i="1"/>
  <c r="BQ41" i="1"/>
  <c r="BQ42" i="1"/>
  <c r="BQ43" i="1"/>
  <c r="BQ44" i="1"/>
  <c r="BQ45" i="1"/>
  <c r="BQ46" i="1"/>
  <c r="BQ47" i="1"/>
  <c r="BQ48" i="1"/>
  <c r="BQ49" i="1"/>
  <c r="BQ50" i="1"/>
  <c r="BT10" i="1"/>
  <c r="BT11" i="1"/>
  <c r="BT12" i="1"/>
  <c r="BT13" i="1"/>
  <c r="BT14" i="1"/>
  <c r="BT15" i="1"/>
  <c r="BT16" i="1"/>
  <c r="BT17" i="1"/>
  <c r="BT18" i="1"/>
  <c r="BT19" i="1"/>
  <c r="BT20" i="1"/>
  <c r="BT21" i="1"/>
  <c r="BT22" i="1"/>
  <c r="BT23" i="1"/>
  <c r="BT24" i="1"/>
  <c r="BT25" i="1"/>
  <c r="BT26" i="1"/>
  <c r="BT27" i="1"/>
  <c r="BT28" i="1"/>
  <c r="BT29" i="1"/>
  <c r="BT30" i="1"/>
  <c r="BT31" i="1"/>
  <c r="BT32" i="1"/>
  <c r="BT33" i="1"/>
  <c r="BT34" i="1"/>
  <c r="BT35" i="1"/>
  <c r="BT36" i="1"/>
  <c r="BT37" i="1"/>
  <c r="BT38" i="1"/>
  <c r="BT39" i="1"/>
  <c r="BT40" i="1"/>
  <c r="BT41" i="1"/>
  <c r="BT42" i="1"/>
  <c r="BT43" i="1"/>
  <c r="BT44" i="1"/>
  <c r="BT45" i="1"/>
  <c r="BT46" i="1"/>
  <c r="BT47" i="1"/>
  <c r="BT48" i="1"/>
  <c r="BT49" i="1"/>
  <c r="BT50" i="1"/>
  <c r="BT9" i="1"/>
  <c r="BH9" i="1"/>
  <c r="BI9" i="1"/>
  <c r="BJ9" i="1"/>
  <c r="BK9" i="1"/>
  <c r="BL9" i="1"/>
  <c r="BQ9" i="1"/>
  <c r="BV23" i="1" l="1"/>
  <c r="BV25" i="1"/>
  <c r="BV27" i="1"/>
  <c r="BV29" i="1"/>
  <c r="BV31" i="1"/>
  <c r="BV33" i="1"/>
  <c r="BV35" i="1"/>
  <c r="BV24" i="1"/>
  <c r="BV26" i="1"/>
  <c r="BV28" i="1"/>
  <c r="BV30" i="1"/>
  <c r="BV32" i="1"/>
  <c r="BV34" i="1"/>
  <c r="BV36" i="1"/>
  <c r="BU9" i="1" a="1"/>
  <c r="BU9" i="1" s="1"/>
  <c r="BN9" i="1"/>
  <c r="BU10" i="1" a="1"/>
  <c r="BU10" i="1" s="1"/>
  <c r="BN10" i="1"/>
  <c r="BU11" i="1" a="1"/>
  <c r="BU11" i="1" s="1"/>
  <c r="BN11" i="1"/>
  <c r="BU12" i="1" a="1"/>
  <c r="BU12" i="1" s="1"/>
  <c r="BN12" i="1"/>
  <c r="BU13" i="1" a="1"/>
  <c r="BU13" i="1" s="1"/>
  <c r="BN13" i="1"/>
  <c r="BU14" i="1" a="1"/>
  <c r="BU14" i="1" s="1"/>
  <c r="BN14" i="1"/>
  <c r="BU15" i="1" a="1"/>
  <c r="BU15" i="1" s="1"/>
  <c r="BN15" i="1"/>
  <c r="BU16" i="1" a="1"/>
  <c r="BU16" i="1" s="1"/>
  <c r="BN16" i="1"/>
  <c r="BU17" i="1" a="1"/>
  <c r="BU17" i="1" s="1"/>
  <c r="BN17" i="1"/>
  <c r="BU18" i="1" a="1"/>
  <c r="BU18" i="1" s="1"/>
  <c r="BN18" i="1"/>
  <c r="BU19" i="1" a="1"/>
  <c r="BU19" i="1" s="1"/>
  <c r="BN19" i="1"/>
  <c r="BU20" i="1" a="1"/>
  <c r="BU20" i="1" s="1"/>
  <c r="BN20" i="1"/>
  <c r="BV22" i="1"/>
  <c r="BV9" i="1"/>
  <c r="BV10" i="1"/>
  <c r="BV11" i="1"/>
  <c r="BV12" i="1"/>
  <c r="BV13" i="1"/>
  <c r="BV14" i="1"/>
  <c r="BV15" i="1"/>
  <c r="BV16" i="1"/>
  <c r="BV17" i="1"/>
  <c r="BV18" i="1"/>
  <c r="BV19" i="1"/>
  <c r="BV20" i="1"/>
  <c r="BU21" i="1" a="1"/>
  <c r="BU21" i="1" s="1"/>
  <c r="BV21" i="1"/>
  <c r="BN21" i="1"/>
  <c r="BU22" i="1" a="1"/>
  <c r="BU22" i="1" s="1"/>
  <c r="BN22" i="1"/>
  <c r="BU23" i="1" a="1"/>
  <c r="BU23" i="1" s="1"/>
  <c r="BN23" i="1"/>
  <c r="BU24" i="1" a="1"/>
  <c r="BU24" i="1" s="1"/>
  <c r="BN24" i="1"/>
  <c r="BU25" i="1" a="1"/>
  <c r="BU25" i="1" s="1"/>
  <c r="BN25" i="1"/>
  <c r="BU26" i="1" a="1"/>
  <c r="BU26" i="1" s="1"/>
  <c r="BN26" i="1"/>
  <c r="BU27" i="1" a="1"/>
  <c r="BU27" i="1" s="1"/>
  <c r="BN27" i="1"/>
  <c r="BU28" i="1" a="1"/>
  <c r="BU28" i="1" s="1"/>
  <c r="BN28" i="1"/>
  <c r="BU29" i="1" a="1"/>
  <c r="BU29" i="1" s="1"/>
  <c r="BN29" i="1"/>
  <c r="BU30" i="1" a="1"/>
  <c r="BU30" i="1" s="1"/>
  <c r="BN30" i="1"/>
  <c r="BU31" i="1" a="1"/>
  <c r="BU31" i="1" s="1"/>
  <c r="BN31" i="1"/>
  <c r="BU32" i="1" a="1"/>
  <c r="BU32" i="1" s="1"/>
  <c r="BN32" i="1"/>
  <c r="BU33" i="1" a="1"/>
  <c r="BU33" i="1" s="1"/>
  <c r="BN33" i="1"/>
  <c r="BU34" i="1" a="1"/>
  <c r="BU34" i="1" s="1"/>
  <c r="BN34" i="1"/>
  <c r="BU35" i="1" a="1"/>
  <c r="BU35" i="1" s="1"/>
  <c r="BN35" i="1"/>
  <c r="BU36" i="1" a="1"/>
  <c r="BU36" i="1" s="1"/>
  <c r="BN36" i="1"/>
  <c r="BV37" i="1"/>
  <c r="BV38" i="1"/>
  <c r="BV39" i="1"/>
  <c r="BV40" i="1"/>
  <c r="BV41" i="1"/>
  <c r="BV42" i="1"/>
  <c r="BV43" i="1"/>
  <c r="BV44" i="1"/>
  <c r="BV45" i="1"/>
  <c r="BV46" i="1"/>
  <c r="BV47" i="1"/>
  <c r="BV48" i="1"/>
  <c r="BV49" i="1"/>
  <c r="BV50" i="1"/>
  <c r="BU37" i="1" a="1"/>
  <c r="BU37" i="1" s="1"/>
  <c r="BN37" i="1"/>
  <c r="BU38" i="1" a="1"/>
  <c r="BU38" i="1" s="1"/>
  <c r="BN38" i="1"/>
  <c r="BU39" i="1" a="1"/>
  <c r="BU39" i="1" s="1"/>
  <c r="BN39" i="1"/>
  <c r="BU40" i="1" a="1"/>
  <c r="BU40" i="1" s="1"/>
  <c r="BN40" i="1"/>
  <c r="BU41" i="1" a="1"/>
  <c r="BU41" i="1" s="1"/>
  <c r="BN41" i="1"/>
  <c r="BU42" i="1" a="1"/>
  <c r="BU42" i="1" s="1"/>
  <c r="BN42" i="1"/>
  <c r="BU43" i="1" a="1"/>
  <c r="BU43" i="1" s="1"/>
  <c r="BN43" i="1"/>
  <c r="BU44" i="1" a="1"/>
  <c r="BU44" i="1" s="1"/>
  <c r="BN44" i="1"/>
  <c r="BU45" i="1" a="1"/>
  <c r="BU45" i="1" s="1"/>
  <c r="BN45" i="1"/>
  <c r="BU46" i="1" a="1"/>
  <c r="BU46" i="1" s="1"/>
  <c r="BN46" i="1"/>
  <c r="BU47" i="1" a="1"/>
  <c r="BU47" i="1" s="1"/>
  <c r="BN47" i="1"/>
  <c r="BU48" i="1" a="1"/>
  <c r="BU48" i="1" s="1"/>
  <c r="BN48" i="1"/>
  <c r="BU49" i="1" a="1"/>
  <c r="BU49" i="1" s="1"/>
  <c r="BN49" i="1"/>
  <c r="BU50" i="1" a="1"/>
  <c r="BU50" i="1" s="1"/>
  <c r="BN50" i="1"/>
  <c r="AX20" i="1" a="1"/>
  <c r="AX20" i="1" s="1"/>
  <c r="AX25" i="1" a="1"/>
  <c r="AX25" i="1" s="1"/>
  <c r="AX28" i="1" a="1"/>
  <c r="AX28" i="1" s="1"/>
  <c r="AX33" i="1" a="1"/>
  <c r="AX33" i="1" s="1"/>
  <c r="AX36" i="1" a="1"/>
  <c r="AX36" i="1" s="1"/>
  <c r="AX41" i="1" a="1"/>
  <c r="AX41" i="1" s="1"/>
  <c r="AX44" i="1" a="1"/>
  <c r="AX44" i="1" s="1"/>
  <c r="AX49" i="1" a="1"/>
  <c r="AX49" i="1" s="1"/>
  <c r="AY11" i="1" a="1"/>
  <c r="AY11" i="1" s="1"/>
  <c r="AY16" i="1" a="1"/>
  <c r="AY16" i="1" s="1"/>
  <c r="AY19" i="1" a="1"/>
  <c r="AY19" i="1" s="1"/>
  <c r="AY24" i="1" a="1"/>
  <c r="AY24" i="1" s="1"/>
  <c r="AY27" i="1" a="1"/>
  <c r="AY27" i="1" s="1"/>
  <c r="AY32" i="1" a="1"/>
  <c r="AY32" i="1" s="1"/>
  <c r="AY35" i="1" a="1"/>
  <c r="AY35" i="1" s="1"/>
  <c r="AY40" i="1" a="1"/>
  <c r="AY40" i="1" s="1"/>
  <c r="AY43" i="1" a="1"/>
  <c r="AY43" i="1" s="1"/>
  <c r="AY48" i="1" a="1"/>
  <c r="AY48" i="1" s="1"/>
  <c r="AZ10" i="1" a="1"/>
  <c r="AZ10" i="1" s="1"/>
  <c r="AZ15" i="1" a="1"/>
  <c r="AZ15" i="1" s="1"/>
  <c r="AZ18" i="1" a="1"/>
  <c r="AZ18" i="1" s="1"/>
  <c r="AZ23" i="1" a="1"/>
  <c r="AZ23" i="1" s="1"/>
  <c r="AZ26" i="1" a="1"/>
  <c r="AZ26" i="1" s="1"/>
  <c r="AZ31" i="1" a="1"/>
  <c r="AZ31" i="1" s="1"/>
  <c r="AZ34" i="1" a="1"/>
  <c r="AZ34" i="1" s="1"/>
  <c r="AZ39" i="1" a="1"/>
  <c r="AZ39" i="1" s="1"/>
  <c r="AZ42" i="1" a="1"/>
  <c r="AZ42" i="1" s="1"/>
  <c r="AZ47" i="1" a="1"/>
  <c r="AZ47" i="1" s="1"/>
  <c r="AZ50" i="1" a="1"/>
  <c r="AZ50" i="1" s="1"/>
  <c r="BA14" i="1" a="1"/>
  <c r="BA14" i="1" s="1"/>
  <c r="BA17" i="1" a="1"/>
  <c r="BA17" i="1" s="1"/>
  <c r="BA22" i="1" a="1"/>
  <c r="BA22" i="1" s="1"/>
  <c r="BA25" i="1" a="1"/>
  <c r="BA25" i="1" s="1"/>
  <c r="BA30" i="1" a="1"/>
  <c r="BA30" i="1" s="1"/>
  <c r="BA33" i="1" a="1"/>
  <c r="BA33" i="1" s="1"/>
  <c r="BA38" i="1" a="1"/>
  <c r="BA38" i="1" s="1"/>
  <c r="BA41" i="1" a="1"/>
  <c r="BA41" i="1" s="1"/>
  <c r="BA46" i="1" a="1"/>
  <c r="BA46" i="1" s="1"/>
  <c r="BA49" i="1" a="1"/>
  <c r="BA49" i="1" s="1"/>
  <c r="BB13" i="1" a="1"/>
  <c r="BB13" i="1" s="1"/>
  <c r="BB16" i="1" a="1"/>
  <c r="BB16" i="1" s="1"/>
  <c r="BB18" i="1" a="1"/>
  <c r="BB18" i="1" s="1"/>
  <c r="BB20" i="1" a="1"/>
  <c r="BB20" i="1" s="1"/>
  <c r="BB22" i="1" a="1"/>
  <c r="BB22" i="1" s="1"/>
  <c r="AX10" i="1" a="1"/>
  <c r="AX10" i="1" s="1"/>
  <c r="AX15" i="1" a="1"/>
  <c r="AX15" i="1" s="1"/>
  <c r="AX18" i="1" a="1"/>
  <c r="AX18" i="1" s="1"/>
  <c r="AX23" i="1" a="1"/>
  <c r="AX23" i="1" s="1"/>
  <c r="AX26" i="1" a="1"/>
  <c r="AX26" i="1" s="1"/>
  <c r="AX31" i="1" a="1"/>
  <c r="AX31" i="1" s="1"/>
  <c r="AX34" i="1" a="1"/>
  <c r="AX34" i="1" s="1"/>
  <c r="AX39" i="1" a="1"/>
  <c r="AX39" i="1" s="1"/>
  <c r="AX42" i="1" a="1"/>
  <c r="AX42" i="1" s="1"/>
  <c r="AX47" i="1" a="1"/>
  <c r="AX47" i="1" s="1"/>
  <c r="AX50" i="1" a="1"/>
  <c r="AX50" i="1" s="1"/>
  <c r="AY14" i="1" a="1"/>
  <c r="AY14" i="1" s="1"/>
  <c r="AY17" i="1" a="1"/>
  <c r="AY17" i="1" s="1"/>
  <c r="AY22" i="1" a="1"/>
  <c r="AY22" i="1" s="1"/>
  <c r="AY25" i="1" a="1"/>
  <c r="AY25" i="1" s="1"/>
  <c r="AY30" i="1" a="1"/>
  <c r="AY30" i="1" s="1"/>
  <c r="AY33" i="1" a="1"/>
  <c r="AY33" i="1" s="1"/>
  <c r="AY38" i="1" a="1"/>
  <c r="AY38" i="1" s="1"/>
  <c r="AY41" i="1" a="1"/>
  <c r="AY41" i="1" s="1"/>
  <c r="AY46" i="1" a="1"/>
  <c r="AY46" i="1" s="1"/>
  <c r="AY49" i="1" a="1"/>
  <c r="AY49" i="1" s="1"/>
  <c r="AZ13" i="1" a="1"/>
  <c r="AZ13" i="1" s="1"/>
  <c r="AZ16" i="1" a="1"/>
  <c r="AZ16" i="1" s="1"/>
  <c r="AZ21" i="1" a="1"/>
  <c r="AZ21" i="1" s="1"/>
  <c r="AZ24" i="1" a="1"/>
  <c r="AZ24" i="1" s="1"/>
  <c r="AZ29" i="1" a="1"/>
  <c r="AZ29" i="1" s="1"/>
  <c r="AZ32" i="1" a="1"/>
  <c r="AZ32" i="1" s="1"/>
  <c r="AZ37" i="1" a="1"/>
  <c r="AZ37" i="1" s="1"/>
  <c r="AZ40" i="1" a="1"/>
  <c r="AZ40" i="1" s="1"/>
  <c r="AZ45" i="1" a="1"/>
  <c r="AZ45" i="1" s="1"/>
  <c r="AZ48" i="1" a="1"/>
  <c r="AZ48" i="1" s="1"/>
  <c r="BA12" i="1" a="1"/>
  <c r="BA12" i="1" s="1"/>
  <c r="BA15" i="1" a="1"/>
  <c r="BA15" i="1" s="1"/>
  <c r="BA20" i="1" a="1"/>
  <c r="BA20" i="1" s="1"/>
  <c r="BA23" i="1" a="1"/>
  <c r="BA23" i="1" s="1"/>
  <c r="BA28" i="1" a="1"/>
  <c r="BA28" i="1" s="1"/>
  <c r="BA31" i="1" a="1"/>
  <c r="BA31" i="1" s="1"/>
  <c r="BA36" i="1" a="1"/>
  <c r="BA36" i="1" s="1"/>
  <c r="BA39" i="1" a="1"/>
  <c r="BA39" i="1" s="1"/>
  <c r="BA44" i="1" a="1"/>
  <c r="BA44" i="1" s="1"/>
  <c r="BA47" i="1" a="1"/>
  <c r="BA47" i="1" s="1"/>
  <c r="BB11" i="1" a="1"/>
  <c r="BB11" i="1" s="1"/>
  <c r="BB14" i="1" a="1"/>
  <c r="BB14" i="1" s="1"/>
  <c r="AY9" i="1" a="1"/>
  <c r="AY9" i="1" s="1"/>
  <c r="BC46" i="1" a="1"/>
  <c r="BC46" i="1" s="1"/>
  <c r="BC38" i="1" a="1"/>
  <c r="BC38" i="1" s="1"/>
  <c r="BC32" i="1" a="1"/>
  <c r="BC32" i="1" s="1"/>
  <c r="BC24" i="1" a="1"/>
  <c r="BC24" i="1" s="1"/>
  <c r="BC16" i="1" a="1"/>
  <c r="BC16" i="1" s="1"/>
  <c r="BB41" i="1" a="1"/>
  <c r="BB41" i="1" s="1"/>
  <c r="BB30" i="1" a="1"/>
  <c r="BB30" i="1" s="1"/>
  <c r="BA43" i="1" a="1"/>
  <c r="BA43" i="1" s="1"/>
  <c r="BA16" i="1" a="1"/>
  <c r="BA16" i="1" s="1"/>
  <c r="BA11" i="1" a="1"/>
  <c r="BA11" i="1" s="1"/>
  <c r="AZ41" i="1" a="1"/>
  <c r="AZ41" i="1" s="1"/>
  <c r="AZ36" i="1" a="1"/>
  <c r="AZ36" i="1" s="1"/>
  <c r="AZ25" i="1" a="1"/>
  <c r="AZ25" i="1" s="1"/>
  <c r="AZ20" i="1" a="1"/>
  <c r="AZ20" i="1" s="1"/>
  <c r="AY50" i="1" a="1"/>
  <c r="AY50" i="1" s="1"/>
  <c r="AY45" i="1" a="1"/>
  <c r="AY45" i="1" s="1"/>
  <c r="AY34" i="1" a="1"/>
  <c r="AY34" i="1" s="1"/>
  <c r="AY29" i="1" a="1"/>
  <c r="AY29" i="1" s="1"/>
  <c r="AY18" i="1" a="1"/>
  <c r="AY18" i="1" s="1"/>
  <c r="AY13" i="1" a="1"/>
  <c r="AY13" i="1" s="1"/>
  <c r="AX43" i="1" a="1"/>
  <c r="AX43" i="1" s="1"/>
  <c r="AX38" i="1" a="1"/>
  <c r="AX38" i="1" s="1"/>
  <c r="AX27" i="1" a="1"/>
  <c r="AX27" i="1" s="1"/>
  <c r="AX22" i="1" a="1"/>
  <c r="AX22" i="1" s="1"/>
  <c r="AX11" i="1" a="1"/>
  <c r="AX11" i="1" s="1"/>
  <c r="BC9" i="1" a="1"/>
  <c r="BC9" i="1" s="1"/>
  <c r="BC50" i="1" a="1"/>
  <c r="BC50" i="1" s="1"/>
  <c r="BC42" i="1" a="1"/>
  <c r="BC42" i="1" s="1"/>
  <c r="BC34" i="1" a="1"/>
  <c r="BC34" i="1" s="1"/>
  <c r="BC26" i="1" a="1"/>
  <c r="BC26" i="1" s="1"/>
  <c r="BC20" i="1" a="1"/>
  <c r="BC20" i="1" s="1"/>
  <c r="BB49" i="1" a="1"/>
  <c r="BB49" i="1" s="1"/>
  <c r="BB33" i="1" a="1"/>
  <c r="BB33" i="1" s="1"/>
  <c r="BA48" i="1" a="1"/>
  <c r="BA48" i="1" s="1"/>
  <c r="BA32" i="1" a="1"/>
  <c r="BA32" i="1" s="1"/>
  <c r="BA27" i="1" a="1"/>
  <c r="BA27" i="1" s="1"/>
  <c r="BC15" i="1" a="1"/>
  <c r="BC15" i="1" s="1"/>
  <c r="BC10" i="1" a="1"/>
  <c r="BC10" i="1" s="1"/>
  <c r="BB48" i="1" a="1"/>
  <c r="BB48" i="1" s="1"/>
  <c r="BB43" i="1" a="1"/>
  <c r="BB43" i="1" s="1"/>
  <c r="BB40" i="1" a="1"/>
  <c r="BB40" i="1" s="1"/>
  <c r="BB35" i="1" a="1"/>
  <c r="BB35" i="1" s="1"/>
  <c r="BB32" i="1" a="1"/>
  <c r="BB32" i="1" s="1"/>
  <c r="BB27" i="1" a="1"/>
  <c r="BB27" i="1" s="1"/>
  <c r="BB24" i="1" a="1"/>
  <c r="BB24" i="1" s="1"/>
  <c r="BB21" i="1" a="1"/>
  <c r="BB21" i="1" s="1"/>
  <c r="BB17" i="1" a="1"/>
  <c r="BB17" i="1" s="1"/>
  <c r="BB12" i="1" a="1"/>
  <c r="BB12" i="1" s="1"/>
  <c r="BA42" i="1" a="1"/>
  <c r="BA42" i="1" s="1"/>
  <c r="BA37" i="1" a="1"/>
  <c r="BA37" i="1" s="1"/>
  <c r="BA26" i="1" a="1"/>
  <c r="BA26" i="1" s="1"/>
  <c r="BA21" i="1" a="1"/>
  <c r="BA21" i="1" s="1"/>
  <c r="BA10" i="1" a="1"/>
  <c r="BA10" i="1" s="1"/>
  <c r="AZ46" i="1" a="1"/>
  <c r="AZ46" i="1" s="1"/>
  <c r="AZ35" i="1" a="1"/>
  <c r="AZ35" i="1" s="1"/>
  <c r="AZ30" i="1" a="1"/>
  <c r="AZ30" i="1" s="1"/>
  <c r="AZ19" i="1" a="1"/>
  <c r="AZ19" i="1" s="1"/>
  <c r="AZ14" i="1" a="1"/>
  <c r="AZ14" i="1" s="1"/>
  <c r="AY44" i="1" a="1"/>
  <c r="AY44" i="1" s="1"/>
  <c r="AY39" i="1" a="1"/>
  <c r="AY39" i="1" s="1"/>
  <c r="AY28" i="1" a="1"/>
  <c r="AY28" i="1" s="1"/>
  <c r="AY23" i="1" a="1"/>
  <c r="AY23" i="1" s="1"/>
  <c r="AY12" i="1" a="1"/>
  <c r="AY12" i="1" s="1"/>
  <c r="AX48" i="1" a="1"/>
  <c r="AX48" i="1" s="1"/>
  <c r="AX37" i="1" a="1"/>
  <c r="AX37" i="1" s="1"/>
  <c r="AX32" i="1" a="1"/>
  <c r="AX32" i="1" s="1"/>
  <c r="AX21" i="1" a="1"/>
  <c r="AX21" i="1" s="1"/>
  <c r="AX16" i="1" a="1"/>
  <c r="AX16" i="1" s="1"/>
  <c r="AX12" i="1" a="1"/>
  <c r="AX12" i="1" s="1"/>
  <c r="BA9" i="1" a="1"/>
  <c r="BA9" i="1" s="1"/>
  <c r="BC48" i="1" a="1"/>
  <c r="BC48" i="1" s="1"/>
  <c r="BC44" i="1" a="1"/>
  <c r="BC44" i="1" s="1"/>
  <c r="BC40" i="1" a="1"/>
  <c r="BC40" i="1" s="1"/>
  <c r="BC36" i="1" a="1"/>
  <c r="BC36" i="1" s="1"/>
  <c r="BC30" i="1" a="1"/>
  <c r="BC30" i="1" s="1"/>
  <c r="BC28" i="1" a="1"/>
  <c r="BC28" i="1" s="1"/>
  <c r="BC22" i="1" a="1"/>
  <c r="BC22" i="1" s="1"/>
  <c r="BC18" i="1" a="1"/>
  <c r="BC18" i="1" s="1"/>
  <c r="BC13" i="1" a="1"/>
  <c r="BC13" i="1" s="1"/>
  <c r="BB46" i="1" a="1"/>
  <c r="BB46" i="1" s="1"/>
  <c r="BB38" i="1" a="1"/>
  <c r="BB38" i="1" s="1"/>
  <c r="BB25" i="1" a="1"/>
  <c r="BB25" i="1" s="1"/>
  <c r="BB9" i="1" a="1"/>
  <c r="BB9" i="1" s="1"/>
  <c r="AZ9" i="1" a="1"/>
  <c r="AZ9" i="1" s="1"/>
  <c r="AX9" i="1" a="1"/>
  <c r="AX9" i="1" s="1"/>
  <c r="BC49" i="1" a="1"/>
  <c r="BC49" i="1" s="1"/>
  <c r="BC47" i="1" a="1"/>
  <c r="BC47" i="1" s="1"/>
  <c r="BC45" i="1" a="1"/>
  <c r="BC45" i="1" s="1"/>
  <c r="BC43" i="1" a="1"/>
  <c r="BC43" i="1" s="1"/>
  <c r="BC41" i="1" a="1"/>
  <c r="BC41" i="1" s="1"/>
  <c r="BC39" i="1" a="1"/>
  <c r="BC39" i="1" s="1"/>
  <c r="BC37" i="1" a="1"/>
  <c r="BC37" i="1" s="1"/>
  <c r="BC35" i="1" a="1"/>
  <c r="BC35" i="1" s="1"/>
  <c r="BC33" i="1" a="1"/>
  <c r="BC33" i="1" s="1"/>
  <c r="BC31" i="1" a="1"/>
  <c r="BC31" i="1" s="1"/>
  <c r="BC29" i="1" a="1"/>
  <c r="BC29" i="1" s="1"/>
  <c r="BC27" i="1" a="1"/>
  <c r="BC27" i="1" s="1"/>
  <c r="BC25" i="1" a="1"/>
  <c r="BC25" i="1" s="1"/>
  <c r="BC23" i="1" a="1"/>
  <c r="BC23" i="1" s="1"/>
  <c r="BC21" i="1" a="1"/>
  <c r="BC21" i="1" s="1"/>
  <c r="BC19" i="1" a="1"/>
  <c r="BC19" i="1" s="1"/>
  <c r="BC17" i="1" a="1"/>
  <c r="BC17" i="1" s="1"/>
  <c r="BC12" i="1" a="1"/>
  <c r="BC12" i="1" s="1"/>
  <c r="BB50" i="1" a="1"/>
  <c r="BB50" i="1" s="1"/>
  <c r="BB45" i="1" a="1"/>
  <c r="BB45" i="1" s="1"/>
  <c r="BB42" i="1" a="1"/>
  <c r="BB42" i="1" s="1"/>
  <c r="BB37" i="1" a="1"/>
  <c r="BB37" i="1" s="1"/>
  <c r="BB34" i="1" a="1"/>
  <c r="BB34" i="1" s="1"/>
  <c r="BB29" i="1" a="1"/>
  <c r="BB29" i="1" s="1"/>
  <c r="BB26" i="1" a="1"/>
  <c r="BB26" i="1" s="1"/>
  <c r="BB15" i="1" a="1"/>
  <c r="BB15" i="1" s="1"/>
  <c r="BB10" i="1" a="1"/>
  <c r="BB10" i="1" s="1"/>
  <c r="BA40" i="1" a="1"/>
  <c r="BA40" i="1" s="1"/>
  <c r="BA35" i="1" a="1"/>
  <c r="BA35" i="1" s="1"/>
  <c r="BA24" i="1" a="1"/>
  <c r="BA24" i="1" s="1"/>
  <c r="BA19" i="1" a="1"/>
  <c r="BA19" i="1" s="1"/>
  <c r="AZ49" i="1" a="1"/>
  <c r="AZ49" i="1" s="1"/>
  <c r="AZ44" i="1" a="1"/>
  <c r="AZ44" i="1" s="1"/>
  <c r="AZ33" i="1" a="1"/>
  <c r="AZ33" i="1" s="1"/>
  <c r="AZ28" i="1" a="1"/>
  <c r="AZ28" i="1" s="1"/>
  <c r="AZ17" i="1" a="1"/>
  <c r="AZ17" i="1" s="1"/>
  <c r="AZ12" i="1" a="1"/>
  <c r="AZ12" i="1" s="1"/>
  <c r="AY42" i="1" a="1"/>
  <c r="AY42" i="1" s="1"/>
  <c r="AY37" i="1" a="1"/>
  <c r="AY37" i="1" s="1"/>
  <c r="AY26" i="1" a="1"/>
  <c r="AY26" i="1" s="1"/>
  <c r="AY21" i="1" a="1"/>
  <c r="AY21" i="1" s="1"/>
  <c r="AY10" i="1" a="1"/>
  <c r="AY10" i="1" s="1"/>
  <c r="AX46" i="1" a="1"/>
  <c r="AX46" i="1" s="1"/>
  <c r="AX35" i="1" a="1"/>
  <c r="AX35" i="1" s="1"/>
  <c r="AX30" i="1" a="1"/>
  <c r="AX30" i="1" s="1"/>
  <c r="AX19" i="1" a="1"/>
  <c r="AX19" i="1" s="1"/>
  <c r="AX14" i="1" a="1"/>
  <c r="AX14" i="1" s="1"/>
  <c r="AX17" i="1" a="1"/>
  <c r="AX17" i="1" s="1"/>
  <c r="BV2" i="21"/>
  <c r="BW2" i="21"/>
  <c r="BS2" i="21" l="1"/>
  <c r="BP2" i="21"/>
  <c r="BK2" i="21"/>
  <c r="BJ2" i="21"/>
  <c r="BI2" i="21"/>
  <c r="BH2" i="21"/>
  <c r="BG2" i="21"/>
  <c r="BC2" i="21" a="1"/>
  <c r="BC2" i="21" s="1"/>
  <c r="BB2" i="21" a="1"/>
  <c r="BB2" i="21" s="1"/>
  <c r="BA2" i="21" a="1"/>
  <c r="BA2" i="21" s="1"/>
  <c r="AZ2" i="21" a="1"/>
  <c r="AZ2" i="21" s="1"/>
  <c r="AY2" i="21" a="1"/>
  <c r="AY2" i="21" s="1"/>
  <c r="AX2" i="21" a="1"/>
  <c r="AX2" i="21" s="1"/>
  <c r="Z2" i="21"/>
  <c r="AK2" i="21"/>
  <c r="E2" i="21"/>
  <c r="U2" i="21"/>
  <c r="AU2" i="21"/>
  <c r="AC2" i="21"/>
  <c r="AQ2" i="21"/>
  <c r="M2" i="21"/>
  <c r="AG2" i="21"/>
  <c r="J2" i="21"/>
  <c r="W2" i="21"/>
  <c r="K2" i="21"/>
  <c r="R2" i="21"/>
  <c r="L2" i="21"/>
  <c r="AI2" i="21"/>
  <c r="AV2" i="21"/>
  <c r="N2" i="21"/>
  <c r="AM2" i="21"/>
  <c r="Y2" i="21"/>
  <c r="Q2" i="21"/>
  <c r="O2" i="21"/>
  <c r="AH2" i="21"/>
  <c r="AW2" i="21"/>
  <c r="AA2" i="21"/>
  <c r="G2" i="21"/>
  <c r="AT2" i="21"/>
  <c r="AS2" i="21"/>
  <c r="C2" i="21"/>
  <c r="AN2" i="21"/>
  <c r="AL2" i="21"/>
  <c r="AF2" i="21"/>
  <c r="V2" i="21"/>
  <c r="S2" i="21"/>
  <c r="T2" i="21"/>
  <c r="D2" i="21"/>
  <c r="AJ2" i="21"/>
  <c r="H2" i="21"/>
  <c r="AP2" i="21"/>
  <c r="AR2" i="21"/>
  <c r="B2" i="21"/>
  <c r="AO2" i="21"/>
  <c r="F2" i="21"/>
  <c r="I2" i="21"/>
  <c r="P2" i="21"/>
  <c r="X2" i="21"/>
  <c r="AE2" i="21"/>
  <c r="AD2" i="21"/>
  <c r="AB2" i="21"/>
  <c r="BU2" i="21" l="1"/>
  <c r="BT2" i="21" a="1"/>
  <c r="BT2" i="21" s="1"/>
  <c r="BM2" i="21"/>
  <c r="B3" i="12"/>
  <c r="A2" i="12"/>
  <c r="B3" i="11" l="1"/>
  <c r="B2" i="11"/>
  <c r="D2" i="10" l="1" a="1"/>
  <c r="D2" i="10" s="1"/>
  <c r="D21" i="8"/>
  <c r="D20" i="8"/>
  <c r="D19" i="8"/>
  <c r="D18" i="8"/>
  <c r="D17" i="8"/>
  <c r="D16" i="8"/>
  <c r="D15" i="8"/>
  <c r="D14" i="8"/>
  <c r="D13" i="8"/>
  <c r="D12" i="8"/>
  <c r="D11" i="8"/>
  <c r="D10" i="8"/>
  <c r="D9" i="8"/>
  <c r="D8" i="8"/>
  <c r="D7" i="8"/>
  <c r="D6" i="8"/>
  <c r="D5" i="8"/>
  <c r="H2" i="7"/>
  <c r="I2" i="7" s="1"/>
  <c r="H3" i="7"/>
  <c r="I3" i="7" s="1"/>
  <c r="H4" i="7"/>
  <c r="I4" i="7" s="1"/>
  <c r="H5" i="7"/>
  <c r="I5" i="7" s="1"/>
  <c r="H6" i="7"/>
  <c r="I6" i="7" s="1"/>
  <c r="H7" i="7"/>
  <c r="I7" i="7" s="1"/>
  <c r="H8" i="7"/>
  <c r="I8" i="7" s="1"/>
  <c r="H9" i="7"/>
  <c r="I9" i="7" s="1"/>
  <c r="H10" i="7"/>
  <c r="I10" i="7" s="1"/>
  <c r="H11" i="7"/>
  <c r="I11" i="7" s="1"/>
  <c r="H12" i="7"/>
  <c r="I12" i="7" s="1"/>
  <c r="H13" i="7"/>
  <c r="I13" i="7" s="1"/>
  <c r="H14" i="7"/>
  <c r="I14" i="7" s="1"/>
  <c r="H15" i="7"/>
  <c r="I15" i="7" s="1"/>
  <c r="H16" i="7"/>
  <c r="I16" i="7" s="1"/>
  <c r="H17" i="7"/>
  <c r="I17" i="7" s="1"/>
  <c r="H18" i="7"/>
  <c r="I18" i="7" s="1"/>
  <c r="H19" i="7"/>
  <c r="I19" i="7" s="1"/>
  <c r="H20" i="7"/>
  <c r="I20" i="7" s="1"/>
  <c r="H21" i="7"/>
  <c r="I21" i="7" s="1"/>
  <c r="H22" i="7"/>
  <c r="I22" i="7" s="1"/>
  <c r="H23" i="7"/>
  <c r="I23" i="7" s="1"/>
  <c r="H24" i="7"/>
  <c r="I24" i="7" s="1"/>
  <c r="G6" i="8" l="1"/>
  <c r="D4" i="8" l="1"/>
  <c r="D5" i="1" l="1"/>
  <c r="D6" i="1"/>
  <c r="A2" i="3"/>
  <c r="A3" i="3" s="1"/>
  <c r="A1" i="3" l="1"/>
</calcChain>
</file>

<file path=xl/comments1.xml><?xml version="1.0" encoding="utf-8"?>
<comments xmlns="http://schemas.openxmlformats.org/spreadsheetml/2006/main">
  <authors>
    <author>CAS</author>
    <author>RAMCAS</author>
  </authors>
  <commentList>
    <comment ref="A2" authorId="0" shapeId="0">
      <text>
        <r>
          <rPr>
            <b/>
            <sz val="9"/>
            <color indexed="81"/>
            <rFont val="Tahoma"/>
            <family val="2"/>
          </rPr>
          <t xml:space="preserve">CAS:
</t>
        </r>
        <r>
          <rPr>
            <sz val="9"/>
            <color indexed="81"/>
            <rFont val="Tahoma"/>
            <family val="2"/>
          </rPr>
          <t xml:space="preserve">Número identificador de la transferencia actual.
</t>
        </r>
      </text>
    </comment>
    <comment ref="C2" authorId="0" shapeId="0">
      <text>
        <r>
          <rPr>
            <b/>
            <sz val="9"/>
            <color indexed="81"/>
            <rFont val="Tahoma"/>
            <family val="2"/>
          </rPr>
          <t>CAS:</t>
        </r>
        <r>
          <rPr>
            <sz val="9"/>
            <color indexed="81"/>
            <rFont val="Tahoma"/>
            <family val="2"/>
          </rPr>
          <t xml:space="preserve">
Fecha en la cual se originó la presente transferencia.</t>
        </r>
      </text>
    </comment>
    <comment ref="A3" authorId="0" shapeId="0">
      <text>
        <r>
          <rPr>
            <b/>
            <sz val="9"/>
            <color indexed="81"/>
            <rFont val="Tahoma"/>
            <family val="2"/>
          </rPr>
          <t>CAS:</t>
        </r>
        <r>
          <rPr>
            <sz val="9"/>
            <color indexed="81"/>
            <rFont val="Tahoma"/>
            <family val="2"/>
          </rPr>
          <t xml:space="preserve">
Indica el Proveedor de donde proviene la mercadería detallada en la presente transferencia.</t>
        </r>
      </text>
    </comment>
    <comment ref="C3" authorId="0" shapeId="0">
      <text>
        <r>
          <rPr>
            <b/>
            <sz val="9"/>
            <color indexed="81"/>
            <rFont val="Tahoma"/>
            <family val="2"/>
          </rPr>
          <t>CAS:</t>
        </r>
        <r>
          <rPr>
            <sz val="9"/>
            <color indexed="81"/>
            <rFont val="Tahoma"/>
            <family val="2"/>
          </rPr>
          <t xml:space="preserve">
Fecha en la que la transferencia se ha completado, o ya no se va a hacer nada más con ella, y cuando ya está lista para ser dada de baja.</t>
        </r>
      </text>
    </comment>
    <comment ref="A4" authorId="0" shapeId="0">
      <text>
        <r>
          <rPr>
            <b/>
            <sz val="9"/>
            <color indexed="81"/>
            <rFont val="Tahoma"/>
            <family val="2"/>
          </rPr>
          <t>CAS:</t>
        </r>
        <r>
          <rPr>
            <sz val="9"/>
            <color indexed="81"/>
            <rFont val="Tahoma"/>
            <family val="2"/>
          </rPr>
          <t xml:space="preserve">
Detalla el destino o el receptor de la mercadería detallada en la presente transferencia.</t>
        </r>
      </text>
    </comment>
    <comment ref="A5" authorId="0" shapeId="0">
      <text>
        <r>
          <rPr>
            <b/>
            <sz val="9"/>
            <color indexed="81"/>
            <rFont val="Tahoma"/>
            <family val="2"/>
          </rPr>
          <t>CAS:</t>
        </r>
        <r>
          <rPr>
            <sz val="9"/>
            <color indexed="81"/>
            <rFont val="Tahoma"/>
            <family val="2"/>
          </rPr>
          <t xml:space="preserve">
Código propio con el cual la empresa identifica a la actual transferencia.</t>
        </r>
      </text>
    </comment>
    <comment ref="C5" authorId="0" shapeId="0">
      <text>
        <r>
          <rPr>
            <b/>
            <sz val="9"/>
            <color indexed="81"/>
            <rFont val="Tahoma"/>
            <family val="2"/>
          </rPr>
          <t>CAS:</t>
        </r>
        <r>
          <rPr>
            <sz val="9"/>
            <color indexed="81"/>
            <rFont val="Tahoma"/>
            <family val="2"/>
          </rPr>
          <t xml:space="preserve">
Valor monetario de la transferencia.</t>
        </r>
      </text>
    </comment>
    <comment ref="A6" authorId="0" shapeId="0">
      <text>
        <r>
          <rPr>
            <b/>
            <sz val="9"/>
            <color indexed="81"/>
            <rFont val="Tahoma"/>
            <family val="2"/>
          </rPr>
          <t>CAS:</t>
        </r>
        <r>
          <rPr>
            <sz val="9"/>
            <color indexed="81"/>
            <rFont val="Tahoma"/>
            <family val="2"/>
          </rPr>
          <t xml:space="preserve">
Fecha estimada de arribo de la presente transferencia. Sirve como referencia para saber cuándo se podrá tener la mercadería ya recibida en el punto de destino.</t>
        </r>
      </text>
    </comment>
    <comment ref="C6" authorId="0" shapeId="0">
      <text>
        <r>
          <rPr>
            <b/>
            <sz val="9"/>
            <color indexed="81"/>
            <rFont val="Tahoma"/>
            <family val="2"/>
          </rPr>
          <t>CAS:</t>
        </r>
        <r>
          <rPr>
            <sz val="9"/>
            <color indexed="81"/>
            <rFont val="Tahoma"/>
            <family val="2"/>
          </rPr>
          <t xml:space="preserve">
Volumen estimado de la presente transferencia.</t>
        </r>
      </text>
    </comment>
    <comment ref="A7" authorId="0" shapeId="0">
      <text>
        <r>
          <rPr>
            <b/>
            <sz val="9"/>
            <color indexed="81"/>
            <rFont val="Tahoma"/>
            <family val="2"/>
          </rPr>
          <t>CAS:</t>
        </r>
        <r>
          <rPr>
            <sz val="9"/>
            <color indexed="81"/>
            <rFont val="Tahoma"/>
            <family val="2"/>
          </rPr>
          <t xml:space="preserve">
Observaciones generadas por el sistema que obedecen a situaciones específicas.</t>
        </r>
      </text>
    </comment>
    <comment ref="BD8"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8" authorId="1" shapeId="0">
      <text>
        <r>
          <rPr>
            <b/>
            <sz val="9"/>
            <color indexed="81"/>
            <rFont val="Tahoma"/>
            <family val="2"/>
          </rPr>
          <t>RAMCAS:</t>
        </r>
        <r>
          <rPr>
            <sz val="9"/>
            <color indexed="81"/>
            <rFont val="Tahoma"/>
            <family val="2"/>
          </rPr>
          <t xml:space="preserve">
Identificación opcional de la Orden de Compra (PO) a la cual pertenece el ítem.</t>
        </r>
      </text>
    </comment>
    <comment ref="BG8" authorId="0" shapeId="0">
      <text>
        <r>
          <rPr>
            <b/>
            <sz val="9"/>
            <color indexed="81"/>
            <rFont val="Tahoma"/>
            <family val="2"/>
          </rPr>
          <t>CAS:</t>
        </r>
        <r>
          <rPr>
            <sz val="9"/>
            <color indexed="81"/>
            <rFont val="Tahoma"/>
            <family val="2"/>
          </rPr>
          <t xml:space="preserve">
Número de embarques en los cuales se va a dividir el REQUERIM.</t>
        </r>
      </text>
    </comment>
    <comment ref="BO8"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P8"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R8"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S8"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mments2.xml><?xml version="1.0" encoding="utf-8"?>
<comments xmlns="http://schemas.openxmlformats.org/spreadsheetml/2006/main">
  <authors>
    <author>CAS</author>
  </authors>
  <commentList>
    <comment ref="BD1"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1" authorId="0" shapeId="0">
      <text>
        <r>
          <rPr>
            <b/>
            <sz val="9"/>
            <color indexed="81"/>
            <rFont val="Tahoma"/>
            <family val="2"/>
          </rPr>
          <t>CAS:</t>
        </r>
        <r>
          <rPr>
            <sz val="9"/>
            <color indexed="81"/>
            <rFont val="Tahoma"/>
            <family val="2"/>
          </rPr>
          <t xml:space="preserve">
Número de embarques en los cuales se va a dividir el REQUERIM.</t>
        </r>
      </text>
    </comment>
    <comment ref="BN1"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O1"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Q1"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R1"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nnections.xml><?xml version="1.0" encoding="utf-8"?>
<connections xmlns="http://schemas.openxmlformats.org/spreadsheetml/2006/main">
  <connection id="1" name="Consulta desde Central Control Buffers1" type="1" refreshedVersion="3"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2" name="Consulta desde DatosConsolidados2" type="1" refreshedVersion="5"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odega Central Agrota') AND (`CONSOLIDADO$`.Codigo='111121163313577')"/>
  </connection>
  <connection id="3" name="Consulta desde ODBC MySQL en AGROTA"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Transferencia'_x000d__x000a_ORDER BY_x000d__x000a_cau_nombre"/>
  </connection>
  <connection id="4"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 AND bodega.bod_nombre=''"/>
  </connection>
  <connection id="5" name="Consulta desde ODBC RAMCAS11" type="1" refreshedVersion="5" saveData="1">
    <dbPr connection="DSN=ODBC RAMCAS1;" command="SELECT empresa_0.emp_codigo, empresa_0.emp_nombre_x000d__x000a_FROM ramcas.empresa empresa_0"/>
  </connection>
  <connection id="6" name="Consulta desde ODBC RAMCAS12" type="1" refreshedVersion="5" saveData="1">
    <dbPr connection="DSN=ODBC RAMCAS1;" command="SELECT_x000d__x000a_empresa.emp_codigo,_x000d__x000a_empresa.emp_nombre,_x000d__x000a_bodega.bod_codigo,_x000d__x000a_bodega.bod_nombre_x000d__x000a_FROM_x000d__x000a_bodega_x000d__x000a_INNER JOIN empresa ON bodega.bod_empresa_id = empresa.empresa_id"/>
  </connection>
  <connection id="7" name="Consulta desde REPORTES en Access"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RecetasProduccion.`Cod Padre`, qryRecetasProduccion.`Descripcion Padre`, qryRecetasProduccion.`Unidad Padre`, qryRecetasProduccion.`Cod Hijo`, qryRecetasProduccion.`Descripcion Hijo`, qryRecetasProduccion.Cantidad, qryRecetasProduccion.`Unidad Hijo`_x000d__x000a_FROM qryRecetasProduccion qryRecetasProduccion"/>
  </connection>
  <connection id="8" name="Consulta desde REPORTES en Access1"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MateriasPrimasProductosTerminados.CodigoVentaproducto, qryMateriasPrimasProductosTerminados.NombreGrupo_x000d__x000a_FROM qryMateriasPrimasProductosTerminados qryMateriasPrimasProductosTerminados"/>
  </connection>
</connections>
</file>

<file path=xl/sharedStrings.xml><?xml version="1.0" encoding="utf-8"?>
<sst xmlns="http://schemas.openxmlformats.org/spreadsheetml/2006/main" count="13118" uniqueCount="2471">
  <si>
    <t>FECHA ORIGEN</t>
  </si>
  <si>
    <t>FECHA CIERRE</t>
  </si>
  <si>
    <t>ORIGEN</t>
  </si>
  <si>
    <t>DESTINO</t>
  </si>
  <si>
    <t>Codigo</t>
  </si>
  <si>
    <t>Descripcion</t>
  </si>
  <si>
    <t>Grupo</t>
  </si>
  <si>
    <t>Linea</t>
  </si>
  <si>
    <t>BUFFER</t>
  </si>
  <si>
    <t>CONS BUFF</t>
  </si>
  <si>
    <t>RENTABILIDAD</t>
  </si>
  <si>
    <t>REQUERIM</t>
  </si>
  <si>
    <t>TRANSF #</t>
  </si>
  <si>
    <t>DESPACHO</t>
  </si>
  <si>
    <t>RECIBIDO</t>
  </si>
  <si>
    <t>TRANSITO</t>
  </si>
  <si>
    <t>Ped Prom</t>
  </si>
  <si>
    <t>REQ TOTAL</t>
  </si>
  <si>
    <t>CTV</t>
  </si>
  <si>
    <t>PVP</t>
  </si>
  <si>
    <t>OBSERVACIONES DESPACHOS</t>
  </si>
  <si>
    <t>OBSERVACIONES RECEPCIONES</t>
  </si>
  <si>
    <t>TIPO TRANSF</t>
  </si>
  <si>
    <t>VALOR TOTAL</t>
  </si>
  <si>
    <t>FECHA ARRIBO</t>
  </si>
  <si>
    <t>CUBICAJE</t>
  </si>
  <si>
    <t>CODIGO</t>
  </si>
  <si>
    <t>VOL</t>
  </si>
  <si>
    <t>CANTIDAD</t>
  </si>
  <si>
    <r>
      <t>m</t>
    </r>
    <r>
      <rPr>
        <vertAlign val="superscript"/>
        <sz val="11"/>
        <color theme="1"/>
        <rFont val="Calibri"/>
        <family val="2"/>
        <scheme val="minor"/>
      </rPr>
      <t>3</t>
    </r>
  </si>
  <si>
    <t>Empresa</t>
  </si>
  <si>
    <t>Bodega</t>
  </si>
  <si>
    <t>Archivo</t>
  </si>
  <si>
    <t>Bodega Recortada</t>
  </si>
  <si>
    <t>BODEGA</t>
  </si>
  <si>
    <t>ARCHIVO</t>
  </si>
  <si>
    <t>PATH</t>
  </si>
  <si>
    <t>VEL EFECT</t>
  </si>
  <si>
    <t>SERVICIO</t>
  </si>
  <si>
    <t>EC-B450EMC</t>
  </si>
  <si>
    <t>EC-CS-420ES-45EU</t>
  </si>
  <si>
    <t>EC-ES726</t>
  </si>
  <si>
    <t>EC-PPT-2400STD</t>
  </si>
  <si>
    <t>Cod Padre</t>
  </si>
  <si>
    <t>Descripcion Padre</t>
  </si>
  <si>
    <t>Unidad Padre</t>
  </si>
  <si>
    <t>Cod Hijo</t>
  </si>
  <si>
    <t>Descripcion Hijo</t>
  </si>
  <si>
    <t>Cantidad</t>
  </si>
  <si>
    <t>Unidad Hijo</t>
  </si>
  <si>
    <t>ExistePadre</t>
  </si>
  <si>
    <t>Cantidad Requerida</t>
  </si>
  <si>
    <t>01-00102</t>
  </si>
  <si>
    <t>LITROS</t>
  </si>
  <si>
    <t>MP-216</t>
  </si>
  <si>
    <t>ENVASE PET LITRO</t>
  </si>
  <si>
    <t>Unidades</t>
  </si>
  <si>
    <t>MP-143</t>
  </si>
  <si>
    <t>MP-034</t>
  </si>
  <si>
    <t>TANQUE POR 200 LT</t>
  </si>
  <si>
    <t>C-007</t>
  </si>
  <si>
    <t>C-008</t>
  </si>
  <si>
    <t>100 GRAMOS</t>
  </si>
  <si>
    <t>JA-001</t>
  </si>
  <si>
    <t>CO-001</t>
  </si>
  <si>
    <t>QUIM-019</t>
  </si>
  <si>
    <t>IN-130</t>
  </si>
  <si>
    <t>100 MILILITROS</t>
  </si>
  <si>
    <t>CO-0010</t>
  </si>
  <si>
    <t>P-0016</t>
  </si>
  <si>
    <t>IN - 1271</t>
  </si>
  <si>
    <t>IN-6617</t>
  </si>
  <si>
    <t>QUIM-015</t>
  </si>
  <si>
    <t>IN-127</t>
  </si>
  <si>
    <t>CO-002</t>
  </si>
  <si>
    <t>CO-0021</t>
  </si>
  <si>
    <t>QUIM-008</t>
  </si>
  <si>
    <t>CO-003</t>
  </si>
  <si>
    <t>IN-037</t>
  </si>
  <si>
    <t>CO-0031</t>
  </si>
  <si>
    <t>IN-6615</t>
  </si>
  <si>
    <t>CO-004</t>
  </si>
  <si>
    <t>PTHER002</t>
  </si>
  <si>
    <t>IN-7654</t>
  </si>
  <si>
    <t>IN-1235</t>
  </si>
  <si>
    <t>P-006</t>
  </si>
  <si>
    <t>CO-005</t>
  </si>
  <si>
    <t>P-0012</t>
  </si>
  <si>
    <t>QUIM-011</t>
  </si>
  <si>
    <t>IN-352</t>
  </si>
  <si>
    <t>IN-104</t>
  </si>
  <si>
    <t>F-011</t>
  </si>
  <si>
    <t>CO-006</t>
  </si>
  <si>
    <t>IN - 126</t>
  </si>
  <si>
    <t>P-0011</t>
  </si>
  <si>
    <t>IN-140</t>
  </si>
  <si>
    <t>IN-0012</t>
  </si>
  <si>
    <t>CO-007</t>
  </si>
  <si>
    <t>P-005</t>
  </si>
  <si>
    <t>CO-008</t>
  </si>
  <si>
    <t>P-0010</t>
  </si>
  <si>
    <t>IN-30</t>
  </si>
  <si>
    <t>IN - 127</t>
  </si>
  <si>
    <t>CO-009</t>
  </si>
  <si>
    <t>P-007</t>
  </si>
  <si>
    <t>CO-010</t>
  </si>
  <si>
    <t>IN-033</t>
  </si>
  <si>
    <t>P-0014</t>
  </si>
  <si>
    <t>IN-34</t>
  </si>
  <si>
    <t>KILOGRAMO</t>
  </si>
  <si>
    <t>IN-048</t>
  </si>
  <si>
    <t>CO-011</t>
  </si>
  <si>
    <t>P-009</t>
  </si>
  <si>
    <t>CO-012</t>
  </si>
  <si>
    <t>P-0013</t>
  </si>
  <si>
    <t>MP-7881</t>
  </si>
  <si>
    <t>CO-0121</t>
  </si>
  <si>
    <t>P-6768</t>
  </si>
  <si>
    <t>IN-1131</t>
  </si>
  <si>
    <t>CO-013</t>
  </si>
  <si>
    <t>CO-01311</t>
  </si>
  <si>
    <t>CO-014</t>
  </si>
  <si>
    <t>P-003</t>
  </si>
  <si>
    <t>IN-378</t>
  </si>
  <si>
    <t>CO-015</t>
  </si>
  <si>
    <t>P-004</t>
  </si>
  <si>
    <t>IN-0004</t>
  </si>
  <si>
    <t>CO-016</t>
  </si>
  <si>
    <t>MP-558</t>
  </si>
  <si>
    <t>IN-0008</t>
  </si>
  <si>
    <t>CO-017</t>
  </si>
  <si>
    <t>P-0015</t>
  </si>
  <si>
    <t>IN-1234</t>
  </si>
  <si>
    <t>IN-0014</t>
  </si>
  <si>
    <t>CO-018</t>
  </si>
  <si>
    <t>P-001</t>
  </si>
  <si>
    <t>F-001</t>
  </si>
  <si>
    <t>MP-542</t>
  </si>
  <si>
    <t>MP-292</t>
  </si>
  <si>
    <t>F-002</t>
  </si>
  <si>
    <t>F-0011</t>
  </si>
  <si>
    <t>MP-219</t>
  </si>
  <si>
    <t>F-0013</t>
  </si>
  <si>
    <t>MP-362</t>
  </si>
  <si>
    <t>MP-222</t>
  </si>
  <si>
    <t>F-0014</t>
  </si>
  <si>
    <t>MP-366</t>
  </si>
  <si>
    <t>MP-223</t>
  </si>
  <si>
    <t>F-0015</t>
  </si>
  <si>
    <t>G-005</t>
  </si>
  <si>
    <t>MP-767</t>
  </si>
  <si>
    <t>MP-284</t>
  </si>
  <si>
    <t>F-005</t>
  </si>
  <si>
    <t>G-0041</t>
  </si>
  <si>
    <t>MP-800</t>
  </si>
  <si>
    <t>MP-390</t>
  </si>
  <si>
    <t>F-007</t>
  </si>
  <si>
    <t>MP-407</t>
  </si>
  <si>
    <t>MP-392</t>
  </si>
  <si>
    <t>MP-218</t>
  </si>
  <si>
    <t>F-013</t>
  </si>
  <si>
    <t>F-014</t>
  </si>
  <si>
    <t>F-018</t>
  </si>
  <si>
    <t>N-OO1</t>
  </si>
  <si>
    <t>MP-2022</t>
  </si>
  <si>
    <t xml:space="preserve">FUNDA GRANDE KILO / 500 GRS </t>
  </si>
  <si>
    <t>MP-395</t>
  </si>
  <si>
    <t>G-0010</t>
  </si>
  <si>
    <t>MP-351</t>
  </si>
  <si>
    <t>G-003</t>
  </si>
  <si>
    <t>G-0011</t>
  </si>
  <si>
    <t>MP-352</t>
  </si>
  <si>
    <t>H-001</t>
  </si>
  <si>
    <t>IN-00126</t>
  </si>
  <si>
    <t>HE-001</t>
  </si>
  <si>
    <t>MP-29420</t>
  </si>
  <si>
    <t>HE-002</t>
  </si>
  <si>
    <t>MP - 0631</t>
  </si>
  <si>
    <t>MP-459</t>
  </si>
  <si>
    <t>MP-261</t>
  </si>
  <si>
    <t>MP - 064</t>
  </si>
  <si>
    <t>MP-2611</t>
  </si>
  <si>
    <t>MP-217</t>
  </si>
  <si>
    <t>MP-198</t>
  </si>
  <si>
    <t>IN-0001</t>
  </si>
  <si>
    <t>MP-221</t>
  </si>
  <si>
    <t>MP-098</t>
  </si>
  <si>
    <t>MP-015</t>
  </si>
  <si>
    <t>IN-000105</t>
  </si>
  <si>
    <t>MP-188</t>
  </si>
  <si>
    <t>MP-189</t>
  </si>
  <si>
    <t>MP-156</t>
  </si>
  <si>
    <t>IN-000127</t>
  </si>
  <si>
    <t>MP-400</t>
  </si>
  <si>
    <t>MP-0056</t>
  </si>
  <si>
    <t>MP-095</t>
  </si>
  <si>
    <t>IN-0003</t>
  </si>
  <si>
    <t>MP-092</t>
  </si>
  <si>
    <t>MP-101</t>
  </si>
  <si>
    <t>MP-017</t>
  </si>
  <si>
    <t>IN-0005</t>
  </si>
  <si>
    <t>IN-0006</t>
  </si>
  <si>
    <t>MP-019</t>
  </si>
  <si>
    <t>MP-103</t>
  </si>
  <si>
    <t>IN-0007</t>
  </si>
  <si>
    <t>MP-108</t>
  </si>
  <si>
    <t>MP-020</t>
  </si>
  <si>
    <t>IN-0009</t>
  </si>
  <si>
    <t>MP-097</t>
  </si>
  <si>
    <t>IN-00101</t>
  </si>
  <si>
    <t>IN-00102</t>
  </si>
  <si>
    <t>MP-089</t>
  </si>
  <si>
    <t>MP-011</t>
  </si>
  <si>
    <t>IN-00103</t>
  </si>
  <si>
    <t>MP-144</t>
  </si>
  <si>
    <t>IN-0011</t>
  </si>
  <si>
    <t>MP-162</t>
  </si>
  <si>
    <t>MP-047</t>
  </si>
  <si>
    <t>IN-00117</t>
  </si>
  <si>
    <t>MP-197</t>
  </si>
  <si>
    <t>MP-196</t>
  </si>
  <si>
    <t>MP-164</t>
  </si>
  <si>
    <t>MP-195</t>
  </si>
  <si>
    <t>MP-371</t>
  </si>
  <si>
    <t>MP-0176</t>
  </si>
  <si>
    <t>MP-801</t>
  </si>
  <si>
    <t>MP-163</t>
  </si>
  <si>
    <t>IN-0016</t>
  </si>
  <si>
    <t>MP-145</t>
  </si>
  <si>
    <t>IN-0017</t>
  </si>
  <si>
    <t>MP-228</t>
  </si>
  <si>
    <t>IN-00171</t>
  </si>
  <si>
    <t>MP-19456</t>
  </si>
  <si>
    <t>MP-0471</t>
  </si>
  <si>
    <t>IN-00172</t>
  </si>
  <si>
    <t>MP-19452</t>
  </si>
  <si>
    <t>IN-00173</t>
  </si>
  <si>
    <t>MP-19457</t>
  </si>
  <si>
    <t>IN-00174</t>
  </si>
  <si>
    <t>MP-19460</t>
  </si>
  <si>
    <t>IN-0019</t>
  </si>
  <si>
    <t>MP-225</t>
  </si>
  <si>
    <t>IN-0022</t>
  </si>
  <si>
    <t>MP-229</t>
  </si>
  <si>
    <t>IN-0028</t>
  </si>
  <si>
    <t>MP-062</t>
  </si>
  <si>
    <t>MP-187</t>
  </si>
  <si>
    <t>IN-0042</t>
  </si>
  <si>
    <t>MP-268</t>
  </si>
  <si>
    <t>IN-0081</t>
  </si>
  <si>
    <t>MP-000100</t>
  </si>
  <si>
    <t>IN-0102</t>
  </si>
  <si>
    <t>MP-107</t>
  </si>
  <si>
    <t>MP-160</t>
  </si>
  <si>
    <t>IN-0236</t>
  </si>
  <si>
    <t>MP-131</t>
  </si>
  <si>
    <t>MP-194</t>
  </si>
  <si>
    <t>IN-031</t>
  </si>
  <si>
    <t>MP-267</t>
  </si>
  <si>
    <t>MP-151</t>
  </si>
  <si>
    <t>MP-249</t>
  </si>
  <si>
    <t>IN-035</t>
  </si>
  <si>
    <t>MP-224</t>
  </si>
  <si>
    <t>MP-136</t>
  </si>
  <si>
    <t>MP-029</t>
  </si>
  <si>
    <t>IN-036</t>
  </si>
  <si>
    <t>MP-376</t>
  </si>
  <si>
    <t>MP-135</t>
  </si>
  <si>
    <t>MP-375</t>
  </si>
  <si>
    <t>MP-134</t>
  </si>
  <si>
    <t>IN-038</t>
  </si>
  <si>
    <t>MP-148</t>
  </si>
  <si>
    <t>MP-037</t>
  </si>
  <si>
    <t>IN-039</t>
  </si>
  <si>
    <t>MP-149</t>
  </si>
  <si>
    <t>IN-040</t>
  </si>
  <si>
    <t>IN-0411</t>
  </si>
  <si>
    <t>MP-186</t>
  </si>
  <si>
    <t>IN-0412</t>
  </si>
  <si>
    <t>MP-1130</t>
  </si>
  <si>
    <t>IN-043</t>
  </si>
  <si>
    <t>IN-044</t>
  </si>
  <si>
    <t>MP-093</t>
  </si>
  <si>
    <t>IN-045</t>
  </si>
  <si>
    <t>IN-046</t>
  </si>
  <si>
    <t>MP-220</t>
  </si>
  <si>
    <t>MP-096</t>
  </si>
  <si>
    <t>MP-090</t>
  </si>
  <si>
    <t>MP-100</t>
  </si>
  <si>
    <t>IN-052</t>
  </si>
  <si>
    <t>MP-058</t>
  </si>
  <si>
    <t>MP-205</t>
  </si>
  <si>
    <t>MP-168</t>
  </si>
  <si>
    <t>MP-204</t>
  </si>
  <si>
    <t>MP-283</t>
  </si>
  <si>
    <t>MP-172</t>
  </si>
  <si>
    <t>IN-082</t>
  </si>
  <si>
    <t>MP-021</t>
  </si>
  <si>
    <t>MP-110</t>
  </si>
  <si>
    <t>IN-086</t>
  </si>
  <si>
    <t>MP-363</t>
  </si>
  <si>
    <t>IN-091</t>
  </si>
  <si>
    <t>MP-353</t>
  </si>
  <si>
    <t>IN-092</t>
  </si>
  <si>
    <t>MP-230</t>
  </si>
  <si>
    <t>IN-094</t>
  </si>
  <si>
    <t>MP-173</t>
  </si>
  <si>
    <t>IN-095</t>
  </si>
  <si>
    <t>MP-130</t>
  </si>
  <si>
    <t>MP-137</t>
  </si>
  <si>
    <t>IN-0976</t>
  </si>
  <si>
    <t>MP-7092</t>
  </si>
  <si>
    <t>IN-0977</t>
  </si>
  <si>
    <t>MP-09877</t>
  </si>
  <si>
    <t>IN-0987</t>
  </si>
  <si>
    <t>MP-7091</t>
  </si>
  <si>
    <t>IN-0998</t>
  </si>
  <si>
    <t>MP-7687</t>
  </si>
  <si>
    <t>IN-102</t>
  </si>
  <si>
    <t>MP-180</t>
  </si>
  <si>
    <t>MP-091</t>
  </si>
  <si>
    <t>MP-109</t>
  </si>
  <si>
    <t>IN-1123</t>
  </si>
  <si>
    <t>MP-460</t>
  </si>
  <si>
    <t>IN-1130</t>
  </si>
  <si>
    <t>MP-01130</t>
  </si>
  <si>
    <t>MP-01131</t>
  </si>
  <si>
    <t>IN-123</t>
  </si>
  <si>
    <t>MP-059</t>
  </si>
  <si>
    <t>MP-0381</t>
  </si>
  <si>
    <t>MP-1323</t>
  </si>
  <si>
    <t>MP-1234</t>
  </si>
  <si>
    <t>MP-2681</t>
  </si>
  <si>
    <t>MP-1235</t>
  </si>
  <si>
    <t>P-008</t>
  </si>
  <si>
    <t>MP-248</t>
  </si>
  <si>
    <t>IN-128</t>
  </si>
  <si>
    <t>MP-150</t>
  </si>
  <si>
    <t>IN-129</t>
  </si>
  <si>
    <t>MP-402</t>
  </si>
  <si>
    <t>MP-251</t>
  </si>
  <si>
    <t>MP-257</t>
  </si>
  <si>
    <t>MP-255</t>
  </si>
  <si>
    <t>IN-139</t>
  </si>
  <si>
    <t>MP-259</t>
  </si>
  <si>
    <t>MP-0632</t>
  </si>
  <si>
    <t>MP-171</t>
  </si>
  <si>
    <t>MP-273</t>
  </si>
  <si>
    <t>IN-141</t>
  </si>
  <si>
    <t>MP-2621</t>
  </si>
  <si>
    <t>MP-285</t>
  </si>
  <si>
    <t>IN-1410</t>
  </si>
  <si>
    <t>MP-262</t>
  </si>
  <si>
    <t>MP-275</t>
  </si>
  <si>
    <t>MP-276</t>
  </si>
  <si>
    <t>IN-144</t>
  </si>
  <si>
    <t>MP-1946</t>
  </si>
  <si>
    <t>IN-1441</t>
  </si>
  <si>
    <t>MP-389</t>
  </si>
  <si>
    <t>MP-289</t>
  </si>
  <si>
    <t>MP-073</t>
  </si>
  <si>
    <t>IN-1442</t>
  </si>
  <si>
    <t>MP-2891</t>
  </si>
  <si>
    <t>MP-269</t>
  </si>
  <si>
    <t>MP-260</t>
  </si>
  <si>
    <t>MP-270</t>
  </si>
  <si>
    <t>IN-1945</t>
  </si>
  <si>
    <t>MP-19458</t>
  </si>
  <si>
    <t>MP-194589</t>
  </si>
  <si>
    <t>MP-2021</t>
  </si>
  <si>
    <t>MP-19459</t>
  </si>
  <si>
    <t xml:space="preserve">IN-2041             </t>
  </si>
  <si>
    <t>MP-024</t>
  </si>
  <si>
    <t xml:space="preserve">IN-20417            </t>
  </si>
  <si>
    <t xml:space="preserve">IN-2042        </t>
  </si>
  <si>
    <t>IN-2047</t>
  </si>
  <si>
    <t>MP-076</t>
  </si>
  <si>
    <t xml:space="preserve">IN-2048             </t>
  </si>
  <si>
    <t>IN-20481</t>
  </si>
  <si>
    <t>MP-178</t>
  </si>
  <si>
    <t>IN-233</t>
  </si>
  <si>
    <t>MP-002</t>
  </si>
  <si>
    <t>MP-192</t>
  </si>
  <si>
    <t>MP-170</t>
  </si>
  <si>
    <t>MP-200</t>
  </si>
  <si>
    <t>IN-2601</t>
  </si>
  <si>
    <t>MP-2602</t>
  </si>
  <si>
    <t>MP-2601</t>
  </si>
  <si>
    <t>IN-32</t>
  </si>
  <si>
    <t>AGROTAFOL 15-30-15 INICIO X KG</t>
  </si>
  <si>
    <t>MP-084</t>
  </si>
  <si>
    <t>ETIQUETA AGROTAFOL INICIAL KILO/500g</t>
  </si>
  <si>
    <t>MP-004</t>
  </si>
  <si>
    <t>15 - 30 - 15 + MICROELEMENTOS X KG</t>
  </si>
  <si>
    <t>IN-3219</t>
  </si>
  <si>
    <t>IN-33</t>
  </si>
  <si>
    <t>AGROTAFOL 25-10-10 CRECIMIENTO X KILO</t>
  </si>
  <si>
    <t>MP-315</t>
  </si>
  <si>
    <t>ENVASE AGROTAFOL DESARROLLO X KILO PREIM</t>
  </si>
  <si>
    <t>MP-001</t>
  </si>
  <si>
    <t>25 - 10 - 10  + MICROELEMENTOS X KG</t>
  </si>
  <si>
    <t>MP-316</t>
  </si>
  <si>
    <t>IN-34567</t>
  </si>
  <si>
    <t>IN-35</t>
  </si>
  <si>
    <t>MP-083</t>
  </si>
  <si>
    <t>MP-364</t>
  </si>
  <si>
    <t>IN-358</t>
  </si>
  <si>
    <t>MP-358</t>
  </si>
  <si>
    <t>IN-362</t>
  </si>
  <si>
    <t>MP-396</t>
  </si>
  <si>
    <t>MP-114</t>
  </si>
  <si>
    <t>MP-022</t>
  </si>
  <si>
    <t>IN-375</t>
  </si>
  <si>
    <t>MP-370</t>
  </si>
  <si>
    <t>MPFUN001</t>
  </si>
  <si>
    <t>IN-380</t>
  </si>
  <si>
    <t>MP-133</t>
  </si>
  <si>
    <t>IN-389</t>
  </si>
  <si>
    <t>MP-113</t>
  </si>
  <si>
    <t>IN-48</t>
  </si>
  <si>
    <t>MP-023</t>
  </si>
  <si>
    <t>IN-5421</t>
  </si>
  <si>
    <t>MP-19454</t>
  </si>
  <si>
    <t>IN-5422</t>
  </si>
  <si>
    <t>MP-19453</t>
  </si>
  <si>
    <t>MP-112</t>
  </si>
  <si>
    <t>IN-556</t>
  </si>
  <si>
    <t>IN-5665</t>
  </si>
  <si>
    <t>MP-789</t>
  </si>
  <si>
    <t>IN-62</t>
  </si>
  <si>
    <t>MP-0832</t>
  </si>
  <si>
    <t>IN-63</t>
  </si>
  <si>
    <t>IN-64</t>
  </si>
  <si>
    <t>MP-0841</t>
  </si>
  <si>
    <t>IN-65</t>
  </si>
  <si>
    <t>IN-6610</t>
  </si>
  <si>
    <t>IN-6669</t>
  </si>
  <si>
    <t>MP-6610</t>
  </si>
  <si>
    <t>IN-6611</t>
  </si>
  <si>
    <t>MP-6612</t>
  </si>
  <si>
    <t>IN-6612</t>
  </si>
  <si>
    <t>MP-6613</t>
  </si>
  <si>
    <t>IN-6613</t>
  </si>
  <si>
    <t>MP-6614</t>
  </si>
  <si>
    <t>IN-6614</t>
  </si>
  <si>
    <t>MP-19451</t>
  </si>
  <si>
    <t>mp-6615</t>
  </si>
  <si>
    <t>MP-19455</t>
  </si>
  <si>
    <t>MP-667</t>
  </si>
  <si>
    <t>IN-6671</t>
  </si>
  <si>
    <t>MP-115</t>
  </si>
  <si>
    <t>MP-803</t>
  </si>
  <si>
    <t>IN-668</t>
  </si>
  <si>
    <t>G-006</t>
  </si>
  <si>
    <t>MP-6687</t>
  </si>
  <si>
    <t>IN-669</t>
  </si>
  <si>
    <t>IN-670</t>
  </si>
  <si>
    <t>MP-669</t>
  </si>
  <si>
    <t>MP-668</t>
  </si>
  <si>
    <t>IN-6789</t>
  </si>
  <si>
    <t>MP-788</t>
  </si>
  <si>
    <t>MP-7654</t>
  </si>
  <si>
    <t>IN-81</t>
  </si>
  <si>
    <t>MP-234</t>
  </si>
  <si>
    <t>MP-175</t>
  </si>
  <si>
    <t>MP-199</t>
  </si>
  <si>
    <t>MP-177</t>
  </si>
  <si>
    <t>IN-963</t>
  </si>
  <si>
    <t>MP-132</t>
  </si>
  <si>
    <t>IN-9753</t>
  </si>
  <si>
    <t>MP-9753</t>
  </si>
  <si>
    <t>IN-9876</t>
  </si>
  <si>
    <t>INS-001</t>
  </si>
  <si>
    <t>MPETI002</t>
  </si>
  <si>
    <t>MPINS-025</t>
  </si>
  <si>
    <t>INT-001</t>
  </si>
  <si>
    <t>MP-146</t>
  </si>
  <si>
    <t>INT-002</t>
  </si>
  <si>
    <t>INT-007</t>
  </si>
  <si>
    <t>MP-117</t>
  </si>
  <si>
    <t>MP-080</t>
  </si>
  <si>
    <t>INT-008</t>
  </si>
  <si>
    <t>INT-009</t>
  </si>
  <si>
    <t>MP-129</t>
  </si>
  <si>
    <t>MP.027</t>
  </si>
  <si>
    <t>INT-010</t>
  </si>
  <si>
    <t>MP-313</t>
  </si>
  <si>
    <t>MP-310</t>
  </si>
  <si>
    <t>INT-011</t>
  </si>
  <si>
    <t>MP-128</t>
  </si>
  <si>
    <t>MP-036</t>
  </si>
  <si>
    <t>INT-013</t>
  </si>
  <si>
    <t>MP-044</t>
  </si>
  <si>
    <t>MP-227</t>
  </si>
  <si>
    <t>MP-069</t>
  </si>
  <si>
    <t>MP-201</t>
  </si>
  <si>
    <t>MP-119</t>
  </si>
  <si>
    <t>MP-203</t>
  </si>
  <si>
    <t>MP-202</t>
  </si>
  <si>
    <t>MP-099</t>
  </si>
  <si>
    <t>MP-102</t>
  </si>
  <si>
    <t>MP-118</t>
  </si>
  <si>
    <t>MP-152</t>
  </si>
  <si>
    <t>MP-206</t>
  </si>
  <si>
    <t>MP-181</t>
  </si>
  <si>
    <t>MP-190</t>
  </si>
  <si>
    <t>MP-321</t>
  </si>
  <si>
    <t>MP-368</t>
  </si>
  <si>
    <t>MP-369</t>
  </si>
  <si>
    <t>MP-397</t>
  </si>
  <si>
    <t>MP-409</t>
  </si>
  <si>
    <t>MP-412</t>
  </si>
  <si>
    <t>MP-413</t>
  </si>
  <si>
    <t>MP-858</t>
  </si>
  <si>
    <t>OT-079</t>
  </si>
  <si>
    <t>OT-693</t>
  </si>
  <si>
    <t>MP-295</t>
  </si>
  <si>
    <t>PT-009</t>
  </si>
  <si>
    <t>PT-010</t>
  </si>
  <si>
    <t>PT-012</t>
  </si>
  <si>
    <t>MP-254</t>
  </si>
  <si>
    <t>MP-210</t>
  </si>
  <si>
    <t>MP-074</t>
  </si>
  <si>
    <t>PT-018</t>
  </si>
  <si>
    <t>PT-019</t>
  </si>
  <si>
    <t>PT-268</t>
  </si>
  <si>
    <t>PT-269</t>
  </si>
  <si>
    <t>PTHER006</t>
  </si>
  <si>
    <t>PTHER009</t>
  </si>
  <si>
    <t>MPETI006</t>
  </si>
  <si>
    <t>PTHER010</t>
  </si>
  <si>
    <t>MPETI007</t>
  </si>
  <si>
    <t>PTNUT009</t>
  </si>
  <si>
    <t>MP-30426</t>
  </si>
  <si>
    <t>MP-29426</t>
  </si>
  <si>
    <t>PTNUT010</t>
  </si>
  <si>
    <t>MP-30427</t>
  </si>
  <si>
    <t>MP-29427</t>
  </si>
  <si>
    <t>PTNUT011</t>
  </si>
  <si>
    <t>MP-30425</t>
  </si>
  <si>
    <t>MP-29425</t>
  </si>
  <si>
    <t>PTNUT012</t>
  </si>
  <si>
    <t>MP-30424</t>
  </si>
  <si>
    <t>MP-29424</t>
  </si>
  <si>
    <t>PTNUT013</t>
  </si>
  <si>
    <t>PTNUT014</t>
  </si>
  <si>
    <t>PTNUT015</t>
  </si>
  <si>
    <t>PTNUT016</t>
  </si>
  <si>
    <t>PTNUT030</t>
  </si>
  <si>
    <t>PTNUT050</t>
  </si>
  <si>
    <t>MPETI003</t>
  </si>
  <si>
    <t>QU-012</t>
  </si>
  <si>
    <t>MP-393</t>
  </si>
  <si>
    <t>MP-064</t>
  </si>
  <si>
    <t>QU-013</t>
  </si>
  <si>
    <t>MP-394</t>
  </si>
  <si>
    <t>QUIM-001</t>
  </si>
  <si>
    <t>MP-123</t>
  </si>
  <si>
    <t>QUIM-002</t>
  </si>
  <si>
    <t>MP-124</t>
  </si>
  <si>
    <t>QUIM-003</t>
  </si>
  <si>
    <t>MP-208</t>
  </si>
  <si>
    <t>MP-26</t>
  </si>
  <si>
    <t>QUIM-004</t>
  </si>
  <si>
    <t>MP-141</t>
  </si>
  <si>
    <t>QUIM-005</t>
  </si>
  <si>
    <t>MP-140</t>
  </si>
  <si>
    <t>QUIM-007</t>
  </si>
  <si>
    <t>MP-465</t>
  </si>
  <si>
    <t>MP-246</t>
  </si>
  <si>
    <t>MP-075</t>
  </si>
  <si>
    <t>QUIM-010</t>
  </si>
  <si>
    <t>MP-191</t>
  </si>
  <si>
    <t>QUIM-013</t>
  </si>
  <si>
    <t>MP-214</t>
  </si>
  <si>
    <t>QUIM-014</t>
  </si>
  <si>
    <t>MP-213</t>
  </si>
  <si>
    <t>MP-373</t>
  </si>
  <si>
    <t>QUIM-016</t>
  </si>
  <si>
    <t>MP-211</t>
  </si>
  <si>
    <t>QUIM-018</t>
  </si>
  <si>
    <t>MP-125</t>
  </si>
  <si>
    <t>QUIM-0181</t>
  </si>
  <si>
    <t>MP-897</t>
  </si>
  <si>
    <t>MP-122</t>
  </si>
  <si>
    <t>QUIM-020</t>
  </si>
  <si>
    <t>FU-003</t>
  </si>
  <si>
    <t>MP-207</t>
  </si>
  <si>
    <t>QUIM-021</t>
  </si>
  <si>
    <t>MP-2023</t>
  </si>
  <si>
    <t>QUIM-022</t>
  </si>
  <si>
    <t>MP-025</t>
  </si>
  <si>
    <t>QUIM-023</t>
  </si>
  <si>
    <t>MP-890</t>
  </si>
  <si>
    <t>MP-361</t>
  </si>
  <si>
    <t>QUIM-024</t>
  </si>
  <si>
    <t>MP-121</t>
  </si>
  <si>
    <t>QUIM-032</t>
  </si>
  <si>
    <t>TERACA-008</t>
  </si>
  <si>
    <t>MP-079</t>
  </si>
  <si>
    <t>TERFUN-037</t>
  </si>
  <si>
    <t>TERFUNO-001</t>
  </si>
  <si>
    <t>MPETI0017</t>
  </si>
  <si>
    <t>TERINS-020</t>
  </si>
  <si>
    <t>MP-212</t>
  </si>
  <si>
    <t>Requerimiento de Materias Primas</t>
  </si>
  <si>
    <t>Cod Materia Prima</t>
  </si>
  <si>
    <t>Descripcion Materia Prima</t>
  </si>
  <si>
    <t xml:space="preserve">Cantidad </t>
  </si>
  <si>
    <t>CodigoVentaproducto</t>
  </si>
  <si>
    <t>NombreGrupo</t>
  </si>
  <si>
    <t>OT124</t>
  </si>
  <si>
    <t>MATERIA PRIMA</t>
  </si>
  <si>
    <t>TROY-002</t>
  </si>
  <si>
    <t>TB-1902802001</t>
  </si>
  <si>
    <t>G-004</t>
  </si>
  <si>
    <t xml:space="preserve">MATERIA PRIMA </t>
  </si>
  <si>
    <t>HT001</t>
  </si>
  <si>
    <t xml:space="preserve">TERMINADO </t>
  </si>
  <si>
    <t>BA-028</t>
  </si>
  <si>
    <t>TERMINADO</t>
  </si>
  <si>
    <t>F-004</t>
  </si>
  <si>
    <t>F-008</t>
  </si>
  <si>
    <t>F-009</t>
  </si>
  <si>
    <t>F-010</t>
  </si>
  <si>
    <t>F-017</t>
  </si>
  <si>
    <t>FUN-01</t>
  </si>
  <si>
    <t>IN -141</t>
  </si>
  <si>
    <t>IN-041.</t>
  </si>
  <si>
    <t>IN-105</t>
  </si>
  <si>
    <t>MP - 063</t>
  </si>
  <si>
    <t>MP - 233</t>
  </si>
  <si>
    <t>MP -234</t>
  </si>
  <si>
    <t>MP-003</t>
  </si>
  <si>
    <t>MP-006</t>
  </si>
  <si>
    <t>MP-007</t>
  </si>
  <si>
    <t>MP-008</t>
  </si>
  <si>
    <t>MP-010</t>
  </si>
  <si>
    <t>MP-026</t>
  </si>
  <si>
    <t>MP-032</t>
  </si>
  <si>
    <t>MP-033</t>
  </si>
  <si>
    <t>MP-040</t>
  </si>
  <si>
    <t>MP-071</t>
  </si>
  <si>
    <t>MP-072</t>
  </si>
  <si>
    <t>MP-085</t>
  </si>
  <si>
    <t>MP-086</t>
  </si>
  <si>
    <t>MP-087</t>
  </si>
  <si>
    <t>MP-088</t>
  </si>
  <si>
    <t>MP-094</t>
  </si>
  <si>
    <t>MP-104</t>
  </si>
  <si>
    <t>MP-126</t>
  </si>
  <si>
    <t>MP-127</t>
  </si>
  <si>
    <t>MP-138</t>
  </si>
  <si>
    <t>MP-139</t>
  </si>
  <si>
    <t>MP-147</t>
  </si>
  <si>
    <t>MP-155</t>
  </si>
  <si>
    <t>MP-157</t>
  </si>
  <si>
    <t>MP-166</t>
  </si>
  <si>
    <t>MP-167</t>
  </si>
  <si>
    <t>MP-176</t>
  </si>
  <si>
    <t>MP-183</t>
  </si>
  <si>
    <t>MP-193</t>
  </si>
  <si>
    <t>MP-209</t>
  </si>
  <si>
    <t>MP-215</t>
  </si>
  <si>
    <t>MP-226</t>
  </si>
  <si>
    <t>MP-231</t>
  </si>
  <si>
    <t>MP-232</t>
  </si>
  <si>
    <t>MP-233</t>
  </si>
  <si>
    <t>MP-241</t>
  </si>
  <si>
    <t>MP-243</t>
  </si>
  <si>
    <t>MP-258</t>
  </si>
  <si>
    <t>MP-265</t>
  </si>
  <si>
    <t>MP-271</t>
  </si>
  <si>
    <t>MP-274</t>
  </si>
  <si>
    <t>MP-279</t>
  </si>
  <si>
    <t>MP-317</t>
  </si>
  <si>
    <t>MP-318</t>
  </si>
  <si>
    <t>MP-319</t>
  </si>
  <si>
    <t>MP-320</t>
  </si>
  <si>
    <t>MP-322</t>
  </si>
  <si>
    <t>MP-323</t>
  </si>
  <si>
    <t>MP-325</t>
  </si>
  <si>
    <t>MP-350</t>
  </si>
  <si>
    <t>MP-359</t>
  </si>
  <si>
    <t>MP-360</t>
  </si>
  <si>
    <t>MP-374</t>
  </si>
  <si>
    <t>MP-382</t>
  </si>
  <si>
    <t>MP-387</t>
  </si>
  <si>
    <t>MP-388</t>
  </si>
  <si>
    <t>MP-391</t>
  </si>
  <si>
    <t>MP-403</t>
  </si>
  <si>
    <t>MP-405</t>
  </si>
  <si>
    <t>MP-406</t>
  </si>
  <si>
    <t>MP-408</t>
  </si>
  <si>
    <t>MP-414</t>
  </si>
  <si>
    <t>MP-415</t>
  </si>
  <si>
    <t>MP-416</t>
  </si>
  <si>
    <t>MP-417</t>
  </si>
  <si>
    <t>MP-855</t>
  </si>
  <si>
    <t>MP-856</t>
  </si>
  <si>
    <t>MP-857</t>
  </si>
  <si>
    <t>OT-487</t>
  </si>
  <si>
    <t>OT-528</t>
  </si>
  <si>
    <t>PT-029</t>
  </si>
  <si>
    <t>MP-460         er</t>
  </si>
  <si>
    <t>MP-038</t>
  </si>
  <si>
    <t>MP-2601err</t>
  </si>
  <si>
    <t>MP-2602err</t>
  </si>
  <si>
    <t>MP-1262err</t>
  </si>
  <si>
    <t>MP-2791</t>
  </si>
  <si>
    <t xml:space="preserve">MP-2792        </t>
  </si>
  <si>
    <t>LIQ-0005</t>
  </si>
  <si>
    <t>AM-001</t>
  </si>
  <si>
    <t>G-0012</t>
  </si>
  <si>
    <t>G-0014</t>
  </si>
  <si>
    <t>G-0015</t>
  </si>
  <si>
    <t>G-008</t>
  </si>
  <si>
    <t>IN-081</t>
  </si>
  <si>
    <t>MP-398</t>
  </si>
  <si>
    <t>MP-6612err</t>
  </si>
  <si>
    <t>MP-66690</t>
  </si>
  <si>
    <t>MP-578</t>
  </si>
  <si>
    <t>IN-666</t>
  </si>
  <si>
    <t>IN-667</t>
  </si>
  <si>
    <t>IN-768</t>
  </si>
  <si>
    <t>IN-94</t>
  </si>
  <si>
    <t>MP.0302</t>
  </si>
  <si>
    <t>MP-031</t>
  </si>
  <si>
    <t>MP-1266</t>
  </si>
  <si>
    <t>MP-1945</t>
  </si>
  <si>
    <t>MP-2621err</t>
  </si>
  <si>
    <t>MP-790</t>
  </si>
  <si>
    <t>MP-791</t>
  </si>
  <si>
    <t>MP-859</t>
  </si>
  <si>
    <t>OT-080</t>
  </si>
  <si>
    <t>C-0010</t>
  </si>
  <si>
    <t>C-009</t>
  </si>
  <si>
    <t>G-002</t>
  </si>
  <si>
    <t>MP-013</t>
  </si>
  <si>
    <t>MP-042</t>
  </si>
  <si>
    <t>MP-078</t>
  </si>
  <si>
    <t>MP-1262</t>
  </si>
  <si>
    <t>PT-016</t>
  </si>
  <si>
    <t>IN-38</t>
  </si>
  <si>
    <t>QUIM-025</t>
  </si>
  <si>
    <t>MP-802</t>
  </si>
  <si>
    <t>MP-543</t>
  </si>
  <si>
    <t>OT-116772</t>
  </si>
  <si>
    <t>OT-10011</t>
  </si>
  <si>
    <t>MP-0031</t>
  </si>
  <si>
    <t>MP-7911</t>
  </si>
  <si>
    <t>MP-01245</t>
  </si>
  <si>
    <t>OT-078</t>
  </si>
  <si>
    <t>MP-0641</t>
  </si>
  <si>
    <t>MP-0221</t>
  </si>
  <si>
    <t>MP-3611</t>
  </si>
  <si>
    <t>MP-3612</t>
  </si>
  <si>
    <t>MP-256</t>
  </si>
  <si>
    <t>MP-039</t>
  </si>
  <si>
    <t>MP-0241</t>
  </si>
  <si>
    <t>MP-0242</t>
  </si>
  <si>
    <t>MP-0291</t>
  </si>
  <si>
    <t>MP-0292</t>
  </si>
  <si>
    <t>MP-060</t>
  </si>
  <si>
    <t>MP-061</t>
  </si>
  <si>
    <t>MP-019445</t>
  </si>
  <si>
    <t>MP-01945</t>
  </si>
  <si>
    <t>PT-J001</t>
  </si>
  <si>
    <t>MP-250</t>
  </si>
  <si>
    <t>OT-M.CHAVET</t>
  </si>
  <si>
    <t>MP-280</t>
  </si>
  <si>
    <t>IN-0029</t>
  </si>
  <si>
    <t>MP-281</t>
  </si>
  <si>
    <t>COA-001</t>
  </si>
  <si>
    <t>COA-002</t>
  </si>
  <si>
    <t>COA-003</t>
  </si>
  <si>
    <t>COA-004</t>
  </si>
  <si>
    <t>COA-005</t>
  </si>
  <si>
    <t>CY-001</t>
  </si>
  <si>
    <t>SC-002</t>
  </si>
  <si>
    <t>EQ-001</t>
  </si>
  <si>
    <t>EQ-002</t>
  </si>
  <si>
    <t>MARTINEZ-RAT-001</t>
  </si>
  <si>
    <t>IH-001</t>
  </si>
  <si>
    <t>EU-10022-45</t>
  </si>
  <si>
    <t>FARM AGRO-MATBIC475CC</t>
  </si>
  <si>
    <t>IN-00128</t>
  </si>
  <si>
    <t>IN-IN001</t>
  </si>
  <si>
    <t>IN-IN002</t>
  </si>
  <si>
    <t>MP-252</t>
  </si>
  <si>
    <t>MP-253</t>
  </si>
  <si>
    <t>MP-277</t>
  </si>
  <si>
    <t>MP-8031</t>
  </si>
  <si>
    <t>MP-8021</t>
  </si>
  <si>
    <t>POLEA-0001</t>
  </si>
  <si>
    <t>POLEA-0002</t>
  </si>
  <si>
    <t>POLEA-0001-1</t>
  </si>
  <si>
    <t>POLEA-0002-1</t>
  </si>
  <si>
    <t>MPFUN002</t>
  </si>
  <si>
    <t>MPFUN003</t>
  </si>
  <si>
    <t>PTHER008</t>
  </si>
  <si>
    <t>MPETI005</t>
  </si>
  <si>
    <t>MPFUND011</t>
  </si>
  <si>
    <t>MPFUND012</t>
  </si>
  <si>
    <t>MPFUND013</t>
  </si>
  <si>
    <t>MPFUND014</t>
  </si>
  <si>
    <t>MPFUND001</t>
  </si>
  <si>
    <t>ECU-22360032</t>
  </si>
  <si>
    <t>ECU-22520045</t>
  </si>
  <si>
    <t>ETI00234</t>
  </si>
  <si>
    <t>MPETI0018</t>
  </si>
  <si>
    <t>COA-007</t>
  </si>
  <si>
    <t>COA-008</t>
  </si>
  <si>
    <t>COA-009</t>
  </si>
  <si>
    <t>COA-010</t>
  </si>
  <si>
    <t>MPFUND002</t>
  </si>
  <si>
    <t>Tipo</t>
  </si>
  <si>
    <t>250 MILILITROS</t>
  </si>
  <si>
    <t>500 MILILITROS</t>
  </si>
  <si>
    <t>ENVASE FARMACEUTICO 120 ML</t>
  </si>
  <si>
    <t>ENVASE PET 250 ML</t>
  </si>
  <si>
    <t>ENVASE PET 500 ML</t>
  </si>
  <si>
    <t>BUCANER X LT</t>
  </si>
  <si>
    <t>ETIQUETA BUCANER X LITRO</t>
  </si>
  <si>
    <t>SULFATO DE COBRE 24%</t>
  </si>
  <si>
    <t>BUCANER FORTE X 500 ML</t>
  </si>
  <si>
    <t>ETIQUETA BUCANER FORTE X 500 ML</t>
  </si>
  <si>
    <t>SULFATO DE COBRE + AMINOACIDOS X LT</t>
  </si>
  <si>
    <t>BUCANER FORTE X 250 ML</t>
  </si>
  <si>
    <t>ETIQUETA BUCANER FORTE X 250 ML</t>
  </si>
  <si>
    <t>BUCANER FORTE X 100 ML</t>
  </si>
  <si>
    <t>ETIQUETA BUCANER FORTE X 100 ML</t>
  </si>
  <si>
    <t>BUCANER FORTE X LITRO</t>
  </si>
  <si>
    <t>ETIQUETA BUCANER FORTE X LITRO</t>
  </si>
  <si>
    <t>TENSOACTIVO HUMECTANTE</t>
  </si>
  <si>
    <t>ETIQUETA AGROTAFIX X LITRO</t>
  </si>
  <si>
    <t>Causa</t>
  </si>
  <si>
    <t>OBSERVACIÓN</t>
  </si>
  <si>
    <t>N</t>
  </si>
  <si>
    <t>CÓDIGO</t>
  </si>
  <si>
    <t>DESCRIPCIÓN</t>
  </si>
  <si>
    <t>DETALLE DE REQUERIMIENTOS</t>
  </si>
  <si>
    <t>EMPRESA:</t>
  </si>
  <si>
    <t>FECHA:</t>
  </si>
  <si>
    <t>PROVEEDOR</t>
  </si>
  <si>
    <t>TERFUN-050</t>
  </si>
  <si>
    <t>ETIFUN003</t>
  </si>
  <si>
    <t>TERINS-021</t>
  </si>
  <si>
    <t xml:space="preserve"> MPNUT-017 </t>
  </si>
  <si>
    <t>AGROTAFIX X LT</t>
  </si>
  <si>
    <t>CUMPLIMIENTO</t>
  </si>
  <si>
    <t>DESCRIPCION</t>
  </si>
  <si>
    <t>AGROFORESTAL</t>
  </si>
  <si>
    <t>REPUESTOS DESMALEZADORA</t>
  </si>
  <si>
    <t>EC-B450/AUS</t>
  </si>
  <si>
    <t>DESMALEZADORA B450 AUS</t>
  </si>
  <si>
    <t>DESMALEZADORA</t>
  </si>
  <si>
    <t>MOTOSIERRA CS-420-45 CON BARRA Y CADENA</t>
  </si>
  <si>
    <t>MOTOSIERRAS</t>
  </si>
  <si>
    <t>EC-CS-600-60EUSTD</t>
  </si>
  <si>
    <t>MOTOSIERRA CS-600-60 CON BARRA Y CADENA</t>
  </si>
  <si>
    <t>DESMALEZADORA B450</t>
  </si>
  <si>
    <t>EC-DM-6110EUSTD</t>
  </si>
  <si>
    <t>NEBULIZADORA, PULVERIZADORA 23LITROS</t>
  </si>
  <si>
    <t>NEBULIZADORA. PULVERIZADORA Y ESPOLVEADORA</t>
  </si>
  <si>
    <t>EC-A230000000</t>
  </si>
  <si>
    <t>REJILLA FILTRO AIRE SRM4300</t>
  </si>
  <si>
    <t>BOMBA DE FUMIGAR A MOTOR ES726</t>
  </si>
  <si>
    <t>BOMBA DE FUMIGACION</t>
  </si>
  <si>
    <t>EC-21003204110</t>
  </si>
  <si>
    <t>OBTURADOR TUBO RECTO DM6110</t>
  </si>
  <si>
    <t>REPUESTOS NEBULIZADORA. PULVERIZADORA Y ESPOLVEADORA</t>
  </si>
  <si>
    <t>EC-P022033110</t>
  </si>
  <si>
    <t>CARCAZA DE LA CAJA DE ENGRANAJE SRM4300</t>
  </si>
  <si>
    <t>PODADORA DE EXTENSION 2400STD</t>
  </si>
  <si>
    <t xml:space="preserve">PODADORAS DE ALTURA </t>
  </si>
  <si>
    <t>EC-70602019230</t>
  </si>
  <si>
    <t>CIGUEÑAL DEL MECANISMO BOMBA SHP800</t>
  </si>
  <si>
    <t>REPUESTO BOMBA DE FUMIGACION</t>
  </si>
  <si>
    <t>EC-GT-22GES</t>
  </si>
  <si>
    <t>PODADORA HOME GT-22GES</t>
  </si>
  <si>
    <t>COMPLETO</t>
  </si>
  <si>
    <t>Pérdida en proveedor de transporte</t>
  </si>
  <si>
    <t>Retraso del proveedor</t>
  </si>
  <si>
    <t>FAMILIA</t>
  </si>
  <si>
    <t>SUBFAMILIA</t>
  </si>
  <si>
    <t>CATEGORIA</t>
  </si>
  <si>
    <t>TIPO</t>
  </si>
  <si>
    <t>MARCA</t>
  </si>
  <si>
    <t>MODELO</t>
  </si>
  <si>
    <t>CAT MANAGEMENT</t>
  </si>
  <si>
    <t>GRUPO</t>
  </si>
  <si>
    <t>LINEA</t>
  </si>
  <si>
    <t>pro_grupo</t>
  </si>
  <si>
    <t>pro_linea</t>
  </si>
  <si>
    <t>pro_sublinea</t>
  </si>
  <si>
    <t>pro_modelo</t>
  </si>
  <si>
    <t>pro_familia</t>
  </si>
  <si>
    <t>pro_subfamilia</t>
  </si>
  <si>
    <t>pro_categoria</t>
  </si>
  <si>
    <t>pro_tipo</t>
  </si>
  <si>
    <t>pro_marca</t>
  </si>
  <si>
    <t>pro_cat_management</t>
  </si>
  <si>
    <t>SUBLINEA</t>
  </si>
  <si>
    <t>INV FISICO</t>
  </si>
  <si>
    <t>COMPROMETIDO</t>
  </si>
  <si>
    <t>BACKORDER</t>
  </si>
  <si>
    <t>INV TRANSITO</t>
  </si>
  <si>
    <t>PERFIL</t>
  </si>
  <si>
    <t>CODIGO GENERICO</t>
  </si>
  <si>
    <t>PEDIDO MIN</t>
  </si>
  <si>
    <t>PEDIDO MIN GRUPO</t>
  </si>
  <si>
    <t>PEDIDO PROMEDIO</t>
  </si>
  <si>
    <t>INV PROYECTADO</t>
  </si>
  <si>
    <t>UNIDAD EMPAQUE</t>
  </si>
  <si>
    <t>Error Pedid Min Grupo</t>
  </si>
  <si>
    <t>NEGOCIACIÓN</t>
  </si>
  <si>
    <t>PRODUCCIÓN</t>
  </si>
  <si>
    <t>EMBARCADO</t>
  </si>
  <si>
    <t>TAMAÑO RELATIVO</t>
  </si>
  <si>
    <t>con_empresa</t>
  </si>
  <si>
    <t>con_archivo</t>
  </si>
  <si>
    <t>con_bodega</t>
  </si>
  <si>
    <t>con_proveedor</t>
  </si>
  <si>
    <t>con_perfil</t>
  </si>
  <si>
    <t>con_codigo</t>
  </si>
  <si>
    <t>con_codigo_generico</t>
  </si>
  <si>
    <t>con_codigo_vinculado</t>
  </si>
  <si>
    <t>con_nuevo_buffer_sugerido</t>
  </si>
  <si>
    <t>con_nuevo_buffer_real</t>
  </si>
  <si>
    <t>con_observaciones</t>
  </si>
  <si>
    <t>con_tipo</t>
  </si>
  <si>
    <t>con_ctv</t>
  </si>
  <si>
    <t>con_pv</t>
  </si>
  <si>
    <t>con_pedido_minimo</t>
  </si>
  <si>
    <t>con_pedido_minimo_grupo</t>
  </si>
  <si>
    <t>con_unidad_empaque</t>
  </si>
  <si>
    <t>con_porcentaje_atencion</t>
  </si>
  <si>
    <t>con_inventario_proveedor</t>
  </si>
  <si>
    <t>con_buffer</t>
  </si>
  <si>
    <t>con_inventario_fisico</t>
  </si>
  <si>
    <t>con_color</t>
  </si>
  <si>
    <t>con_estado_buffer</t>
  </si>
  <si>
    <t>con_transito</t>
  </si>
  <si>
    <t>con_negociacion</t>
  </si>
  <si>
    <t>con_produccion</t>
  </si>
  <si>
    <t>con_embarcado</t>
  </si>
  <si>
    <t>con_comprometido</t>
  </si>
  <si>
    <t>con_backorder</t>
  </si>
  <si>
    <t>con_inventario_proyectado</t>
  </si>
  <si>
    <t>con_pedido_calculado</t>
  </si>
  <si>
    <t>con_pedido_real</t>
  </si>
  <si>
    <t>con_pedido_promedio</t>
  </si>
  <si>
    <t>con_tdd</t>
  </si>
  <si>
    <t>con_idd</t>
  </si>
  <si>
    <t>con_rentabilidad</t>
  </si>
  <si>
    <t>con_velocity</t>
  </si>
  <si>
    <t>con_nivel_servicio</t>
  </si>
  <si>
    <t>con_ultimo_cambio</t>
  </si>
  <si>
    <t>con_tipo_compra</t>
  </si>
  <si>
    <t>con_consumo</t>
  </si>
  <si>
    <t>con_ped_prom</t>
  </si>
  <si>
    <t>pro_catpropia1</t>
  </si>
  <si>
    <t>pro_catpropia2</t>
  </si>
  <si>
    <t>pro_catpropia3</t>
  </si>
  <si>
    <t>pro_catpropia4</t>
  </si>
  <si>
    <t>pro_catpropia5</t>
  </si>
  <si>
    <t>con_fin</t>
  </si>
  <si>
    <t>Una prueba de transferencia</t>
  </si>
  <si>
    <t>emp_codigo</t>
  </si>
  <si>
    <t>emp_nombre</t>
  </si>
  <si>
    <t>bod_codigo</t>
  </si>
  <si>
    <t>bod_nombre</t>
  </si>
  <si>
    <t>CONSUMO INV PROY</t>
  </si>
  <si>
    <t>COBERT BUFFER</t>
  </si>
  <si>
    <t>COBERT INV PROY</t>
  </si>
  <si>
    <t>COBERT PEDID MIN</t>
  </si>
  <si>
    <t>COLOR</t>
  </si>
  <si>
    <t>COLOR1</t>
  </si>
  <si>
    <t>DIAS DESABASTECIM</t>
  </si>
  <si>
    <t>RENTABILID PROY</t>
  </si>
  <si>
    <t>con_gdb</t>
  </si>
  <si>
    <t>con_cam</t>
  </si>
  <si>
    <t>con_comportamiento</t>
  </si>
  <si>
    <t>con_consumo1</t>
  </si>
  <si>
    <t>con_buffer_calculado</t>
  </si>
  <si>
    <t>con_cobertura_buffer</t>
  </si>
  <si>
    <t>con_cobertura_inventario_proyectado</t>
  </si>
  <si>
    <t>con_cobertura_pedido_minimo</t>
  </si>
  <si>
    <t>con_dias_desabastecimiento</t>
  </si>
  <si>
    <t>con_buffer_minimo</t>
  </si>
  <si>
    <t>con_buffer_maximo</t>
  </si>
  <si>
    <t>con_impacto_faltante</t>
  </si>
  <si>
    <t>con_zona_amarilla</t>
  </si>
  <si>
    <t>con_zona_roja</t>
  </si>
  <si>
    <t>con_color1</t>
  </si>
  <si>
    <t>con_ultimo_buffer</t>
  </si>
  <si>
    <t>con_buffer_anterior_estacion</t>
  </si>
  <si>
    <t>con_buffer_estacional</t>
  </si>
  <si>
    <t>con_estado_buffer_proyectado</t>
  </si>
  <si>
    <t>con_calendario_estacional</t>
  </si>
  <si>
    <t>con_accion_estacional</t>
  </si>
  <si>
    <t>con_etapa_estacional</t>
  </si>
  <si>
    <t>con_rentabilidad_proyectada</t>
  </si>
  <si>
    <t>con_inicio_horizonte</t>
  </si>
  <si>
    <t>con_fin_horizonte</t>
  </si>
  <si>
    <t>con_variabilidad</t>
  </si>
  <si>
    <t>con_rojo_acumulado</t>
  </si>
  <si>
    <t>con_negro</t>
  </si>
  <si>
    <t>con_rojo</t>
  </si>
  <si>
    <t>con_amarillo</t>
  </si>
  <si>
    <t>con_verde</t>
  </si>
  <si>
    <t>con_lila</t>
  </si>
  <si>
    <t>con_ingresos</t>
  </si>
  <si>
    <t>con_egresos</t>
  </si>
  <si>
    <t>pro_precio</t>
  </si>
  <si>
    <t>pro_costo</t>
  </si>
  <si>
    <t>datos_consolidados_id</t>
  </si>
  <si>
    <t>pro_nombre</t>
  </si>
  <si>
    <t>pre_nombre</t>
  </si>
  <si>
    <t>CODIGO VINCULADO</t>
  </si>
  <si>
    <t>pro_descripcion</t>
  </si>
  <si>
    <t>pro_codigogenerico</t>
  </si>
  <si>
    <t>pro_codigovinculado</t>
  </si>
  <si>
    <t>1</t>
  </si>
  <si>
    <t>pre_tiemposuministro</t>
  </si>
  <si>
    <t>pre_frecuenciareposicion</t>
  </si>
  <si>
    <t>T REP</t>
  </si>
  <si>
    <t>F REP</t>
  </si>
  <si>
    <t>con_pospone_alerta_buf</t>
  </si>
  <si>
    <t>con_pospone_alerta_red</t>
  </si>
  <si>
    <t>con_pospone_alerta_gdb</t>
  </si>
  <si>
    <t>Color Proyectado</t>
  </si>
  <si>
    <t>ZONA AMARILLA</t>
  </si>
  <si>
    <t>ZONA ROJA</t>
  </si>
  <si>
    <t>FECHA</t>
  </si>
  <si>
    <t>FECHAS_CONSUMO</t>
  </si>
  <si>
    <t>FECHA_FORMATO</t>
  </si>
  <si>
    <t>Estatus</t>
  </si>
  <si>
    <t>ULT TRANSFER INI</t>
  </si>
  <si>
    <t>ULT TRANSFER FIN</t>
  </si>
  <si>
    <t>con_estatus</t>
  </si>
  <si>
    <t>con_ultima_transferencia_ini</t>
  </si>
  <si>
    <t>con_ultima_transferencia_fin</t>
  </si>
  <si>
    <t>EMBARQUES</t>
  </si>
  <si>
    <t>Emb1</t>
  </si>
  <si>
    <t>Emb2</t>
  </si>
  <si>
    <t>Emb3</t>
  </si>
  <si>
    <t>Emb4</t>
  </si>
  <si>
    <t>Emb5</t>
  </si>
  <si>
    <t>OBSERVACIONES</t>
  </si>
  <si>
    <t>admin</t>
  </si>
  <si>
    <t>buh_empresa</t>
  </si>
  <si>
    <t>buh_archivo</t>
  </si>
  <si>
    <t>buh_fecha</t>
  </si>
  <si>
    <t>buh_bodega</t>
  </si>
  <si>
    <t>buh_codigo</t>
  </si>
  <si>
    <t>buh_codigo_funcional</t>
  </si>
  <si>
    <t>buh_codigo_vinculado</t>
  </si>
  <si>
    <t>buh_codigo_generico</t>
  </si>
  <si>
    <t>buh_estatus</t>
  </si>
  <si>
    <t>buh_clasificacion</t>
  </si>
  <si>
    <t>buh_responsable</t>
  </si>
  <si>
    <t>buh_ctv</t>
  </si>
  <si>
    <t>buh_pv</t>
  </si>
  <si>
    <t>buh_precio_promocion</t>
  </si>
  <si>
    <t>buh_promocion_desde</t>
  </si>
  <si>
    <t>buh_promocion_hasta</t>
  </si>
  <si>
    <t>buh_proveedor</t>
  </si>
  <si>
    <t>buh_perfil</t>
  </si>
  <si>
    <t>buh_horizonte</t>
  </si>
  <si>
    <t>buh_tiempo_suministro</t>
  </si>
  <si>
    <t>buh_frecuencia_reposicion</t>
  </si>
  <si>
    <t>buh_gdb</t>
  </si>
  <si>
    <t>buh_cam</t>
  </si>
  <si>
    <t>buh_etapa</t>
  </si>
  <si>
    <t>buh_nuevo_buffer_sugerido</t>
  </si>
  <si>
    <t>buh_comportamiento</t>
  </si>
  <si>
    <t>buh_consumo</t>
  </si>
  <si>
    <t>buh_buffer_calculado</t>
  </si>
  <si>
    <t>buh_cobertura_buffer</t>
  </si>
  <si>
    <t>buh_cobertura_inventario_proyectado</t>
  </si>
  <si>
    <t>buh_cobertura_pedido_minimo</t>
  </si>
  <si>
    <t>buh_dias_desabastecimiento</t>
  </si>
  <si>
    <t>buh_ventas_perdidas</t>
  </si>
  <si>
    <t>buh_observaciones</t>
  </si>
  <si>
    <t>buh_nuevo_buffer_real</t>
  </si>
  <si>
    <t>buh_posponer_alerta_buf</t>
  </si>
  <si>
    <t>buh_posponer_alerta_red</t>
  </si>
  <si>
    <t>buh_posponer_alerta_gdb</t>
  </si>
  <si>
    <t>buh_buffer_minimo</t>
  </si>
  <si>
    <t>buh_buffer_maximo</t>
  </si>
  <si>
    <t>buh_pedido_minimo</t>
  </si>
  <si>
    <t>buh_pedido_minimo_grupo</t>
  </si>
  <si>
    <t>buh_unidad_empaque</t>
  </si>
  <si>
    <t>buh_porcentaje_atencion</t>
  </si>
  <si>
    <t>buh_impacto_faltante</t>
  </si>
  <si>
    <t>buh_buffer_actual</t>
  </si>
  <si>
    <t>buh_zona_amarilla</t>
  </si>
  <si>
    <t>buh_zona_roja</t>
  </si>
  <si>
    <t>buh_color_inventario_fisico</t>
  </si>
  <si>
    <t>buh_color_inventario_proyectado</t>
  </si>
  <si>
    <t>buh_ultimo_buffer</t>
  </si>
  <si>
    <t>buh_buffer_anterior_estacion</t>
  </si>
  <si>
    <t>buh_buffer_estacional</t>
  </si>
  <si>
    <t>buh_inventario_proveedor</t>
  </si>
  <si>
    <t>buh_inventario_fisico</t>
  </si>
  <si>
    <t>buh_estado_inventario_fisico</t>
  </si>
  <si>
    <t>buh_transito</t>
  </si>
  <si>
    <t>buh_negociacion</t>
  </si>
  <si>
    <t>buh_produccion</t>
  </si>
  <si>
    <t>buh_embarcado</t>
  </si>
  <si>
    <t>buh_comprometido</t>
  </si>
  <si>
    <t>buh_backorder</t>
  </si>
  <si>
    <t>buh_inventario_proyectado</t>
  </si>
  <si>
    <t>buh_estado_inventario_proyectado</t>
  </si>
  <si>
    <t>buh_ingresos</t>
  </si>
  <si>
    <t>buh_egresos</t>
  </si>
  <si>
    <t>buh_pedido_calculado</t>
  </si>
  <si>
    <t>buh_pedido_promedio</t>
  </si>
  <si>
    <t>buh_pedido_real</t>
  </si>
  <si>
    <t>buh_calendario_estacional</t>
  </si>
  <si>
    <t>buh_accion_estacional</t>
  </si>
  <si>
    <t>buh_etapa_estacional</t>
  </si>
  <si>
    <t>buh_tdd</t>
  </si>
  <si>
    <t>buh_idd</t>
  </si>
  <si>
    <t>buh_roi_pasado</t>
  </si>
  <si>
    <t>buh_roi_proyectado</t>
  </si>
  <si>
    <t>buh_velocity</t>
  </si>
  <si>
    <t>buh_nivel_servicio</t>
  </si>
  <si>
    <t>buh_ultimo_cambio</t>
  </si>
  <si>
    <t>buh_nuevo_inicio_horizonte</t>
  </si>
  <si>
    <t>buh_inicio_horizonte</t>
  </si>
  <si>
    <t>buh_fin_horizonte</t>
  </si>
  <si>
    <t>buh_ultima_transferencia_ini</t>
  </si>
  <si>
    <t>buh_ultima_transferencia_fin</t>
  </si>
  <si>
    <t>buh_variabilidad</t>
  </si>
  <si>
    <t>buh_rojo_acumulado</t>
  </si>
  <si>
    <t>buh_negro</t>
  </si>
  <si>
    <t>buh_rojo</t>
  </si>
  <si>
    <t>buh_amarillo</t>
  </si>
  <si>
    <t>buh_verde</t>
  </si>
  <si>
    <t>buh_lila</t>
  </si>
  <si>
    <t>ach_nombre</t>
  </si>
  <si>
    <t>0</t>
  </si>
  <si>
    <t>A</t>
  </si>
  <si>
    <t>R</t>
  </si>
  <si>
    <t>L</t>
  </si>
  <si>
    <t>V</t>
  </si>
  <si>
    <t>buh_redondeo_pedido_minimo</t>
  </si>
  <si>
    <t>buh_redondeo_unidad_empaque</t>
  </si>
  <si>
    <t>buh_pedido_calculado_auxiliar</t>
  </si>
  <si>
    <t>=</t>
  </si>
  <si>
    <t>Bodega Central Agrota</t>
  </si>
  <si>
    <t>AGROTA</t>
  </si>
  <si>
    <t>INV PROVEEDOR</t>
  </si>
  <si>
    <t>110427120444117</t>
  </si>
  <si>
    <t>SUKAMPO</t>
  </si>
  <si>
    <t>110103155817356</t>
  </si>
  <si>
    <t>Loja</t>
  </si>
  <si>
    <t>110103160055089</t>
  </si>
  <si>
    <t>AGROTA BODEGA SUCRE</t>
  </si>
  <si>
    <t>110103160114604</t>
  </si>
  <si>
    <t>Feria Libre</t>
  </si>
  <si>
    <t>110103160152138</t>
  </si>
  <si>
    <t>El Molino</t>
  </si>
  <si>
    <t>110103160219891</t>
  </si>
  <si>
    <t>Plaza Carbon(Byron)</t>
  </si>
  <si>
    <t>110103160504831</t>
  </si>
  <si>
    <t>Problemas Agrota</t>
  </si>
  <si>
    <t>110103160524050</t>
  </si>
  <si>
    <t>Consignacion agrota</t>
  </si>
  <si>
    <t>110124154825020</t>
  </si>
  <si>
    <t>Pendientes</t>
  </si>
  <si>
    <t>110419145525304</t>
  </si>
  <si>
    <t>AGROTA MAQUINAS PARA PRUEBA</t>
  </si>
  <si>
    <t>110420124037319</t>
  </si>
  <si>
    <t>BODEGA CENTRAL</t>
  </si>
  <si>
    <t>110420124120329</t>
  </si>
  <si>
    <t>Bodega Almacen (Su Campo)</t>
  </si>
  <si>
    <t>110420124887319</t>
  </si>
  <si>
    <t>MARCIMEX TIENDA PELILEO</t>
  </si>
  <si>
    <t>110427120444133</t>
  </si>
  <si>
    <t>GUAYAQUIL SUKAMPO</t>
  </si>
  <si>
    <t>110511130644653</t>
  </si>
  <si>
    <t>Maquinas desarmadas</t>
  </si>
  <si>
    <t>110630160959520</t>
  </si>
  <si>
    <t>Activos Agrota Matriz</t>
  </si>
  <si>
    <t>110630161133822</t>
  </si>
  <si>
    <t>Activos Agrota Feria Libre</t>
  </si>
  <si>
    <t>110802090120553</t>
  </si>
  <si>
    <t>AGROTA BODEGA FALTANTES DE IMPORTACION Y COMPRAS</t>
  </si>
  <si>
    <t>120215162424790</t>
  </si>
  <si>
    <t>AGROTA BODEGA  YAMABIKO</t>
  </si>
  <si>
    <t>120405151906890</t>
  </si>
  <si>
    <t>BODEGA TALLER SUKAMPO</t>
  </si>
  <si>
    <t>120502085602702</t>
  </si>
  <si>
    <t>BODEGA SUKAMPO</t>
  </si>
  <si>
    <t>120608084159153</t>
  </si>
  <si>
    <t>REPUESTOS PARA MAQUINAS SIN IP</t>
  </si>
  <si>
    <t>120614113332586</t>
  </si>
  <si>
    <t>BODEGA MAQUINAS PERDIDAS TRANSPORTE</t>
  </si>
  <si>
    <t>120620163212574</t>
  </si>
  <si>
    <t>MAQUINAS DESARMADAS FAUSTO</t>
  </si>
  <si>
    <t>120710154409593</t>
  </si>
  <si>
    <t>AGROTA BODEGA GARANTIAS AGROPECUARIA</t>
  </si>
  <si>
    <t>120712110847655</t>
  </si>
  <si>
    <t>PROBLEMAS MAQ. PRUEBA</t>
  </si>
  <si>
    <t>120827112828673</t>
  </si>
  <si>
    <t>MAQUINAS USADAS SUKAMPO</t>
  </si>
  <si>
    <t>120927154926712</t>
  </si>
  <si>
    <t>CONSIGNACION AGROINSUMOS</t>
  </si>
  <si>
    <t>120927162604298</t>
  </si>
  <si>
    <t>120927162820440</t>
  </si>
  <si>
    <t>PRODUCCION</t>
  </si>
  <si>
    <t>120927162925851</t>
  </si>
  <si>
    <t>PRODUCTO TERMINADO</t>
  </si>
  <si>
    <t>121101103935784</t>
  </si>
  <si>
    <t>HACIENDA CHUQUIPATA</t>
  </si>
  <si>
    <t>121114085319812</t>
  </si>
  <si>
    <t>FALTANTES REPUESTOS</t>
  </si>
  <si>
    <t>130201114452275</t>
  </si>
  <si>
    <t>MARCIMEX TIENDA QUEVEDO 7 DE OCTUBRE</t>
  </si>
  <si>
    <t>130201114452276</t>
  </si>
  <si>
    <t>MARCIMEX TIENDA QUEVEDO CALLE PRIMERA</t>
  </si>
  <si>
    <t>130201114452291</t>
  </si>
  <si>
    <t xml:space="preserve">MARCIMEX TIENDA QUEVEDO SAN CAMILO </t>
  </si>
  <si>
    <t>130201114452299</t>
  </si>
  <si>
    <t xml:space="preserve"> MARCIMEX TIENDA LA MANA</t>
  </si>
  <si>
    <t>130201114453000</t>
  </si>
  <si>
    <t>MARCIMEX TIENDA BUENA FE</t>
  </si>
  <si>
    <t>130201114453001</t>
  </si>
  <si>
    <t>MARCIMEX TIENDA  El EMPALME</t>
  </si>
  <si>
    <t>130201114453002</t>
  </si>
  <si>
    <t>AGROTA BODEGA LICITACIONES</t>
  </si>
  <si>
    <t>130201114453012</t>
  </si>
  <si>
    <t>MARCIMEX TIENDA STO DOMINGO 29 DE MAYO</t>
  </si>
  <si>
    <t>130201114453013</t>
  </si>
  <si>
    <t>MARCIMEX TIENDA STO. DOMINGO  CALLE QUITO</t>
  </si>
  <si>
    <t>130201114453014</t>
  </si>
  <si>
    <t>MARCIMEX TIENDA LA CONCORDIA</t>
  </si>
  <si>
    <t>130201114453015</t>
  </si>
  <si>
    <t>MARCIMEX TIENDA EL CARMEN</t>
  </si>
  <si>
    <t>130201114453016</t>
  </si>
  <si>
    <t>MARCIMEX TIENDA QUININDE</t>
  </si>
  <si>
    <t>130201114453111</t>
  </si>
  <si>
    <t>MARCIMEX TIENDA LAS GOLONDRINAS</t>
  </si>
  <si>
    <t>130201114453194</t>
  </si>
  <si>
    <t>AGROTA PRODUCCION EUROLATTE</t>
  </si>
  <si>
    <t>13020111445399</t>
  </si>
  <si>
    <t>BODEGA AGROSAD</t>
  </si>
  <si>
    <t>130201114453991</t>
  </si>
  <si>
    <t>BODEGA AGROPROCESOS</t>
  </si>
  <si>
    <t>130201114453992</t>
  </si>
  <si>
    <t>MARCIMEX TIENDA PATRICIA PILAR</t>
  </si>
  <si>
    <t>130201114453993</t>
  </si>
  <si>
    <t>FACTUTARACION IP</t>
  </si>
  <si>
    <t>130201114453994</t>
  </si>
  <si>
    <t>MARCIMEX TIENDA VENTANAS</t>
  </si>
  <si>
    <t>130201194453994</t>
  </si>
  <si>
    <t>AGROTA BODEGA IPS Jose Mora</t>
  </si>
  <si>
    <t>130206622253994</t>
  </si>
  <si>
    <t>AGROTA BODEGA MAQUINAS ARMADAS</t>
  </si>
  <si>
    <t>130206666653994</t>
  </si>
  <si>
    <t>BODEGA CENTRAL MAQUINAS</t>
  </si>
  <si>
    <t>140712090923456</t>
  </si>
  <si>
    <t>MARCIMEX TIENDA  BUCAY</t>
  </si>
  <si>
    <t>1407121234556</t>
  </si>
  <si>
    <t>MARCIMEX TIENDA LA TRONCAL</t>
  </si>
  <si>
    <t>1407121257123</t>
  </si>
  <si>
    <t>MARCIMEX TIENDA  MILAGRO 1</t>
  </si>
  <si>
    <t>1407121600987</t>
  </si>
  <si>
    <t>MARCIMEX TIENDA  NARANJITO</t>
  </si>
  <si>
    <t>140714011009000</t>
  </si>
  <si>
    <t>MARCIMEX TIENDA  EL TRIUNFO</t>
  </si>
  <si>
    <t>140714011519875</t>
  </si>
  <si>
    <t>MARCIMEX TIENDA  PASAJE JUAN MONTALVO</t>
  </si>
  <si>
    <t>140716041188976</t>
  </si>
  <si>
    <t>MARCIMEX TIENDA MACHALA  ROCAFURETE</t>
  </si>
  <si>
    <t>14071911529988</t>
  </si>
  <si>
    <t>MARCIMEX TIENDA  STA. ROSA</t>
  </si>
  <si>
    <t>14072502349876</t>
  </si>
  <si>
    <t>MARCIMEX TIENDA  EL GUABO</t>
  </si>
  <si>
    <t>140729023496666</t>
  </si>
  <si>
    <t>MARCIMEX TIENDA  NARANJAL</t>
  </si>
  <si>
    <t>14072902349876</t>
  </si>
  <si>
    <t>MARCIMEX TIENDA  PONCE  ENRIQUEZ</t>
  </si>
  <si>
    <t>140816134133524</t>
  </si>
  <si>
    <t>MEGACENTRO MACHACHI</t>
  </si>
  <si>
    <t>140816212715222</t>
  </si>
  <si>
    <t>MEGACENTRO LATACUNGA</t>
  </si>
  <si>
    <t>140817083730987</t>
  </si>
  <si>
    <t>MEGACENTRO PEDRO VICENTE MALDONADO</t>
  </si>
  <si>
    <t>140817113245009</t>
  </si>
  <si>
    <t>MEGACENTRO NANEGALITO</t>
  </si>
  <si>
    <t>140817220213235</t>
  </si>
  <si>
    <t>MEGACENTRO EL CHACO</t>
  </si>
  <si>
    <t>141130222930145</t>
  </si>
  <si>
    <t xml:space="preserve"> MARCIMEX TIENDA BABAHOYO</t>
  </si>
  <si>
    <t>150113234715214</t>
  </si>
  <si>
    <t>AGROTA TALLER SUKAMPO SUCRE</t>
  </si>
  <si>
    <t>150226234105125</t>
  </si>
  <si>
    <t>AGROTA TALLER SUKAMPO FERIA LIBRE</t>
  </si>
  <si>
    <t>150309000000214</t>
  </si>
  <si>
    <t>AGROTA SUKAMPO FERIA LIBRE</t>
  </si>
  <si>
    <t>150321180800124</t>
  </si>
  <si>
    <t>BODEGA TVENTAS</t>
  </si>
  <si>
    <t>150321233312345</t>
  </si>
  <si>
    <t>BODEGA MERCALIMSA</t>
  </si>
  <si>
    <t>150322054512451</t>
  </si>
  <si>
    <t>CREDITON CALDERON</t>
  </si>
  <si>
    <t>150322193722000</t>
  </si>
  <si>
    <t>CREDITON COTOCOLLAO</t>
  </si>
  <si>
    <t>150322220115001</t>
  </si>
  <si>
    <t>CREDITON IBARRA</t>
  </si>
  <si>
    <t>150323051320145</t>
  </si>
  <si>
    <t>CREDITON MACHACHI</t>
  </si>
  <si>
    <t>150325230615200</t>
  </si>
  <si>
    <t>CREDITON SAN ANTONIO</t>
  </si>
  <si>
    <t>150406210855214</t>
  </si>
  <si>
    <t>MARCIMEX TIENDA ESPECIALIZADA LA CONCORDIA</t>
  </si>
  <si>
    <t>150415005852147</t>
  </si>
  <si>
    <t>HACIENDA YUNGUILLA</t>
  </si>
  <si>
    <t>150421093741575</t>
  </si>
  <si>
    <t>HACIENDA TARQUI</t>
  </si>
  <si>
    <t>150421105040499</t>
  </si>
  <si>
    <t>MARCIMEX TIENDA YANTZAZA</t>
  </si>
  <si>
    <t>150421152525094</t>
  </si>
  <si>
    <t>MARCIMEX TIENDA ZAMORA</t>
  </si>
  <si>
    <t>150421153811928</t>
  </si>
  <si>
    <t xml:space="preserve">MARCIMEX TIENDA CHONE </t>
  </si>
  <si>
    <t>150421153846983</t>
  </si>
  <si>
    <t>MARCIMEX TIENDA PORTOVIEJO CALLE CHILE</t>
  </si>
  <si>
    <t>150423152334225</t>
  </si>
  <si>
    <t>MARCIMEX TIENDA GUARANDA</t>
  </si>
  <si>
    <t>110509163623189</t>
  </si>
  <si>
    <t>Sucre Sukampo</t>
  </si>
  <si>
    <t>110512090751682</t>
  </si>
  <si>
    <t>Loja Sukampo</t>
  </si>
  <si>
    <t>110512100647953</t>
  </si>
  <si>
    <t>FERIA LIBRE SUKAMPO</t>
  </si>
  <si>
    <t>110630161245754</t>
  </si>
  <si>
    <t>Activos Sukampo Sucre</t>
  </si>
  <si>
    <t>110630161314895</t>
  </si>
  <si>
    <t>Activos Sukampo Feria Libre</t>
  </si>
  <si>
    <t>110630161507497</t>
  </si>
  <si>
    <t>Bodega Sukampo el molino</t>
  </si>
  <si>
    <t>111118090030052</t>
  </si>
  <si>
    <t>Bodega Naranjal</t>
  </si>
  <si>
    <t>120113155312810</t>
  </si>
  <si>
    <t>Taller Feria Libre</t>
  </si>
  <si>
    <t>120806132412293</t>
  </si>
  <si>
    <t>BODEGA HERRAMIENTAS SUKAMPO</t>
  </si>
  <si>
    <t>120821114325480</t>
  </si>
  <si>
    <t>SUKAMPO FALTANTE COMPRAS LOCALES</t>
  </si>
  <si>
    <t>120822131033697</t>
  </si>
  <si>
    <t>SUKAMPO BODEGAS MAQUINAS USADAS</t>
  </si>
  <si>
    <t>120927101601970</t>
  </si>
  <si>
    <t>SUKAMPO BODEGA TALLER SUCRE</t>
  </si>
  <si>
    <t>120927101638615</t>
  </si>
  <si>
    <t>SUKAMPO BODEGA REPUESTOS SUCRE</t>
  </si>
  <si>
    <t>130107115756854</t>
  </si>
  <si>
    <t>FALTANTES SUKAMPO</t>
  </si>
  <si>
    <t>130110153207969</t>
  </si>
  <si>
    <t>FALTANTES SUKAMPO SUCRE</t>
  </si>
  <si>
    <t>130201114301983</t>
  </si>
  <si>
    <t>AGROTA BODEGA INCOP</t>
  </si>
  <si>
    <t>130201114403572</t>
  </si>
  <si>
    <t>BODEGA CONSIGNACION FERIA LIBRE</t>
  </si>
  <si>
    <t>130201114421044</t>
  </si>
  <si>
    <t>BODEGA CONSIGNACION REPUESTOS FERIA LIBRE</t>
  </si>
  <si>
    <t>130201114437065</t>
  </si>
  <si>
    <t>BODEGA REPUESTOS FERIA LIBRE</t>
  </si>
  <si>
    <t>130201114452285</t>
  </si>
  <si>
    <t>BODEGA CONSIGNACIÓN SUCRE no usar</t>
  </si>
  <si>
    <t>G</t>
  </si>
  <si>
    <t>-</t>
  </si>
  <si>
    <t>Bodega ECU</t>
  </si>
  <si>
    <t>MEDITOP</t>
  </si>
  <si>
    <t>129418</t>
  </si>
  <si>
    <t>71303200</t>
  </si>
  <si>
    <t>71303203</t>
  </si>
  <si>
    <t>71303208</t>
  </si>
  <si>
    <t>71306611</t>
  </si>
  <si>
    <t>71306612</t>
  </si>
  <si>
    <t>71306613</t>
  </si>
  <si>
    <t>71306615</t>
  </si>
  <si>
    <t>71306711</t>
  </si>
  <si>
    <t>71306712</t>
  </si>
  <si>
    <t>71306713</t>
  </si>
  <si>
    <t>71316509</t>
  </si>
  <si>
    <t>71332520</t>
  </si>
  <si>
    <t>71332525</t>
  </si>
  <si>
    <t>71334940</t>
  </si>
  <si>
    <t>71334944</t>
  </si>
  <si>
    <t>71334948</t>
  </si>
  <si>
    <t>71334950</t>
  </si>
  <si>
    <t>71335544</t>
  </si>
  <si>
    <t>71335546</t>
  </si>
  <si>
    <t>71335548</t>
  </si>
  <si>
    <t>71335550</t>
  </si>
  <si>
    <t>71335554</t>
  </si>
  <si>
    <t>71335752</t>
  </si>
  <si>
    <t>71335754</t>
  </si>
  <si>
    <t>71337648</t>
  </si>
  <si>
    <t>71337650</t>
  </si>
  <si>
    <t>71337656</t>
  </si>
  <si>
    <t>71342800</t>
  </si>
  <si>
    <t>71342803</t>
  </si>
  <si>
    <t>71342804</t>
  </si>
  <si>
    <t>71342808</t>
  </si>
  <si>
    <t>71343200</t>
  </si>
  <si>
    <t>71343203</t>
  </si>
  <si>
    <t>71343204</t>
  </si>
  <si>
    <t>71343208</t>
  </si>
  <si>
    <t>71343604</t>
  </si>
  <si>
    <t>71343608</t>
  </si>
  <si>
    <t>71420102</t>
  </si>
  <si>
    <t>71420104</t>
  </si>
  <si>
    <t>71420108</t>
  </si>
  <si>
    <t>71420116</t>
  </si>
  <si>
    <t>71420118</t>
  </si>
  <si>
    <t>71420122</t>
  </si>
  <si>
    <t>71420124</t>
  </si>
  <si>
    <t>71420162</t>
  </si>
  <si>
    <t>71420164</t>
  </si>
  <si>
    <t>71420166</t>
  </si>
  <si>
    <t>71420180</t>
  </si>
  <si>
    <t>71420182</t>
  </si>
  <si>
    <t>71420184</t>
  </si>
  <si>
    <t>71420186</t>
  </si>
  <si>
    <t>71420188</t>
  </si>
  <si>
    <t>71420190</t>
  </si>
  <si>
    <t>71420802</t>
  </si>
  <si>
    <t>71420804</t>
  </si>
  <si>
    <t>71420808</t>
  </si>
  <si>
    <t>71420816</t>
  </si>
  <si>
    <t>71420818</t>
  </si>
  <si>
    <t>71420820</t>
  </si>
  <si>
    <t>71420830</t>
  </si>
  <si>
    <t>71420832</t>
  </si>
  <si>
    <t>71420966</t>
  </si>
  <si>
    <t>71421746</t>
  </si>
  <si>
    <t>71424027</t>
  </si>
  <si>
    <t>71424223</t>
  </si>
  <si>
    <t>71424225</t>
  </si>
  <si>
    <t>71453211</t>
  </si>
  <si>
    <t>71453212</t>
  </si>
  <si>
    <t>71453221</t>
  </si>
  <si>
    <t>ECU</t>
  </si>
  <si>
    <t>Default</t>
  </si>
  <si>
    <t>MEDITOP.xlsm</t>
  </si>
  <si>
    <t>71271440</t>
  </si>
  <si>
    <t>71302200</t>
  </si>
  <si>
    <t>71302208</t>
  </si>
  <si>
    <t>71302212</t>
  </si>
  <si>
    <t>71302804</t>
  </si>
  <si>
    <t>71306109</t>
  </si>
  <si>
    <t>71306110</t>
  </si>
  <si>
    <t>71306111</t>
  </si>
  <si>
    <t>71306608</t>
  </si>
  <si>
    <t>71332530</t>
  </si>
  <si>
    <t>71332535</t>
  </si>
  <si>
    <t>71335540</t>
  </si>
  <si>
    <t>71335552</t>
  </si>
  <si>
    <t>71337140</t>
  </si>
  <si>
    <t>71337652</t>
  </si>
  <si>
    <t>71337746</t>
  </si>
  <si>
    <t>71420100</t>
  </si>
  <si>
    <t>71420120</t>
  </si>
  <si>
    <t>71420170</t>
  </si>
  <si>
    <t>71420172</t>
  </si>
  <si>
    <t>71420523</t>
  </si>
  <si>
    <t>71420537</t>
  </si>
  <si>
    <t>71420540</t>
  </si>
  <si>
    <t>71420574</t>
  </si>
  <si>
    <t>71420576</t>
  </si>
  <si>
    <t>71420578</t>
  </si>
  <si>
    <t>71420580</t>
  </si>
  <si>
    <t>71420844</t>
  </si>
  <si>
    <t>71420846</t>
  </si>
  <si>
    <t>71421114</t>
  </si>
  <si>
    <t>71421117</t>
  </si>
  <si>
    <t>71421165</t>
  </si>
  <si>
    <t>71421743</t>
  </si>
  <si>
    <t>71424002</t>
  </si>
  <si>
    <t>71424003</t>
  </si>
  <si>
    <t>71424005</t>
  </si>
  <si>
    <t>71424013</t>
  </si>
  <si>
    <t>71424016</t>
  </si>
  <si>
    <t>71424028</t>
  </si>
  <si>
    <t>71424046</t>
  </si>
  <si>
    <t>71424047</t>
  </si>
  <si>
    <t>71424048</t>
  </si>
  <si>
    <t>71424206</t>
  </si>
  <si>
    <t>71425005</t>
  </si>
  <si>
    <t>71426006</t>
  </si>
  <si>
    <t>71453202</t>
  </si>
  <si>
    <t>71453213</t>
  </si>
  <si>
    <t>72202674</t>
  </si>
  <si>
    <t>72204152</t>
  </si>
  <si>
    <t>10-1091DD-KIT</t>
  </si>
  <si>
    <t>10-1093DD</t>
  </si>
  <si>
    <t>10-1094DD</t>
  </si>
  <si>
    <t>10-6000</t>
  </si>
  <si>
    <t>10-602</t>
  </si>
  <si>
    <t>10030</t>
  </si>
  <si>
    <t>10031</t>
  </si>
  <si>
    <t>10035</t>
  </si>
  <si>
    <t>10039</t>
  </si>
  <si>
    <t>10105</t>
  </si>
  <si>
    <t>10110</t>
  </si>
  <si>
    <t>10126</t>
  </si>
  <si>
    <t>10167</t>
  </si>
  <si>
    <t>10192</t>
  </si>
  <si>
    <t>10257</t>
  </si>
  <si>
    <t>10314</t>
  </si>
  <si>
    <t>10323T</t>
  </si>
  <si>
    <t>10356T</t>
  </si>
  <si>
    <t>10400</t>
  </si>
  <si>
    <t>10410</t>
  </si>
  <si>
    <t>10538</t>
  </si>
  <si>
    <t>10715</t>
  </si>
  <si>
    <t>10716</t>
  </si>
  <si>
    <t>10800</t>
  </si>
  <si>
    <t>1084501</t>
  </si>
  <si>
    <t>10SW5006S</t>
  </si>
  <si>
    <t>10TW5006S</t>
  </si>
  <si>
    <t>10TW5008S</t>
  </si>
  <si>
    <t>10TW8008S</t>
  </si>
  <si>
    <t>11004</t>
  </si>
  <si>
    <t>13-5024</t>
  </si>
  <si>
    <t>13102</t>
  </si>
  <si>
    <t>13104</t>
  </si>
  <si>
    <t>13105</t>
  </si>
  <si>
    <t>13200</t>
  </si>
  <si>
    <t>13201</t>
  </si>
  <si>
    <t>14821</t>
  </si>
  <si>
    <t>14822</t>
  </si>
  <si>
    <t>14824</t>
  </si>
  <si>
    <t>15965</t>
  </si>
  <si>
    <t>160</t>
  </si>
  <si>
    <t>16759</t>
  </si>
  <si>
    <t>16760</t>
  </si>
  <si>
    <t>17422</t>
  </si>
  <si>
    <t>20016</t>
  </si>
  <si>
    <t>20053</t>
  </si>
  <si>
    <t>20054</t>
  </si>
  <si>
    <t>20055</t>
  </si>
  <si>
    <t>20056</t>
  </si>
  <si>
    <t>20401</t>
  </si>
  <si>
    <t>20402</t>
  </si>
  <si>
    <t>20403</t>
  </si>
  <si>
    <t>20407</t>
  </si>
  <si>
    <t>20408</t>
  </si>
  <si>
    <t>20410</t>
  </si>
  <si>
    <t>20411</t>
  </si>
  <si>
    <t>20412</t>
  </si>
  <si>
    <t>20413</t>
  </si>
  <si>
    <t>20414</t>
  </si>
  <si>
    <t>20415</t>
  </si>
  <si>
    <t>20417</t>
  </si>
  <si>
    <t>20441</t>
  </si>
  <si>
    <t>20442</t>
  </si>
  <si>
    <t>20461</t>
  </si>
  <si>
    <t>20463</t>
  </si>
  <si>
    <t>20464</t>
  </si>
  <si>
    <t>20469</t>
  </si>
  <si>
    <t>20471</t>
  </si>
  <si>
    <t>20479</t>
  </si>
  <si>
    <t>20481</t>
  </si>
  <si>
    <t>20482</t>
  </si>
  <si>
    <t>20483</t>
  </si>
  <si>
    <t>20531</t>
  </si>
  <si>
    <t>20534</t>
  </si>
  <si>
    <t>20540</t>
  </si>
  <si>
    <t>20541</t>
  </si>
  <si>
    <t>20542</t>
  </si>
  <si>
    <t>20543</t>
  </si>
  <si>
    <t>20570</t>
  </si>
  <si>
    <t>20571</t>
  </si>
  <si>
    <t>20572</t>
  </si>
  <si>
    <t>20573</t>
  </si>
  <si>
    <t>20632</t>
  </si>
  <si>
    <t>20701</t>
  </si>
  <si>
    <t>20705</t>
  </si>
  <si>
    <t>20706</t>
  </si>
  <si>
    <t>21298</t>
  </si>
  <si>
    <t>22200</t>
  </si>
  <si>
    <t>22201</t>
  </si>
  <si>
    <t>22202</t>
  </si>
  <si>
    <t>22312</t>
  </si>
  <si>
    <t>22446</t>
  </si>
  <si>
    <t>22447</t>
  </si>
  <si>
    <t>23316</t>
  </si>
  <si>
    <t>23317</t>
  </si>
  <si>
    <t>23318</t>
  </si>
  <si>
    <t>240</t>
  </si>
  <si>
    <t>24251</t>
  </si>
  <si>
    <t>24252</t>
  </si>
  <si>
    <t>24501</t>
  </si>
  <si>
    <t>24610</t>
  </si>
  <si>
    <t>24620</t>
  </si>
  <si>
    <t>25201</t>
  </si>
  <si>
    <t>25202</t>
  </si>
  <si>
    <t>25203</t>
  </si>
  <si>
    <t>25204</t>
  </si>
  <si>
    <t>25212</t>
  </si>
  <si>
    <t>25214</t>
  </si>
  <si>
    <t>25223</t>
  </si>
  <si>
    <t>25235</t>
  </si>
  <si>
    <t>25236</t>
  </si>
  <si>
    <t>25238</t>
  </si>
  <si>
    <t>25239</t>
  </si>
  <si>
    <t>25241</t>
  </si>
  <si>
    <t>25442</t>
  </si>
  <si>
    <t>25446</t>
  </si>
  <si>
    <t>26030</t>
  </si>
  <si>
    <t>270</t>
  </si>
  <si>
    <t>273</t>
  </si>
  <si>
    <t>30063</t>
  </si>
  <si>
    <t>30065</t>
  </si>
  <si>
    <t>30067</t>
  </si>
  <si>
    <t>30074</t>
  </si>
  <si>
    <t>30076</t>
  </si>
  <si>
    <t>30077</t>
  </si>
  <si>
    <t>30193247</t>
  </si>
  <si>
    <t>30197006</t>
  </si>
  <si>
    <t>30197082</t>
  </si>
  <si>
    <t>30197085</t>
  </si>
  <si>
    <t>30200137</t>
  </si>
  <si>
    <t>30200242</t>
  </si>
  <si>
    <t>30202020</t>
  </si>
  <si>
    <t>30204303</t>
  </si>
  <si>
    <t>30204383</t>
  </si>
  <si>
    <t>30204384</t>
  </si>
  <si>
    <t>30207558</t>
  </si>
  <si>
    <t>30207867</t>
  </si>
  <si>
    <t>30209703</t>
  </si>
  <si>
    <t>30215946</t>
  </si>
  <si>
    <t>30215947</t>
  </si>
  <si>
    <t>30216482</t>
  </si>
  <si>
    <t>30218777</t>
  </si>
  <si>
    <t>30218786</t>
  </si>
  <si>
    <t>30218902</t>
  </si>
  <si>
    <t>30219456</t>
  </si>
  <si>
    <t>30220934</t>
  </si>
  <si>
    <t>30343</t>
  </si>
  <si>
    <t>31222</t>
  </si>
  <si>
    <t>316</t>
  </si>
  <si>
    <t>35BI1608</t>
  </si>
  <si>
    <t>35BI1809</t>
  </si>
  <si>
    <t>35BI2010</t>
  </si>
  <si>
    <t>35BI2211</t>
  </si>
  <si>
    <t>3FKFB210106</t>
  </si>
  <si>
    <t>3FKFB210146</t>
  </si>
  <si>
    <t>3FKFB210172</t>
  </si>
  <si>
    <t>3FKFS230106</t>
  </si>
  <si>
    <t>3FKFS230110</t>
  </si>
  <si>
    <t>3FKFS230112</t>
  </si>
  <si>
    <t>3FKFS230114</t>
  </si>
  <si>
    <t>3FKFS230116</t>
  </si>
  <si>
    <t>3FKFS230118</t>
  </si>
  <si>
    <t>3FKFS250206</t>
  </si>
  <si>
    <t>3FKFS250210</t>
  </si>
  <si>
    <t>3FKFS250212</t>
  </si>
  <si>
    <t>3FKFS250214</t>
  </si>
  <si>
    <t>3FKFS250216</t>
  </si>
  <si>
    <t>3FKFS250218</t>
  </si>
  <si>
    <t>3FKSS230210</t>
  </si>
  <si>
    <t>3FKSS230212</t>
  </si>
  <si>
    <t>3FKSS230214</t>
  </si>
  <si>
    <t>3FKSS230216</t>
  </si>
  <si>
    <t>3FKSS230218</t>
  </si>
  <si>
    <t>3FPAP310218</t>
  </si>
  <si>
    <t>41BR2810080810T</t>
  </si>
  <si>
    <t>41BR3210080810T</t>
  </si>
  <si>
    <t>41ST3030</t>
  </si>
  <si>
    <t>45ST3030</t>
  </si>
  <si>
    <t>5060101</t>
  </si>
  <si>
    <t>5060202</t>
  </si>
  <si>
    <t>5060301</t>
  </si>
  <si>
    <t>622</t>
  </si>
  <si>
    <t>650</t>
  </si>
  <si>
    <t>651</t>
  </si>
  <si>
    <t>652</t>
  </si>
  <si>
    <t>6960600</t>
  </si>
  <si>
    <t>7210424</t>
  </si>
  <si>
    <t>72200902</t>
  </si>
  <si>
    <t>76XX3035N-06</t>
  </si>
  <si>
    <t>78198</t>
  </si>
  <si>
    <t>85XX0050N35-00</t>
  </si>
  <si>
    <t>88411</t>
  </si>
  <si>
    <t>8848803</t>
  </si>
  <si>
    <t>91182</t>
  </si>
  <si>
    <t>91184</t>
  </si>
  <si>
    <t>91185</t>
  </si>
  <si>
    <t>91BX5708L-00</t>
  </si>
  <si>
    <t>91BX5710L-00</t>
  </si>
  <si>
    <t>9235402</t>
  </si>
  <si>
    <t>9235502</t>
  </si>
  <si>
    <t>92841</t>
  </si>
  <si>
    <t>92842</t>
  </si>
  <si>
    <t>92843</t>
  </si>
  <si>
    <t>92844</t>
  </si>
  <si>
    <t>9511101</t>
  </si>
  <si>
    <t>AI74CML6</t>
  </si>
  <si>
    <t>C-MD-S251518LF</t>
  </si>
  <si>
    <t>CIENT-01</t>
  </si>
  <si>
    <t>HM750-3020</t>
  </si>
  <si>
    <t>MMB45</t>
  </si>
  <si>
    <t>MMB60</t>
  </si>
  <si>
    <t>MMB90</t>
  </si>
  <si>
    <t>UM-10067</t>
  </si>
  <si>
    <t>ZHS-054K</t>
  </si>
  <si>
    <t>2016-5</t>
  </si>
  <si>
    <t>2016-6</t>
  </si>
  <si>
    <t>10112</t>
  </si>
  <si>
    <t>5060302</t>
  </si>
  <si>
    <t>7790700</t>
  </si>
  <si>
    <t>Columna3</t>
  </si>
  <si>
    <t>Columna4</t>
  </si>
  <si>
    <t>Columna5</t>
  </si>
  <si>
    <t>Columna6</t>
  </si>
  <si>
    <t>SMITH &amp; NEPHEW</t>
  </si>
  <si>
    <t>71302803</t>
  </si>
  <si>
    <t>71306112</t>
  </si>
  <si>
    <t>71306113</t>
  </si>
  <si>
    <t>71306714</t>
  </si>
  <si>
    <t>71306716</t>
  </si>
  <si>
    <t>71313217</t>
  </si>
  <si>
    <t>71316512</t>
  </si>
  <si>
    <t>71316513</t>
  </si>
  <si>
    <t>71316517</t>
  </si>
  <si>
    <t>71420106</t>
  </si>
  <si>
    <t>71420810</t>
  </si>
  <si>
    <t>71420960</t>
  </si>
  <si>
    <t>71420962</t>
  </si>
  <si>
    <t>71424043</t>
  </si>
  <si>
    <t>71426007</t>
  </si>
  <si>
    <t>72204190</t>
  </si>
  <si>
    <t>121010</t>
  </si>
  <si>
    <t>SMITH &amp; NEPHEW AÉREO</t>
  </si>
  <si>
    <t>PREPARATION KIT</t>
  </si>
  <si>
    <t>RESTRICTORES</t>
  </si>
  <si>
    <t>RESTRICTOR DE CEMENTO 18 5 MM</t>
  </si>
  <si>
    <t>129419</t>
  </si>
  <si>
    <t>RESTRICTOR DE CEMENTO 25MM</t>
  </si>
  <si>
    <t>71270070</t>
  </si>
  <si>
    <t>MEZCLADORA DE CEMENTO VERSABOND</t>
  </si>
  <si>
    <t>ACCESORIOS</t>
  </si>
  <si>
    <t>71270071</t>
  </si>
  <si>
    <t>KIT REUSABLE PARA MEZCLADORA DE CEMENTO</t>
  </si>
  <si>
    <t>71270080</t>
  </si>
  <si>
    <t>Vortex Canula</t>
  </si>
  <si>
    <t>Cemento</t>
  </si>
  <si>
    <t>CEMENTOS</t>
  </si>
  <si>
    <t>71279420</t>
  </si>
  <si>
    <t>RESTRICTOR DE CEMENTO 30MM</t>
  </si>
  <si>
    <t>71279421</t>
  </si>
  <si>
    <t>RESTRICTOR DE CEMENTO 35MM</t>
  </si>
  <si>
    <t>CABEZA FEM COCR 12 14  22M mas 0</t>
  </si>
  <si>
    <t>CABEZA FEMORAL CrCo</t>
  </si>
  <si>
    <t>71302204</t>
  </si>
  <si>
    <t>CABEZA FEM COCR 12 14  22M mas 4</t>
  </si>
  <si>
    <t>CABEZA FEM COCR 12 14  22M mas 8</t>
  </si>
  <si>
    <t>CABEZA FEM COCR 12 14  22M mas 12</t>
  </si>
  <si>
    <t>71302800</t>
  </si>
  <si>
    <t>CABEZA FEM COCR 12 14  28M mas 0</t>
  </si>
  <si>
    <t>CABEZA FEM COCR 12 14  28M menos 3</t>
  </si>
  <si>
    <t>CABEZA FEM COCR 12 14  28M mas 4</t>
  </si>
  <si>
    <t>71302808</t>
  </si>
  <si>
    <t>CABEZA FEM COCR 12 14  28M  8</t>
  </si>
  <si>
    <t>71302812</t>
  </si>
  <si>
    <t>CABEZA FEM COCR 12 14 28M mas 12</t>
  </si>
  <si>
    <t>CABEZA FEM COCR 12 14  32M mas 0</t>
  </si>
  <si>
    <t>CABEZA FEM COCR 12 14  32M menos 3</t>
  </si>
  <si>
    <t>71303204</t>
  </si>
  <si>
    <t>CABEZA FEM COCR 12 14  32M mas 4</t>
  </si>
  <si>
    <t>CABEZA FEM COCR 12 14  32M mas 8</t>
  </si>
  <si>
    <t>71303212</t>
  </si>
  <si>
    <t>CABEZA FEM COCR 12 14 32M  mas 12</t>
  </si>
  <si>
    <t>SYN POR HO FEM COM SZ 9</t>
  </si>
  <si>
    <t>VASTAGO FEMORAL SYNERGY NO CEMENTADO POR</t>
  </si>
  <si>
    <t>SYN POR HO FEM COMP SZ 10</t>
  </si>
  <si>
    <t>SYN POR HO FEM COM SZ 11</t>
  </si>
  <si>
    <t>SYN POR HO FEM COM SZ 12</t>
  </si>
  <si>
    <t>SYN POR HO FEM COM SZ 13</t>
  </si>
  <si>
    <t>71306114</t>
  </si>
  <si>
    <t>SYN POR HO FEM COM SZ 14</t>
  </si>
  <si>
    <t>71306115</t>
  </si>
  <si>
    <t>SYN POR HO FEM COM SZ 15</t>
  </si>
  <si>
    <t>71306409</t>
  </si>
  <si>
    <t>VASTAGO FEM HO CON HA  NO CEM SYNERGY 9</t>
  </si>
  <si>
    <t>VASTAGO FEMORAL SYNERGY NO CEMENTADO CON</t>
  </si>
  <si>
    <t>71306410</t>
  </si>
  <si>
    <t>VASTAGO FEM HO CON HA  NO CEM SYNERGY 10</t>
  </si>
  <si>
    <t>71306411</t>
  </si>
  <si>
    <t>VASTAGO FEM HO CON HA  NO CEM SYNERGY 11</t>
  </si>
  <si>
    <t>71306412</t>
  </si>
  <si>
    <t>VASTAGO FEM HO CON HA  NO CEM SYNERGY 12</t>
  </si>
  <si>
    <t>71306413</t>
  </si>
  <si>
    <t>VASTAGO FEM HO CON HA  NO CEM SYNERGY 13</t>
  </si>
  <si>
    <t>71306414</t>
  </si>
  <si>
    <t>VASTAGO FEM HO CON HA  NO CEM SYNERGY 14</t>
  </si>
  <si>
    <t>71306415</t>
  </si>
  <si>
    <t>VASTAGO FEM HO CON HA  NO CEM SYNERGY 15</t>
  </si>
  <si>
    <t>71306416</t>
  </si>
  <si>
    <t>VASTAGO FEM HO CON HA  NO CEM SYNERGY 16</t>
  </si>
  <si>
    <t>71306417</t>
  </si>
  <si>
    <t>VASTAGO FEM HO CON HA  NO CEM SYNERGY 17</t>
  </si>
  <si>
    <t>SYN POR STD FEM COM SZ 8</t>
  </si>
  <si>
    <t>71306609</t>
  </si>
  <si>
    <t>SYN POR STD FEM COM SZ 9</t>
  </si>
  <si>
    <t>71306610</t>
  </si>
  <si>
    <t>SYN POR STD FEM COM SZ 10</t>
  </si>
  <si>
    <t>SYN POR STD FEM COM SZ 11</t>
  </si>
  <si>
    <t>SYN POR STD FEM COM SZ 12</t>
  </si>
  <si>
    <t>SYN POR STD FEM COM SZ 13</t>
  </si>
  <si>
    <t>71306614</t>
  </si>
  <si>
    <t>SYN POR STD FEM COM SZ 14</t>
  </si>
  <si>
    <t>SYN POR STD FEM COM SZ 15</t>
  </si>
  <si>
    <t>71306709</t>
  </si>
  <si>
    <t>VASTAGO FEM STD CON HA NO CEM SYNERGY</t>
  </si>
  <si>
    <t>71306710</t>
  </si>
  <si>
    <t>71306715</t>
  </si>
  <si>
    <t>71306717</t>
  </si>
  <si>
    <t>VASTAGO FEM STD CON HA NO CEM SYNERGY 17</t>
  </si>
  <si>
    <t>71313209</t>
  </si>
  <si>
    <t>CENTRALIZADOR DISTAL 9MM</t>
  </si>
  <si>
    <t>CENTRALIZADORES</t>
  </si>
  <si>
    <t>71313210</t>
  </si>
  <si>
    <t>CENTRALIZADOR DISTAL 10MM</t>
  </si>
  <si>
    <t>71313211</t>
  </si>
  <si>
    <t>CENTRALIZADOR DISTAL 11MM</t>
  </si>
  <si>
    <t>71313212</t>
  </si>
  <si>
    <t>CENTRALIZADOR DISTAL 12MM</t>
  </si>
  <si>
    <t>71313213</t>
  </si>
  <si>
    <t>CENTRALIZADOR DISTAL 13MM</t>
  </si>
  <si>
    <t>71313214</t>
  </si>
  <si>
    <t>CENTRALIZADOR DISTAL 14MM</t>
  </si>
  <si>
    <t>71313215</t>
  </si>
  <si>
    <t>CENTRALIZADOR DISTAL 15MM</t>
  </si>
  <si>
    <t>71313216</t>
  </si>
  <si>
    <t>CENTRALIZADOR DISTAL 16MM</t>
  </si>
  <si>
    <t>CENTRALIZADOR DISTAL 17MM</t>
  </si>
  <si>
    <t>VASTAGO FEM STD CEM CONQUEST 9</t>
  </si>
  <si>
    <t>VASTAGO FEMORAL CONQUEST CEMENTADO</t>
  </si>
  <si>
    <t>71316510</t>
  </si>
  <si>
    <t>VASTAGO FEM STD CEM CONQUEST 10</t>
  </si>
  <si>
    <t>71316511</t>
  </si>
  <si>
    <t>VASTAGO FEM STD CEM CONQUEST 11</t>
  </si>
  <si>
    <t>VASTAGO FEM STD CEM CONQUEST 12</t>
  </si>
  <si>
    <t>VASTAGO FEM STD CEM CONQUEST 13</t>
  </si>
  <si>
    <t>71316514</t>
  </si>
  <si>
    <t>VASTAGO FEM STD CEM CONQUEST 14</t>
  </si>
  <si>
    <t>71316515</t>
  </si>
  <si>
    <t>VASTAGO FEM STD CEM CONQUEST 15</t>
  </si>
  <si>
    <t>71316516</t>
  </si>
  <si>
    <t>VASTAGO FEM STD CEM CONQUEST 16</t>
  </si>
  <si>
    <t>VASTAGO FEM STD CEM CONQUEST 17</t>
  </si>
  <si>
    <t>71332515</t>
  </si>
  <si>
    <t>TORNILLOS ACET METALICO 15MM</t>
  </si>
  <si>
    <t>TORNILLOS PARA EL ACETABULO</t>
  </si>
  <si>
    <t>TORNILLOS ACET METALICO 20MM</t>
  </si>
  <si>
    <t>TORNILLOS ACET METALICO 25MM</t>
  </si>
  <si>
    <t>TORNILLOS ACET METALICO 30MM</t>
  </si>
  <si>
    <t>TORNILLOS ACET METALICO 35MM</t>
  </si>
  <si>
    <t>LINER ACET XLPE R3 20O 22MM X 40 MM</t>
  </si>
  <si>
    <t>LINER ACETABULAR POLIETILENO RETICULADO</t>
  </si>
  <si>
    <t>71334942</t>
  </si>
  <si>
    <t>LINER ACET XLPE R3 20O 22MM X 42 MM</t>
  </si>
  <si>
    <t>LINER ACET XLPE R3 20O 22MM X 44 MM</t>
  </si>
  <si>
    <t>71334946</t>
  </si>
  <si>
    <t>LINER ACET XLPE R3 20O 28MM X 46 MM</t>
  </si>
  <si>
    <t>LINER ACET XLPE R3 20O 28MM X 48 MM</t>
  </si>
  <si>
    <t>LINER ACET XLPE R3 20O 28MM X 50 MM</t>
  </si>
  <si>
    <t>71334952</t>
  </si>
  <si>
    <t>LINER ACET XLPE R3 20O 28MM X 52 MM</t>
  </si>
  <si>
    <t>71334954</t>
  </si>
  <si>
    <t>LINER ACET XLPE R3 20O 28MM X 54 MM</t>
  </si>
  <si>
    <t>71334956</t>
  </si>
  <si>
    <t>LINER ACET XLPE R3 20O 28MM X 56 MM</t>
  </si>
  <si>
    <t>71334958</t>
  </si>
  <si>
    <t>LINER ACET XLPE R3 20O 28MM X 58 MM</t>
  </si>
  <si>
    <t>71334960</t>
  </si>
  <si>
    <t>LINER ACET XLPE R3 20O 28MM X 60 MM</t>
  </si>
  <si>
    <t>ACET R3 METALICO NO CEMENT 40MM</t>
  </si>
  <si>
    <t>ACET. R3 TITANIO NO CEMENT</t>
  </si>
  <si>
    <t>71335542</t>
  </si>
  <si>
    <t>ACET R3 METALICO NO CEMENT 42MM</t>
  </si>
  <si>
    <t>ACET R3 METALICO NO CEMENT 44MM</t>
  </si>
  <si>
    <t>ACET R3 METALICO NO CEMENT 46MM</t>
  </si>
  <si>
    <t>ACET R3 METALICO NO CEMENT 48MM</t>
  </si>
  <si>
    <t>ACET R3 METALICO NO CEMENT 50MM</t>
  </si>
  <si>
    <t>ACET R3 METALICO NO CEMENT 52MM</t>
  </si>
  <si>
    <t>ACET R3 METALICO NO CEMENT 54MM</t>
  </si>
  <si>
    <t>71335556</t>
  </si>
  <si>
    <t>ACET R3 METALICO NO CEMENT 56MM</t>
  </si>
  <si>
    <t>71335558</t>
  </si>
  <si>
    <t>ACET R3 METALICO NO CEMENT 58MM</t>
  </si>
  <si>
    <t>71335560</t>
  </si>
  <si>
    <t>ACET R3 METALICO NO CEMENT 60MM</t>
  </si>
  <si>
    <t>71335562</t>
  </si>
  <si>
    <t>ACET R3 METALICO NO CEMENT 62MM</t>
  </si>
  <si>
    <t>71335564</t>
  </si>
  <si>
    <t>ACET R3 METALICO NO CEMENT 64MM</t>
  </si>
  <si>
    <t>LINER ACET XLPE R3 20O 36MM X 52 MM</t>
  </si>
  <si>
    <t>LINER ACET XLPE R3 20O 36MM X 54 MM</t>
  </si>
  <si>
    <t>71335756</t>
  </si>
  <si>
    <t>LINER ACET XLPE R3 20O 36MM X 56 MM</t>
  </si>
  <si>
    <t>71335758</t>
  </si>
  <si>
    <t>LINER ACET XLPE R3 20O 36MM X 58 MM</t>
  </si>
  <si>
    <t>71335760</t>
  </si>
  <si>
    <t>LINER ACET XLPE R3 20O 36MM X 60 MM</t>
  </si>
  <si>
    <t>71335762</t>
  </si>
  <si>
    <t>LINER ACET XLPE R3 20O 36MM X 62 MM</t>
  </si>
  <si>
    <t>71335764</t>
  </si>
  <si>
    <t>LINER ACET XLPE R3 20O 36MM X 64 MM</t>
  </si>
  <si>
    <t>71336500</t>
  </si>
  <si>
    <t>COVERTOR DE ORIFICIO DEL ACET R3</t>
  </si>
  <si>
    <t>LINER ACET XLPE R3 20O MAS 4MM LAT 22MM</t>
  </si>
  <si>
    <t>71337142</t>
  </si>
  <si>
    <t>71337144</t>
  </si>
  <si>
    <t>LINER ACET XLPE R3 20O 32MM X 48 MM</t>
  </si>
  <si>
    <t>LINER ACET XLPE R3 20O 32MM X 50 MM</t>
  </si>
  <si>
    <t>LINER ACET XLPE R3 20O 32MM X 52 MM</t>
  </si>
  <si>
    <t>71337654</t>
  </si>
  <si>
    <t>LINER ACET XLPE R3 20O 32MM X 54 MM</t>
  </si>
  <si>
    <t>LINER ACET XLPE R3 20O 32MM X 56 MM</t>
  </si>
  <si>
    <t>71337658</t>
  </si>
  <si>
    <t>LINER ACET XLPE R3 20O 32MM X 58 MM</t>
  </si>
  <si>
    <t>71337660</t>
  </si>
  <si>
    <t>LINER ACET XLPE R3 20O 32MM X 60 MM</t>
  </si>
  <si>
    <t>71337662</t>
  </si>
  <si>
    <t>LINER ACET XLPE R3 20O 32MM X 62 MM</t>
  </si>
  <si>
    <t>LINER ACET XLPE R3 20O MAS 4MM LAT 28MM</t>
  </si>
  <si>
    <t>71337748</t>
  </si>
  <si>
    <t>71337750</t>
  </si>
  <si>
    <t>71337752</t>
  </si>
  <si>
    <t>71337754</t>
  </si>
  <si>
    <t>71337756</t>
  </si>
  <si>
    <t>71337758</t>
  </si>
  <si>
    <t>71337760</t>
  </si>
  <si>
    <t>71337948</t>
  </si>
  <si>
    <t>LINER ACET XLPE R3 20O MAS 4MM LAT 32MM</t>
  </si>
  <si>
    <t>71337950</t>
  </si>
  <si>
    <t>71337952</t>
  </si>
  <si>
    <t>71337954</t>
  </si>
  <si>
    <t>71337956</t>
  </si>
  <si>
    <t>71337958</t>
  </si>
  <si>
    <t>71337960</t>
  </si>
  <si>
    <t>71337962</t>
  </si>
  <si>
    <t>71338552</t>
  </si>
  <si>
    <t>LINER ACET XLPE R3 20O MAS 4MM LAT 36MM</t>
  </si>
  <si>
    <t>71338554</t>
  </si>
  <si>
    <t>71338556</t>
  </si>
  <si>
    <t>71338558</t>
  </si>
  <si>
    <t>71338560</t>
  </si>
  <si>
    <t>71338562</t>
  </si>
  <si>
    <t>71338564</t>
  </si>
  <si>
    <t>CABEZA FEM OXINIUM 12 14  28M  mas 0</t>
  </si>
  <si>
    <t>CABEZA FEMORAL OXINIUM</t>
  </si>
  <si>
    <t>CABEZA FEM OXINIUM 12 14  28M menos 3</t>
  </si>
  <si>
    <t>CABEZA FEM OXINIUM 12 14  28M mas 4</t>
  </si>
  <si>
    <t>CABEZA FEM OXINIUM 12 14  28M mas 8</t>
  </si>
  <si>
    <t>CABEZA FEM OXINIUM 12 14  32M mas 0</t>
  </si>
  <si>
    <t>CABEZA FEM OXINIUM 12 14  32M menos 3</t>
  </si>
  <si>
    <t>CABEZA FEM OXINIUM 12 14  32M mas 4</t>
  </si>
  <si>
    <t>CABEZA FEM OXINIUM 12 14  32M  mas 8</t>
  </si>
  <si>
    <t>71343600</t>
  </si>
  <si>
    <t>CABEZA FEM OXINIUM 12 14  36M mas 0</t>
  </si>
  <si>
    <t>71343603</t>
  </si>
  <si>
    <t>CABEZA FEM OXINIUM 12 14  36M menos 3</t>
  </si>
  <si>
    <t>CABEZA FEM OXINIUM 12 14  36M mas 4</t>
  </si>
  <si>
    <t>CABEZA FEM OXINIUM 12 14  36M mas 8</t>
  </si>
  <si>
    <t>71420096</t>
  </si>
  <si>
    <t>COMPONENTE FEM COCR GENESIS II IZQ 1</t>
  </si>
  <si>
    <t>COMPONENTE FEMORAL CrCo (IZQUIERDO Y DER</t>
  </si>
  <si>
    <t>71420098</t>
  </si>
  <si>
    <t>COMPONENTE FEM COCR GENESIS II IZQ 2</t>
  </si>
  <si>
    <t>COMPONENTE FEM COCR GENESIS II IZQ 3</t>
  </si>
  <si>
    <t>COMPONENTE FEM COCR GENESIS II IZQ 4</t>
  </si>
  <si>
    <t>COMPONENTE FEM COCR GENESIS II IZQ 5</t>
  </si>
  <si>
    <t>COMPONENTE FEM COCR GENESIS II IZQ 6</t>
  </si>
  <si>
    <t>COMPONENTE FEM COCR GENESIS II IZQ 7</t>
  </si>
  <si>
    <t>71420112</t>
  </si>
  <si>
    <t>COMPONENTE FEM COCR GENESIS II DER 1</t>
  </si>
  <si>
    <t>71420114</t>
  </si>
  <si>
    <t>COMPONENTE FEM COCR GENESIS II DER 2</t>
  </si>
  <si>
    <t>COMPONENTE FEM COCR GENESIS II DER 3</t>
  </si>
  <si>
    <t>COMPONENTE FEM COCR GENESIS II DER 4</t>
  </si>
  <si>
    <t>COMPONENTE FEM COCR GENESIS II DER 5</t>
  </si>
  <si>
    <t>COMPONENTE FEM COCR GENESIS II DER 6</t>
  </si>
  <si>
    <t>COMPONENTE FEM COCR GENESIS II DER 7</t>
  </si>
  <si>
    <t>71420160</t>
  </si>
  <si>
    <t>PLATO TIBIAL GENESIS II IZQ  1</t>
  </si>
  <si>
    <t>COMPONENTE TIBIAL TITANIO (IZQUIERDA Y D</t>
  </si>
  <si>
    <t>PLATO TIBIAL GENESIS II IZQ  2</t>
  </si>
  <si>
    <t>PLATO TIBIAL GENESIS II IZQ  3</t>
  </si>
  <si>
    <t>PLATO TIBIAL GENESIS II IZQ  4</t>
  </si>
  <si>
    <t>71420168</t>
  </si>
  <si>
    <t>PLATO TIBIAL GENESIS II IZQ  5</t>
  </si>
  <si>
    <t>PLATO TIBIAL GENESIS II IZQ  6</t>
  </si>
  <si>
    <t>PLATO TIBIAL GENESIS II IZQ  7</t>
  </si>
  <si>
    <t>71420176</t>
  </si>
  <si>
    <t>PLATO TIBIAL GENESIS II DER  1</t>
  </si>
  <si>
    <t>PLATO TIBIAL GENESIS II DER  2</t>
  </si>
  <si>
    <t>PLATO TIBIAL GENESIS II DER  3</t>
  </si>
  <si>
    <t>PLATO TIBIAL GENESIS II DER  4</t>
  </si>
  <si>
    <t>PLATO TIBIAL GENESIS II DER  5</t>
  </si>
  <si>
    <t>PLATO TIBIAL GENESIS II DER  6</t>
  </si>
  <si>
    <t>PLATO TIBIAL GENESIS II DER  7</t>
  </si>
  <si>
    <t>Legion Inserto Constreñido T. 3-4  9mm</t>
  </si>
  <si>
    <t>Insertos Constreñidos</t>
  </si>
  <si>
    <t>71420524</t>
  </si>
  <si>
    <t>Genesis Inserto Constreñido T. 3-4  11mm</t>
  </si>
  <si>
    <t>71420526</t>
  </si>
  <si>
    <t>Genesis Inserto Constreñido T. 3-4  13mm</t>
  </si>
  <si>
    <t>71420528</t>
  </si>
  <si>
    <t>Genesis Inserto Constreñido T. 3-4  15mm</t>
  </si>
  <si>
    <t>71420530</t>
  </si>
  <si>
    <t>Genesis Inserto Constreñido T. 3-4  18mm</t>
  </si>
  <si>
    <t>71420532</t>
  </si>
  <si>
    <t>Genesis Inserto Constreñido T. 3-4  21mm</t>
  </si>
  <si>
    <t>71420534</t>
  </si>
  <si>
    <t>Genesis Inserto Constreñido T. 3-4  25mm</t>
  </si>
  <si>
    <t>Legion Inserto Constreñido T. 5-6  9mm</t>
  </si>
  <si>
    <t>71420538</t>
  </si>
  <si>
    <t>Genesis Inserto Constreñido T. 5-6  11mm</t>
  </si>
  <si>
    <t>Genesis Inserto Constreñido T. 5-6  13mm</t>
  </si>
  <si>
    <t>71420542</t>
  </si>
  <si>
    <t>Genesis Inserto Constreñido T. 5-6  15mm</t>
  </si>
  <si>
    <t>71420544</t>
  </si>
  <si>
    <t>Genesis Inserto Constreñido T. 5-6  18mm</t>
  </si>
  <si>
    <t>71420546</t>
  </si>
  <si>
    <t>Genesis Inserto Constreñido T. 5-6  21mm</t>
  </si>
  <si>
    <t>71420548</t>
  </si>
  <si>
    <t>Genesis Inserto Constreñido T. 5-6  25mm</t>
  </si>
  <si>
    <t>71420551</t>
  </si>
  <si>
    <t>Legion Inserto Constreñido T. 7-8  9mm</t>
  </si>
  <si>
    <t>71420552</t>
  </si>
  <si>
    <t>Genesis Inserto Constreñido T. 7-8  11mm</t>
  </si>
  <si>
    <t>71420554</t>
  </si>
  <si>
    <t>Genesis Inserto Constreñido T. 7-8  13mm</t>
  </si>
  <si>
    <t>71420556</t>
  </si>
  <si>
    <t>Genesis Inserto Constreñido T. 7-8  15mm</t>
  </si>
  <si>
    <t>71420558</t>
  </si>
  <si>
    <t>Genesis Inserto Constreñido T. 7-8  18mm</t>
  </si>
  <si>
    <t>71420560</t>
  </si>
  <si>
    <t>Genesis Inserto Constreñido T. 7-8  21mm</t>
  </si>
  <si>
    <t>71420562</t>
  </si>
  <si>
    <t>Genesis Inserto Constreñido T. 7-8  25mm</t>
  </si>
  <si>
    <t>COMPONENTE PATELAR GENESIS II 29 MM</t>
  </si>
  <si>
    <t>COMPONENTE PATELAR GENESIS II</t>
  </si>
  <si>
    <t>COMPONENTE PATELAR GENESIS II 32 MM</t>
  </si>
  <si>
    <t>COMPONENTE PATELAR GENESIS II 35 MM</t>
  </si>
  <si>
    <t>COMPONENTE PATELAR GENESIS II 26 MM</t>
  </si>
  <si>
    <t>INSERTO TIB GENESIS II  1 2 DE 9 MM</t>
  </si>
  <si>
    <t>INSERTO TIBIAL STANDARD GENESIS II</t>
  </si>
  <si>
    <t>INSERTO TIB GENESIS II  1 2 DE 11 MM</t>
  </si>
  <si>
    <t>71420806</t>
  </si>
  <si>
    <t>INSERTO TIB GENESIS II  1 2 DE  13 MM</t>
  </si>
  <si>
    <t>INSERTO TIB GENESIS II  1 2 DE  15 MM</t>
  </si>
  <si>
    <t>INSERTO TIB GENESIS II  1 2 DE 18 MM</t>
  </si>
  <si>
    <t>71420812</t>
  </si>
  <si>
    <t>INSERTO TIB GENESIS II  1 2 DE 21 MM</t>
  </si>
  <si>
    <t>71420814</t>
  </si>
  <si>
    <t>INSERTO TIB GENESIS II  1 2 DE 25 MM</t>
  </si>
  <si>
    <t>INSERTO TIB GENESIS II 3 4 DE 9 MM</t>
  </si>
  <si>
    <t>INSERTO TIB GENESIS II 3 4 DE 11 MM</t>
  </si>
  <si>
    <t>INSERTO TIB GENESIS II 3 4 DE 13 MM</t>
  </si>
  <si>
    <t>71420822</t>
  </si>
  <si>
    <t>INSERTO TIB GENESIS II 3 4 DE 15 MM</t>
  </si>
  <si>
    <t>71420824</t>
  </si>
  <si>
    <t>INSERTO TIB GENESIS II 3 4 DE  18 MM</t>
  </si>
  <si>
    <t>71420826</t>
  </si>
  <si>
    <t>INSERTO TIB GENESIS II 3 4 DE 21 MM</t>
  </si>
  <si>
    <t>71420828</t>
  </si>
  <si>
    <t>INSERTO TIB GENESIS II 3 4 DE 25 MM</t>
  </si>
  <si>
    <t>INSERTO TIB GENESIS II 5 6 DE 9 MM</t>
  </si>
  <si>
    <t>INSERTO TIB GENESIS II 5 6 DE 11 MM</t>
  </si>
  <si>
    <t>71420834</t>
  </si>
  <si>
    <t>INSERTO TIB GENESIS II 5 6 DE 13 MM</t>
  </si>
  <si>
    <t>71420836</t>
  </si>
  <si>
    <t>INSERTO TIB GENESIS II 5 6 DE 15 MM</t>
  </si>
  <si>
    <t>71420838</t>
  </si>
  <si>
    <t>INSERTO TIB GENESIS II 5 6 DE 18 MM</t>
  </si>
  <si>
    <t>71420840</t>
  </si>
  <si>
    <t>INSERTO TIB GENESIS II 5 6 DE 21 MM</t>
  </si>
  <si>
    <t>71420842</t>
  </si>
  <si>
    <t>INSERTO TIB GENESIS II 5 6 DE 25 MM</t>
  </si>
  <si>
    <t>INSERTO TIB GENESIS II 7 8 DE 9 MM</t>
  </si>
  <si>
    <t>INSERTO TIB GENESIS II 7 8 DE 11 MM</t>
  </si>
  <si>
    <t>71420848</t>
  </si>
  <si>
    <t>INSERTO TIB GENESIS II 7-8 DE 13 MM</t>
  </si>
  <si>
    <t>71420850</t>
  </si>
  <si>
    <t>INSERTO TIB GENESIS II 7 8 DE 15 MM</t>
  </si>
  <si>
    <t>71420959</t>
  </si>
  <si>
    <t>Legion Inserto Constreñido T. 1-2  9mm</t>
  </si>
  <si>
    <t>Genesis Inserto Constreñido T. 1-2  11mm</t>
  </si>
  <si>
    <t>Genesis Inserto Constreñido T. 1-2  13mm</t>
  </si>
  <si>
    <t>71420964</t>
  </si>
  <si>
    <t>Genesis Inserto Constreñido T. 1-2  15mm</t>
  </si>
  <si>
    <t>Genesis Inserto Constreñido T. 1-2  18mm</t>
  </si>
  <si>
    <t>71420968</t>
  </si>
  <si>
    <t>Genesis Inserto Constreñido T. 1-2  21mm</t>
  </si>
  <si>
    <t>71420970</t>
  </si>
  <si>
    <t>Genesis Inserto Constreñido T. 1-2  25mm</t>
  </si>
  <si>
    <t>71421012</t>
  </si>
  <si>
    <t>COMPONENTE FEM OXINIUM GENESIS II IZQ 2</t>
  </si>
  <si>
    <t>COMPONENTE FEMORAL OXINIUM (IZQUIERDO Y</t>
  </si>
  <si>
    <t>71421013</t>
  </si>
  <si>
    <t>COMPONENTE FEM OXINIUM GENESIS II IZQ 3</t>
  </si>
  <si>
    <t>71421014</t>
  </si>
  <si>
    <t>COMPONENTE FEM OXINIUM GENESIS II IZQ 4</t>
  </si>
  <si>
    <t>71421015</t>
  </si>
  <si>
    <t>COMPONENTE FEM OXINIUM GENESIS II IZQ 5</t>
  </si>
  <si>
    <t>71421016</t>
  </si>
  <si>
    <t>COMPONENTE FEM OXINIUM GENESIS II IZQ 6</t>
  </si>
  <si>
    <t>71421017</t>
  </si>
  <si>
    <t>COMPONENTE FEM OXINIUM GENESIS II IZQ 7</t>
  </si>
  <si>
    <t>71421112</t>
  </si>
  <si>
    <t>COMPONENTE FEM OXINIUM GENESIS II DER</t>
  </si>
  <si>
    <t>71421113</t>
  </si>
  <si>
    <t>COMPONENTE FEM OXINIUM GENESIS II DER 3</t>
  </si>
  <si>
    <t>COMPONENTE FEM OXINIUM GENESIS II DER 4</t>
  </si>
  <si>
    <t>71421115</t>
  </si>
  <si>
    <t>COMPONENTE FEM OXINIUM GENESIS II DER 5</t>
  </si>
  <si>
    <t>71421116</t>
  </si>
  <si>
    <t>COMPONENTE FEM OXINIUM GENESIS II DER 6</t>
  </si>
  <si>
    <t>COMPONENTE FEM OXINIUM GENESIS II DER 7</t>
  </si>
  <si>
    <t>71421141</t>
  </si>
  <si>
    <t>Cuña Tibial Hemi Recta Izq Medial/Der La</t>
  </si>
  <si>
    <t>Cuñas Tibiales</t>
  </si>
  <si>
    <t>71421142</t>
  </si>
  <si>
    <t>71421143</t>
  </si>
  <si>
    <t>71421144</t>
  </si>
  <si>
    <t>71421145</t>
  </si>
  <si>
    <t>Cuña Tibial Hemi Recta Izq Lateral/Der M</t>
  </si>
  <si>
    <t>71421146</t>
  </si>
  <si>
    <t>71421147</t>
  </si>
  <si>
    <t>71421148</t>
  </si>
  <si>
    <t>71421162</t>
  </si>
  <si>
    <t>LGN OX CONSTRAINED FEM 2 LT</t>
  </si>
  <si>
    <t>Componente Femoral Constreñido</t>
  </si>
  <si>
    <t>71421163</t>
  </si>
  <si>
    <t>Legion Comp Femoral Constreñido Oxinium</t>
  </si>
  <si>
    <t>71421164</t>
  </si>
  <si>
    <t>71421166</t>
  </si>
  <si>
    <t>71421167</t>
  </si>
  <si>
    <t>71421172</t>
  </si>
  <si>
    <t>LGN OX CONSTRAINED FEM 2 RTq</t>
  </si>
  <si>
    <t>71421173</t>
  </si>
  <si>
    <t>71421174</t>
  </si>
  <si>
    <t>71421175</t>
  </si>
  <si>
    <t>71421176</t>
  </si>
  <si>
    <t>71421177</t>
  </si>
  <si>
    <t>71421657</t>
  </si>
  <si>
    <t>Legion Cuña femoral distal (atornillada)</t>
  </si>
  <si>
    <t>71421658</t>
  </si>
  <si>
    <t>Cuñas Femorales</t>
  </si>
  <si>
    <t>71421659</t>
  </si>
  <si>
    <t>71421661</t>
  </si>
  <si>
    <t>71421662</t>
  </si>
  <si>
    <t>71421663</t>
  </si>
  <si>
    <t>71421664</t>
  </si>
  <si>
    <t>71421665</t>
  </si>
  <si>
    <t>71421666</t>
  </si>
  <si>
    <t>71421667</t>
  </si>
  <si>
    <t>71421668</t>
  </si>
  <si>
    <t>71421669</t>
  </si>
  <si>
    <t>71421671</t>
  </si>
  <si>
    <t>71421672</t>
  </si>
  <si>
    <t>71421721</t>
  </si>
  <si>
    <t>Legion Cuña lateral (atornillada) T 3 5D</t>
  </si>
  <si>
    <t>71421722</t>
  </si>
  <si>
    <t>71421723</t>
  </si>
  <si>
    <t>Legion Cuña lateral (atornillada) T 3 10</t>
  </si>
  <si>
    <t>71421724</t>
  </si>
  <si>
    <t>71421725</t>
  </si>
  <si>
    <t>Legion Cuña lateral (atornillada) T 3 15</t>
  </si>
  <si>
    <t>71421726</t>
  </si>
  <si>
    <t>Legion Cuña lateral (atornillada) T 3</t>
  </si>
  <si>
    <t>71421731</t>
  </si>
  <si>
    <t>Legion Cuña lateral (atornillada) T 4 5D</t>
  </si>
  <si>
    <t>71421732</t>
  </si>
  <si>
    <t>71421733</t>
  </si>
  <si>
    <t>Legion Cuña lateral (atornillada) T 4 10</t>
  </si>
  <si>
    <t>71421734</t>
  </si>
  <si>
    <t>71421735</t>
  </si>
  <si>
    <t>Legion Cuña lateral (atornillada) T 4 15</t>
  </si>
  <si>
    <t>71421736</t>
  </si>
  <si>
    <t>71421741</t>
  </si>
  <si>
    <t>Legion Cuña lateral (atornillada) T 5 5D</t>
  </si>
  <si>
    <t>71421742</t>
  </si>
  <si>
    <t>Legion Cuña lateral (atornillada) T 5 10</t>
  </si>
  <si>
    <t>71421744</t>
  </si>
  <si>
    <t>71421745</t>
  </si>
  <si>
    <t>Legion Cuña lateral (atornillada) T 5 15</t>
  </si>
  <si>
    <t>71421751</t>
  </si>
  <si>
    <t>Legion Cuña lateral (atornillada) T 6 5D</t>
  </si>
  <si>
    <t>71421752</t>
  </si>
  <si>
    <t>71421753</t>
  </si>
  <si>
    <t>Legion Cuña lateral (atornillada) T 6 10</t>
  </si>
  <si>
    <t>71421754</t>
  </si>
  <si>
    <t>Legion Cuña lateral (atornillada) T 6 15</t>
  </si>
  <si>
    <t>71421755</t>
  </si>
  <si>
    <t>71421756</t>
  </si>
  <si>
    <t>71421761</t>
  </si>
  <si>
    <t>Legion Cuña lateral (atornillada) T 7 5D</t>
  </si>
  <si>
    <t>71421762</t>
  </si>
  <si>
    <t>71421763</t>
  </si>
  <si>
    <t>Legion Cuña lateral (atornillada) T 7 10</t>
  </si>
  <si>
    <t>71421764</t>
  </si>
  <si>
    <t>71421765</t>
  </si>
  <si>
    <t>Legion Cuña lateral (atornillada) T 7 15</t>
  </si>
  <si>
    <t>71421766</t>
  </si>
  <si>
    <t>71421803</t>
  </si>
  <si>
    <t>Legion Cuña Femoral posterior larga T 3-</t>
  </si>
  <si>
    <t>71421804</t>
  </si>
  <si>
    <t>Legion Cuña Femoral Posterior larga T 3-</t>
  </si>
  <si>
    <t>71421805</t>
  </si>
  <si>
    <t>Legion Cuña Femoral posterior larga T 5-</t>
  </si>
  <si>
    <t>71421806</t>
  </si>
  <si>
    <t>Legion Cuña Femoral Posterior larga T 5-</t>
  </si>
  <si>
    <t>71421807</t>
  </si>
  <si>
    <t>Legion Cuña Femoral posterior larga T 7-</t>
  </si>
  <si>
    <t>71421808</t>
  </si>
  <si>
    <t>Legion Cuña Femoral Posterior larga T 7-</t>
  </si>
  <si>
    <t>71423033</t>
  </si>
  <si>
    <t>Cuña Tibial Hemi Izq medial/Der Lateral</t>
  </si>
  <si>
    <t>71423034</t>
  </si>
  <si>
    <t>71423035</t>
  </si>
  <si>
    <t>71423036</t>
  </si>
  <si>
    <t>71423037</t>
  </si>
  <si>
    <t>Cuña Tibial Hemi Izq lateral/Der medial</t>
  </si>
  <si>
    <t>71423038</t>
  </si>
  <si>
    <t>71423039</t>
  </si>
  <si>
    <t>71423040</t>
  </si>
  <si>
    <t>71423041</t>
  </si>
  <si>
    <t>71423042</t>
  </si>
  <si>
    <t>71423043</t>
  </si>
  <si>
    <t>71423044</t>
  </si>
  <si>
    <t>71423045</t>
  </si>
  <si>
    <t>71423046</t>
  </si>
  <si>
    <t>71423047</t>
  </si>
  <si>
    <t>71423048</t>
  </si>
  <si>
    <t>71423057</t>
  </si>
  <si>
    <t>Cuña Tibial full 1-2 10mm</t>
  </si>
  <si>
    <t>71423058</t>
  </si>
  <si>
    <t>Cuña Tibial full 3-4 10mm</t>
  </si>
  <si>
    <t>71423059</t>
  </si>
  <si>
    <t>Cuña Tibial full 5-6 10mm</t>
  </si>
  <si>
    <t>71423060</t>
  </si>
  <si>
    <t>Cuña Tibial full 7-8 10mm</t>
  </si>
  <si>
    <t>71423061</t>
  </si>
  <si>
    <t>Cuña Tibial full 1-2 15mm</t>
  </si>
  <si>
    <t>71423062</t>
  </si>
  <si>
    <t>Cuña Tibial full 3-4 15mm</t>
  </si>
  <si>
    <t>71423063</t>
  </si>
  <si>
    <t>Cuña Tibial full 5-6 15mm</t>
  </si>
  <si>
    <t>71423064</t>
  </si>
  <si>
    <t>Cuña Tibial full 7-8 15mm</t>
  </si>
  <si>
    <t>Legion Base Tibial T 2 Izq</t>
  </si>
  <si>
    <t>Bases tibiales</t>
  </si>
  <si>
    <t>Legion Base Tibial T 3 Izq</t>
  </si>
  <si>
    <t>71424004</t>
  </si>
  <si>
    <t>Legion Base Tibial T 4 Izq</t>
  </si>
  <si>
    <t>Legion Base Tibial T 5 Izq</t>
  </si>
  <si>
    <t>71424006</t>
  </si>
  <si>
    <t>Legion Base Tibial T 6 Izq</t>
  </si>
  <si>
    <t>71424007</t>
  </si>
  <si>
    <t>Legion Base Tibial T 7 Izq</t>
  </si>
  <si>
    <t>71424012</t>
  </si>
  <si>
    <t>Legion Base Tibial T 2 Der</t>
  </si>
  <si>
    <t>Legion Base Tibial T 3 Der</t>
  </si>
  <si>
    <t>71424014</t>
  </si>
  <si>
    <t>Legion Base Tibial T 4 Der</t>
  </si>
  <si>
    <t>71424015</t>
  </si>
  <si>
    <t>Legion Base Tibial T 5 Der</t>
  </si>
  <si>
    <t>Legion Base Tibial T 6 Der</t>
  </si>
  <si>
    <t>71424017</t>
  </si>
  <si>
    <t>Legion Base Tibial T 7 Der</t>
  </si>
  <si>
    <t>71424023</t>
  </si>
  <si>
    <t>Legion Vástago Press Fit 10mm x 120mm</t>
  </si>
  <si>
    <t>Vástagos Press Fit</t>
  </si>
  <si>
    <t>71424024</t>
  </si>
  <si>
    <t>Legion Vástago Press Fit 11mm x 120mm</t>
  </si>
  <si>
    <t>71424025</t>
  </si>
  <si>
    <t>Legion Vástago Press Fit 12mm x 120mm</t>
  </si>
  <si>
    <t>71424026</t>
  </si>
  <si>
    <t>Legion Vástago Press Fit 13mm x 120mm</t>
  </si>
  <si>
    <t>Legion Vástago Press Fit 14mm x 120mm</t>
  </si>
  <si>
    <t>Legion Vástago Press Fit 15mm x 120mm</t>
  </si>
  <si>
    <t>Legion Vástago Press Fit 10mm x 160mm</t>
  </si>
  <si>
    <t>71424044</t>
  </si>
  <si>
    <t>Legion Vástago Press Fit 11mm x 160mm</t>
  </si>
  <si>
    <t>71424045</t>
  </si>
  <si>
    <t>Legion Vástago Press Fit 12mm x 160mm</t>
  </si>
  <si>
    <t>Legion Vástago Press Fit 13mm x 160mm</t>
  </si>
  <si>
    <t>Legion Vástago Press Fit 14mm x 160mm</t>
  </si>
  <si>
    <t>Legion Vástago Press Fit 15mm x 160mm</t>
  </si>
  <si>
    <t>71424064</t>
  </si>
  <si>
    <t>"Legion Vástago Press Fit 11mm x 220mm, r"</t>
  </si>
  <si>
    <t>71424065</t>
  </si>
  <si>
    <t>"Legion Vástago Press Fit 12mm x 220mm, r"</t>
  </si>
  <si>
    <t>71424182</t>
  </si>
  <si>
    <t>"Legion Vástago Cementado 10mm X 120mm, r"</t>
  </si>
  <si>
    <t>Vástagos Cementados</t>
  </si>
  <si>
    <t>71424184</t>
  </si>
  <si>
    <t>"Legion Vástago Cementado 12mm X 120mm, r"</t>
  </si>
  <si>
    <t>71424186</t>
  </si>
  <si>
    <t>"Legion Vástago Cementado 14mm X 120mm, r"</t>
  </si>
  <si>
    <t>71424188</t>
  </si>
  <si>
    <t>"Legion Vástago Cementado 16mm X 120mm, r"</t>
  </si>
  <si>
    <t>71424202</t>
  </si>
  <si>
    <t>"Legion Vástago Cementado 10mm X 160mm, r"</t>
  </si>
  <si>
    <t>71424204</t>
  </si>
  <si>
    <t>"Legion Vástago Cementado 12mm X 160mm, r"</t>
  </si>
  <si>
    <t>"Legion Vástago Cementado 14mm X 160mm, r"</t>
  </si>
  <si>
    <t>71424208</t>
  </si>
  <si>
    <t>"Legion Vástago Cementado 16mm X 160mm, r"</t>
  </si>
  <si>
    <t>Legion acople Offset 2mm</t>
  </si>
  <si>
    <t>Acoples Offset</t>
  </si>
  <si>
    <t>Legion acople Offset 4mm</t>
  </si>
  <si>
    <t>71424227</t>
  </si>
  <si>
    <t>Legion acople Offset 6mm</t>
  </si>
  <si>
    <t>71425002</t>
  </si>
  <si>
    <t>LGN COCR CONSTRAINED FEM 2 LT</t>
  </si>
  <si>
    <t>71425003</t>
  </si>
  <si>
    <t>LGN COCR CONSTRAINED FEM 3 LT</t>
  </si>
  <si>
    <t>71425004</t>
  </si>
  <si>
    <t>LGN COCR CONSTRAINED FEM 4 LT</t>
  </si>
  <si>
    <t>LGN COCR CONSTRAINED FEM 5 LT</t>
  </si>
  <si>
    <t>71425006</t>
  </si>
  <si>
    <t>LGN COCR CONSTRAINED FEM 6 LT</t>
  </si>
  <si>
    <t>71425007</t>
  </si>
  <si>
    <t>LGN COCR CONSTRAINED FEM 7 LT</t>
  </si>
  <si>
    <t>71426002</t>
  </si>
  <si>
    <t>LGN COCR CONSTRAINED FEM 2 RT</t>
  </si>
  <si>
    <t>71426003</t>
  </si>
  <si>
    <t>LGN COCR CONSTRAINED FEM 3 RT</t>
  </si>
  <si>
    <t>71426004</t>
  </si>
  <si>
    <t>LGN COCR CONSTRAINED FEM 4 RT</t>
  </si>
  <si>
    <t>71426005</t>
  </si>
  <si>
    <t>LGN COCR CONSTRAINED FEM 5 RT</t>
  </si>
  <si>
    <t>LGN COCR CONSTRAINED FEM 6 RT</t>
  </si>
  <si>
    <t>LGN COCR CONSTRAINED FEM 7 RT</t>
  </si>
  <si>
    <t>71453201</t>
  </si>
  <si>
    <t>INSERTO TIB H FLEX LEGION 1 2 DE  9MM</t>
  </si>
  <si>
    <t>INSERTO TIBIAL  HIGH FLEX LEGION</t>
  </si>
  <si>
    <t>INSERTO TIB H FLEX LEGION 1 2 DE 11MM</t>
  </si>
  <si>
    <t>71453203</t>
  </si>
  <si>
    <t>INSERTO TIB H FLEX LEGION 1 2 DE 13MM</t>
  </si>
  <si>
    <t>71453204</t>
  </si>
  <si>
    <t>INSERTO TIB H FLEX LEGION 1 2 DE 15MM</t>
  </si>
  <si>
    <t>INSERTO TIB H FLEX LEGION 3 4 DE 9MM</t>
  </si>
  <si>
    <t>INSERTO TIB H FLEX LEGION 3 4 DE 11MM</t>
  </si>
  <si>
    <t>INSERTO TIB H FLEX LEGION 3 4 DE 13MM</t>
  </si>
  <si>
    <t>71453214</t>
  </si>
  <si>
    <t>INSERTO TIB H FLEX LEGION 3 4 DE 15MM</t>
  </si>
  <si>
    <t>INSERTO TIB H FLEX LEGION 5 6 DE 9MM</t>
  </si>
  <si>
    <t>71453222</t>
  </si>
  <si>
    <t>INSERTO TIB H FLEX LEGION 5 6 DE 11MM</t>
  </si>
  <si>
    <t>71453223</t>
  </si>
  <si>
    <t>INSERTO TIB H FLEX LEGION 5 6 DE 13MM</t>
  </si>
  <si>
    <t>71453224</t>
  </si>
  <si>
    <t>INSERTO TIB H FLEX LEGION 5 6 DE 15MM</t>
  </si>
  <si>
    <t>71453231</t>
  </si>
  <si>
    <t>INSERTO TIB H FLEX LEGION 7 8 DE 9MM</t>
  </si>
  <si>
    <t>71453232</t>
  </si>
  <si>
    <t>INSERTO TIB H FLEX LEGION 7 8 DE 11MM</t>
  </si>
  <si>
    <t>71453233</t>
  </si>
  <si>
    <t>INSERTO TIB H FLEX LEGION 7 8 DE 13MM</t>
  </si>
  <si>
    <t>71453234</t>
  </si>
  <si>
    <t>INSERTO TIB H FLEX LEGION 7 8 DE 15MM</t>
  </si>
  <si>
    <t>KNOT PUSHER/SUTURE CUTTER AND SLOTTED CA</t>
  </si>
  <si>
    <t>PUNTAS DE RADIOFRECUENCIA</t>
  </si>
  <si>
    <t>+-</t>
  </si>
  <si>
    <t>SIERRAS PARA CIRUGIAS 25X90X2.27MM DYONI</t>
  </si>
  <si>
    <t>CUCHILLAS</t>
  </si>
  <si>
    <t>Cuchilla oscilante Ancha 25X90X1punto27M</t>
  </si>
  <si>
    <t>914535</t>
  </si>
  <si>
    <t>RESTRICTOR DE CEMENTO 13MM</t>
  </si>
  <si>
    <t>SUSP-7</t>
  </si>
  <si>
    <t>LIBRE-19</t>
  </si>
  <si>
    <t>LIBRE-20</t>
  </si>
  <si>
    <t>10-4025</t>
  </si>
  <si>
    <t>10102</t>
  </si>
  <si>
    <t>10117</t>
  </si>
  <si>
    <t>10140</t>
  </si>
  <si>
    <t>10313</t>
  </si>
  <si>
    <t>10802</t>
  </si>
  <si>
    <t>10803</t>
  </si>
  <si>
    <t>10SW5008N</t>
  </si>
  <si>
    <t>10SW8006N</t>
  </si>
  <si>
    <t>10TW8006S</t>
  </si>
  <si>
    <t>11011</t>
  </si>
  <si>
    <t>11224</t>
  </si>
  <si>
    <t>11228</t>
  </si>
  <si>
    <t>11232</t>
  </si>
  <si>
    <t>13099</t>
  </si>
  <si>
    <t>14825</t>
  </si>
  <si>
    <t>15101</t>
  </si>
  <si>
    <t>20445</t>
  </si>
  <si>
    <t>20828</t>
  </si>
  <si>
    <t>20830</t>
  </si>
  <si>
    <t>20833</t>
  </si>
  <si>
    <t>20932</t>
  </si>
  <si>
    <t>21028</t>
  </si>
  <si>
    <t>21032</t>
  </si>
  <si>
    <t>21036</t>
  </si>
  <si>
    <t>21128</t>
  </si>
  <si>
    <t>21132</t>
  </si>
  <si>
    <t>21833</t>
  </si>
  <si>
    <t>22467</t>
  </si>
  <si>
    <t>23900</t>
  </si>
  <si>
    <t>24502</t>
  </si>
  <si>
    <t>24503</t>
  </si>
  <si>
    <t>25211</t>
  </si>
  <si>
    <t>25213</t>
  </si>
  <si>
    <t>25222</t>
  </si>
  <si>
    <t>25224</t>
  </si>
  <si>
    <t>25237</t>
  </si>
  <si>
    <t>25240</t>
  </si>
  <si>
    <t>25441</t>
  </si>
  <si>
    <t>26904</t>
  </si>
  <si>
    <t>30073</t>
  </si>
  <si>
    <t>30180262</t>
  </si>
  <si>
    <t>30196092</t>
  </si>
  <si>
    <t>30218808</t>
  </si>
  <si>
    <t>30340</t>
  </si>
  <si>
    <t>3FKFB210136</t>
  </si>
  <si>
    <t>3FKFB210176</t>
  </si>
  <si>
    <t>3FKFB210184</t>
  </si>
  <si>
    <t>3FKFS230104</t>
  </si>
  <si>
    <t>41BR3010080810T</t>
  </si>
  <si>
    <t>41BR3412101010T</t>
  </si>
  <si>
    <t>4824727</t>
  </si>
  <si>
    <t>6803601</t>
  </si>
  <si>
    <t>6938BP</t>
  </si>
  <si>
    <t>6997987</t>
  </si>
  <si>
    <t>7210423</t>
  </si>
  <si>
    <t>73AE3030L05</t>
  </si>
  <si>
    <t>75CL1616L05</t>
  </si>
  <si>
    <t>75CL1618L07</t>
  </si>
  <si>
    <t>7602-20M</t>
  </si>
  <si>
    <t>7790300</t>
  </si>
  <si>
    <t>7862105740051</t>
  </si>
  <si>
    <t>7862105740068</t>
  </si>
  <si>
    <t>83AS1024N-00</t>
  </si>
  <si>
    <t>83AS1328N-01</t>
  </si>
  <si>
    <t>8810804</t>
  </si>
  <si>
    <t>9235302</t>
  </si>
  <si>
    <t>93903</t>
  </si>
  <si>
    <t>93AE2626L05</t>
  </si>
  <si>
    <t>93CL1519L07</t>
  </si>
  <si>
    <t>93MB2619L15-08</t>
  </si>
  <si>
    <t>ASG07010</t>
  </si>
  <si>
    <t>M00146154B0</t>
  </si>
  <si>
    <t>SV100F</t>
  </si>
  <si>
    <t>SV250L</t>
  </si>
  <si>
    <t>2016-7</t>
  </si>
  <si>
    <t>2016-8</t>
  </si>
  <si>
    <t>2016-9</t>
  </si>
  <si>
    <t>ebarek</t>
  </si>
  <si>
    <t>CÓD REFERENCIAL</t>
  </si>
  <si>
    <t>PO</t>
  </si>
  <si>
    <t>Orden 43</t>
  </si>
  <si>
    <t>Orden 45</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</si>
</sst>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quot;$&quot;\ #,##0"/>
    <numFmt numFmtId="165" formatCode="0.0"/>
    <numFmt numFmtId="166" formatCode="0.0%"/>
    <numFmt numFmtId="167" formatCode="&quot;$&quot;\ #,##0.00"/>
    <numFmt numFmtId="168" formatCode="dd/mmm/yyyy"/>
    <numFmt numFmtId="169" formatCode="yyyy\-mm"/>
  </numFmts>
  <fonts count="14" x14ac:knownFonts="1">
    <font>
      <sz val="11"/>
      <color theme="1"/>
      <name val="Calibri"/>
      <family val="2"/>
      <scheme val="minor"/>
    </font>
    <font>
      <b/>
      <sz val="11"/>
      <color theme="1"/>
      <name val="Calibri"/>
      <family val="2"/>
      <scheme val="minor"/>
    </font>
    <font>
      <sz val="14"/>
      <color rgb="FFFF0000"/>
      <name val="Calibri"/>
      <family val="2"/>
      <scheme val="minor"/>
    </font>
    <font>
      <u/>
      <sz val="11"/>
      <color theme="10"/>
      <name val="Calibri"/>
      <family val="2"/>
    </font>
    <font>
      <vertAlign val="superscript"/>
      <sz val="11"/>
      <color theme="1"/>
      <name val="Calibri"/>
      <family val="2"/>
      <scheme val="minor"/>
    </font>
    <font>
      <sz val="9"/>
      <color indexed="81"/>
      <name val="Tahoma"/>
      <family val="2"/>
    </font>
    <font>
      <b/>
      <sz val="9"/>
      <color indexed="81"/>
      <name val="Tahoma"/>
      <family val="2"/>
    </font>
    <font>
      <b/>
      <sz val="12"/>
      <color theme="1"/>
      <name val="Calibri"/>
      <family val="2"/>
      <scheme val="minor"/>
    </font>
    <font>
      <sz val="11"/>
      <color theme="1"/>
      <name val="Calibri"/>
      <family val="2"/>
      <scheme val="minor"/>
    </font>
    <font>
      <sz val="10"/>
      <name val="Arial"/>
      <family val="2"/>
    </font>
    <font>
      <sz val="11"/>
      <color theme="0"/>
      <name val="Calibri"/>
      <family val="2"/>
      <scheme val="minor"/>
    </font>
    <font>
      <sz val="11"/>
      <name val="Calibri"/>
      <family val="2"/>
      <scheme val="minor"/>
    </font>
    <font>
      <sz val="11"/>
      <color rgb="FF000000"/>
      <name val="Calibri"/>
      <family val="2"/>
      <scheme val="minor"/>
    </font>
    <font>
      <sz val="11"/>
      <color theme="1"/>
      <name val="Calibri"/>
      <family val="2"/>
      <scheme val="minor"/>
    </font>
  </fonts>
  <fills count="12">
    <fill>
      <patternFill patternType="none"/>
    </fill>
    <fill>
      <patternFill patternType="gray125"/>
    </fill>
    <fill>
      <patternFill patternType="solid">
        <fgColor theme="4" tint="0.39997558519241921"/>
        <bgColor indexed="64"/>
      </patternFill>
    </fill>
    <fill>
      <patternFill patternType="solid">
        <fgColor rgb="FF002060"/>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rgb="FFC00000"/>
        <bgColor indexed="64"/>
      </patternFill>
    </fill>
    <fill>
      <patternFill patternType="solid">
        <fgColor theme="3"/>
        <bgColor indexed="64"/>
      </patternFill>
    </fill>
    <fill>
      <patternFill patternType="solid">
        <fgColor rgb="FF3366FF"/>
        <bgColor indexed="64"/>
      </patternFill>
    </fill>
    <fill>
      <patternFill patternType="solid">
        <fgColor theme="4" tint="0.59999389629810485"/>
        <bgColor indexed="64"/>
      </patternFill>
    </fill>
    <fill>
      <patternFill patternType="solid">
        <fgColor theme="1" tint="0.34998626667073579"/>
        <bgColor indexed="64"/>
      </patternFill>
    </fill>
    <fill>
      <patternFill patternType="solid">
        <fgColor theme="1"/>
        <bgColor indexed="64"/>
      </patternFill>
    </fill>
  </fills>
  <borders count="11">
    <border>
      <left/>
      <right/>
      <top/>
      <bottom/>
      <diagonal/>
    </border>
    <border>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top style="thin">
        <color auto="1"/>
      </top>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8">
    <xf numFmtId="0" fontId="0" fillId="0" borderId="0"/>
    <xf numFmtId="0" fontId="3" fillId="0" borderId="0" applyNumberFormat="0" applyFill="0" applyBorder="0" applyAlignment="0" applyProtection="0">
      <alignment vertical="top"/>
      <protection locked="0"/>
    </xf>
    <xf numFmtId="0" fontId="9" fillId="0" borderId="0"/>
    <xf numFmtId="0" fontId="9" fillId="0" borderId="0"/>
    <xf numFmtId="0" fontId="8" fillId="0" borderId="0"/>
    <xf numFmtId="0" fontId="9" fillId="0" borderId="0"/>
    <xf numFmtId="0" fontId="9" fillId="0" borderId="0"/>
    <xf numFmtId="0" fontId="9" fillId="0" borderId="0"/>
  </cellStyleXfs>
  <cellXfs count="64">
    <xf numFmtId="0" fontId="0" fillId="0" borderId="0" xfId="0"/>
    <xf numFmtId="0" fontId="0" fillId="0" borderId="0" xfId="0" applyAlignment="1">
      <alignment horizontal="centerContinuous"/>
    </xf>
    <xf numFmtId="0" fontId="0" fillId="0" borderId="0" xfId="0" applyAlignment="1">
      <alignment horizontal="center"/>
    </xf>
    <xf numFmtId="0" fontId="0" fillId="0" borderId="0" xfId="0" applyNumberFormat="1"/>
    <xf numFmtId="166" fontId="0" fillId="0" borderId="0" xfId="0" applyNumberFormat="1" applyAlignment="1">
      <alignment horizontal="center"/>
    </xf>
    <xf numFmtId="167" fontId="0" fillId="0" borderId="0" xfId="0" applyNumberFormat="1"/>
    <xf numFmtId="0" fontId="0" fillId="0" borderId="0" xfId="0" applyNumberFormat="1" applyAlignment="1">
      <alignment horizontal="center"/>
    </xf>
    <xf numFmtId="0" fontId="2" fillId="0" borderId="0" xfId="0" applyFont="1"/>
    <xf numFmtId="0" fontId="0" fillId="0" borderId="0" xfId="0" pivotButton="1"/>
    <xf numFmtId="0" fontId="1" fillId="0" borderId="7" xfId="0" applyFont="1" applyBorder="1" applyAlignment="1">
      <alignment horizontal="center"/>
    </xf>
    <xf numFmtId="0" fontId="0" fillId="0" borderId="0" xfId="0" applyBorder="1"/>
    <xf numFmtId="0" fontId="0" fillId="0" borderId="0" xfId="0" applyBorder="1" applyAlignment="1">
      <alignment horizontal="center"/>
    </xf>
    <xf numFmtId="168" fontId="0" fillId="0" borderId="0" xfId="0" applyNumberFormat="1" applyAlignment="1">
      <alignment horizontal="left"/>
    </xf>
    <xf numFmtId="0" fontId="7" fillId="0" borderId="0" xfId="0" applyFont="1" applyAlignment="1">
      <alignment horizontal="centerContinuous"/>
    </xf>
    <xf numFmtId="0" fontId="0" fillId="0" borderId="0" xfId="0" applyFont="1" applyAlignment="1">
      <alignment horizontal="center"/>
    </xf>
    <xf numFmtId="0" fontId="9" fillId="0" borderId="0" xfId="2"/>
    <xf numFmtId="0" fontId="9" fillId="0" borderId="0" xfId="2" quotePrefix="1"/>
    <xf numFmtId="0" fontId="1" fillId="4" borderId="1" xfId="0" applyFont="1" applyFill="1" applyBorder="1"/>
    <xf numFmtId="0" fontId="0" fillId="4" borderId="8" xfId="0" applyFill="1" applyBorder="1" applyAlignment="1">
      <alignment horizontal="center"/>
    </xf>
    <xf numFmtId="0" fontId="1" fillId="4" borderId="8" xfId="0" applyFont="1" applyFill="1" applyBorder="1"/>
    <xf numFmtId="168" fontId="0" fillId="4" borderId="2" xfId="0" applyNumberFormat="1" applyFill="1" applyBorder="1" applyAlignment="1">
      <alignment horizontal="center"/>
    </xf>
    <xf numFmtId="0" fontId="1" fillId="4" borderId="3" xfId="0" applyFont="1" applyFill="1" applyBorder="1"/>
    <xf numFmtId="0" fontId="0" fillId="4" borderId="9" xfId="0" applyFont="1" applyFill="1" applyBorder="1" applyAlignment="1">
      <alignment horizontal="center"/>
    </xf>
    <xf numFmtId="0" fontId="1" fillId="4" borderId="9" xfId="0" applyFont="1" applyFill="1" applyBorder="1"/>
    <xf numFmtId="168" fontId="0" fillId="4" borderId="9" xfId="0" applyNumberFormat="1" applyFont="1" applyFill="1" applyBorder="1" applyAlignment="1" applyProtection="1">
      <alignment horizontal="center"/>
      <protection locked="0"/>
    </xf>
    <xf numFmtId="0" fontId="0" fillId="4" borderId="9" xfId="0" applyFill="1" applyBorder="1" applyAlignment="1">
      <alignment horizontal="center"/>
    </xf>
    <xf numFmtId="0" fontId="0" fillId="4" borderId="9" xfId="0" applyFill="1" applyBorder="1"/>
    <xf numFmtId="0" fontId="0" fillId="4" borderId="4" xfId="0" applyFill="1" applyBorder="1"/>
    <xf numFmtId="0" fontId="0" fillId="4" borderId="9" xfId="0" applyFill="1" applyBorder="1" applyAlignment="1" applyProtection="1">
      <alignment horizontal="center"/>
      <protection locked="0"/>
    </xf>
    <xf numFmtId="164" fontId="0" fillId="4" borderId="4" xfId="0" applyNumberFormat="1" applyFill="1" applyBorder="1"/>
    <xf numFmtId="165" fontId="0" fillId="4" borderId="4" xfId="0" applyNumberFormat="1" applyFill="1" applyBorder="1"/>
    <xf numFmtId="0" fontId="1" fillId="4" borderId="5" xfId="0" applyFont="1" applyFill="1" applyBorder="1"/>
    <xf numFmtId="0" fontId="0" fillId="4" borderId="10" xfId="0" applyFill="1" applyBorder="1" applyProtection="1">
      <protection locked="0"/>
    </xf>
    <xf numFmtId="0" fontId="0" fillId="4" borderId="10" xfId="0" applyFill="1" applyBorder="1"/>
    <xf numFmtId="0" fontId="0" fillId="4" borderId="6" xfId="0" applyFill="1" applyBorder="1"/>
    <xf numFmtId="0" fontId="2" fillId="4" borderId="0" xfId="0" applyFont="1" applyFill="1" applyAlignment="1">
      <alignment horizontal="centerContinuous"/>
    </xf>
    <xf numFmtId="0" fontId="0" fillId="4" borderId="0" xfId="0" applyFill="1" applyAlignment="1">
      <alignment horizontal="centerContinuous"/>
    </xf>
    <xf numFmtId="0" fontId="0" fillId="4" borderId="0" xfId="0" applyFill="1"/>
    <xf numFmtId="0" fontId="3" fillId="4" borderId="0" xfId="1" applyFill="1" applyAlignment="1" applyProtection="1">
      <alignment horizontal="centerContinuous"/>
    </xf>
    <xf numFmtId="0" fontId="10" fillId="3" borderId="0" xfId="0" applyFont="1" applyFill="1" applyAlignment="1">
      <alignment horizontal="center" vertical="center" wrapText="1"/>
    </xf>
    <xf numFmtId="0" fontId="0" fillId="2" borderId="0" xfId="0" applyFill="1" applyAlignment="1">
      <alignment horizontal="center" vertical="center" wrapText="1"/>
    </xf>
    <xf numFmtId="0" fontId="0" fillId="0" borderId="0" xfId="0" applyFont="1"/>
    <xf numFmtId="0" fontId="0" fillId="0" borderId="0" xfId="0" applyAlignment="1">
      <alignment horizontal="center" vertical="center" wrapText="1"/>
    </xf>
    <xf numFmtId="0" fontId="11" fillId="5" borderId="0" xfId="0" applyFont="1" applyFill="1" applyAlignment="1">
      <alignment horizontal="center" vertical="center" wrapText="1"/>
    </xf>
    <xf numFmtId="0" fontId="10" fillId="6" borderId="0" xfId="0" applyFont="1" applyFill="1" applyAlignment="1">
      <alignment horizontal="center" vertical="center" wrapText="1"/>
    </xf>
    <xf numFmtId="0" fontId="10" fillId="7" borderId="0" xfId="0" applyFont="1" applyFill="1" applyAlignment="1">
      <alignment horizontal="center" vertical="center" wrapText="1"/>
    </xf>
    <xf numFmtId="9" fontId="0" fillId="0" borderId="0" xfId="0" applyNumberFormat="1" applyAlignment="1">
      <alignment horizontal="center"/>
    </xf>
    <xf numFmtId="14" fontId="0" fillId="0" borderId="0" xfId="0" applyNumberFormat="1"/>
    <xf numFmtId="0" fontId="10" fillId="8" borderId="0" xfId="0" applyFont="1" applyFill="1" applyAlignment="1">
      <alignment horizontal="center" vertical="center" wrapText="1"/>
    </xf>
    <xf numFmtId="9" fontId="0" fillId="0" borderId="0" xfId="0" applyNumberFormat="1" applyAlignment="1" applyProtection="1">
      <alignment horizontal="center"/>
      <protection locked="0"/>
    </xf>
    <xf numFmtId="0" fontId="0" fillId="0" borderId="0" xfId="0" applyAlignment="1" applyProtection="1">
      <alignment horizontal="center"/>
      <protection locked="0"/>
    </xf>
    <xf numFmtId="0" fontId="0" fillId="0" borderId="0" xfId="0" applyNumberFormat="1" applyAlignment="1" applyProtection="1">
      <alignment horizontal="center"/>
      <protection locked="0"/>
    </xf>
    <xf numFmtId="0" fontId="11" fillId="9" borderId="0" xfId="0" applyFont="1" applyFill="1" applyAlignment="1">
      <alignment horizontal="center" vertical="center" wrapText="1"/>
    </xf>
    <xf numFmtId="169" fontId="0" fillId="0" borderId="0" xfId="0" applyNumberFormat="1"/>
    <xf numFmtId="0" fontId="0" fillId="0" borderId="0" xfId="0" applyProtection="1"/>
    <xf numFmtId="0" fontId="0" fillId="0" borderId="0" xfId="0" applyAlignment="1" applyProtection="1">
      <alignment horizontal="center"/>
    </xf>
    <xf numFmtId="14" fontId="0" fillId="0" borderId="0" xfId="0" applyNumberFormat="1"/>
    <xf numFmtId="0" fontId="10" fillId="10" borderId="0" xfId="0" applyFont="1" applyFill="1" applyAlignment="1">
      <alignment horizontal="center" vertical="center" wrapText="1"/>
    </xf>
    <xf numFmtId="0" fontId="10" fillId="10" borderId="0" xfId="0" applyFont="1" applyFill="1" applyAlignment="1" applyProtection="1">
      <alignment horizontal="center" vertical="center" wrapText="1"/>
    </xf>
    <xf numFmtId="0" fontId="12" fillId="0" borderId="0" xfId="0" applyNumberFormat="1" applyFont="1"/>
    <xf numFmtId="0" fontId="0" fillId="0" borderId="0" xfId="0" applyFont="1" applyAlignment="1" applyProtection="1">
      <alignment horizontal="center"/>
      <protection locked="0"/>
    </xf>
    <xf numFmtId="0" fontId="10" fillId="11" borderId="0" xfId="0" applyFont="1" applyFill="1" applyAlignment="1">
      <alignment horizontal="center" vertical="center" wrapText="1"/>
    </xf>
    <xf numFmtId="14" fontId="0" fillId="0" borderId="0" xfId="0" applyNumberFormat="1" applyAlignment="1">
      <alignment horizontal="center"/>
    </xf>
    <xf numFmtId="0" fontId="13" fillId="0" borderId="0" xfId="0" applyFont="1" applyAlignment="1" applyProtection="1">
      <alignment horizontal="center"/>
      <protection locked="0"/>
    </xf>
  </cellXfs>
  <cellStyles count="8">
    <cellStyle name="Cancel" xfId="3"/>
    <cellStyle name="Cancel 2" xfId="6"/>
    <cellStyle name="Cancel_Empresa" xfId="7"/>
    <cellStyle name="Hipervínculo" xfId="1" builtinId="8"/>
    <cellStyle name="Normal" xfId="0" builtinId="0"/>
    <cellStyle name="Normal 2" xfId="2"/>
    <cellStyle name="Normal 2 2" xfId="4"/>
    <cellStyle name="Normal 3" xfId="5"/>
  </cellStyles>
  <dxfs count="207">
    <dxf>
      <protection locked="1" hidden="0"/>
    </dxf>
    <dxf>
      <numFmt numFmtId="0" formatCode="General"/>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169" formatCode="yyyy\-mm"/>
    </dxf>
    <dxf>
      <numFmt numFmtId="0" formatCode="General"/>
    </dxf>
    <dxf>
      <numFmt numFmtId="170" formatCode="m/d/yyyy"/>
    </dxf>
    <dxf>
      <numFmt numFmtId="170" formatCode="m/d/yyyy"/>
    </dxf>
    <dxf>
      <numFmt numFmtId="170" formatCode="m/d/yyyy"/>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170" formatCode="m/d/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1" hidden="0"/>
    </dxf>
    <dxf>
      <alignment horizontal="center" vertical="center" textRotation="0" wrapText="1" indent="0" justifyLastLine="0" shrinkToFit="0" readingOrder="0"/>
    </dxf>
    <dxf>
      <fill>
        <patternFill>
          <bgColor theme="4"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theme="9" tint="0.39994506668294322"/>
        </patternFill>
      </fill>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170" formatCode="m/d/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vertical="center" textRotation="0" wrapText="1" indent="0" justifyLastLine="0" shrinkToFit="0" readingOrder="0"/>
    </dxf>
    <dxf>
      <font>
        <color theme="0"/>
      </font>
    </dxf>
    <dxf>
      <fill>
        <patternFill>
          <bgColor theme="4"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rgb="FFFF0000"/>
        </patternFill>
      </fill>
    </dxf>
    <dxf>
      <fill>
        <patternFill>
          <bgColor theme="4" tint="0.59996337778862885"/>
        </patternFill>
      </fill>
    </dxf>
    <dxf>
      <fill>
        <patternFill>
          <bgColor theme="4" tint="0.59996337778862885"/>
        </patternFill>
      </fill>
    </dxf>
    <dxf>
      <fill>
        <patternFill>
          <bgColor rgb="FFFF0000"/>
        </patternFill>
      </fill>
    </dxf>
    <dxf>
      <fill>
        <patternFill>
          <bgColor theme="4" tint="0.59996337778862885"/>
        </patternFill>
      </fill>
    </dxf>
    <dxf>
      <fill>
        <patternFill>
          <bgColor theme="9" tint="0.39994506668294322"/>
        </patternFill>
      </fill>
    </dxf>
  </dxfs>
  <tableStyles count="0" defaultTableStyle="TableStyleMedium9" defaultPivotStyle="PivotStyleLight16"/>
  <colors>
    <mruColors>
      <color rgb="FF008000"/>
      <color rgb="FF006600"/>
      <color rgb="FF3366FF"/>
      <color rgb="FF3333CC"/>
      <color rgb="FFFF0000"/>
      <color rgb="FFEA89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4.emf"/><Relationship Id="rId13" Type="http://schemas.openxmlformats.org/officeDocument/2006/relationships/image" Target="../media/image17.emf"/><Relationship Id="rId18" Type="http://schemas.openxmlformats.org/officeDocument/2006/relationships/image" Target="../media/image19.emf"/><Relationship Id="rId3" Type="http://schemas.openxmlformats.org/officeDocument/2006/relationships/image" Target="../media/image10.emf"/><Relationship Id="rId7" Type="http://schemas.openxmlformats.org/officeDocument/2006/relationships/image" Target="../media/image13.emf"/><Relationship Id="rId12" Type="http://schemas.openxmlformats.org/officeDocument/2006/relationships/image" Target="../media/image16.emf"/><Relationship Id="rId17" Type="http://schemas.openxmlformats.org/officeDocument/2006/relationships/image" Target="../media/image2.emf"/><Relationship Id="rId2" Type="http://schemas.openxmlformats.org/officeDocument/2006/relationships/image" Target="../media/image8.emf"/><Relationship Id="rId16" Type="http://schemas.openxmlformats.org/officeDocument/2006/relationships/image" Target="../media/image3.emf"/><Relationship Id="rId20" Type="http://schemas.openxmlformats.org/officeDocument/2006/relationships/image" Target="../media/image1.emf"/><Relationship Id="rId1" Type="http://schemas.openxmlformats.org/officeDocument/2006/relationships/image" Target="../media/image9.emf"/><Relationship Id="rId6" Type="http://schemas.openxmlformats.org/officeDocument/2006/relationships/image" Target="../media/image12.emf"/><Relationship Id="rId11" Type="http://schemas.openxmlformats.org/officeDocument/2006/relationships/image" Target="../media/image4.emf"/><Relationship Id="rId5" Type="http://schemas.openxmlformats.org/officeDocument/2006/relationships/image" Target="../media/image6.emf"/><Relationship Id="rId15" Type="http://schemas.openxmlformats.org/officeDocument/2006/relationships/image" Target="../media/image7.emf"/><Relationship Id="rId10" Type="http://schemas.openxmlformats.org/officeDocument/2006/relationships/image" Target="../media/image5.emf"/><Relationship Id="rId19" Type="http://schemas.openxmlformats.org/officeDocument/2006/relationships/image" Target="../media/image20.emf"/><Relationship Id="rId4" Type="http://schemas.openxmlformats.org/officeDocument/2006/relationships/image" Target="../media/image11.emf"/><Relationship Id="rId9" Type="http://schemas.openxmlformats.org/officeDocument/2006/relationships/image" Target="../media/image15.emf"/><Relationship Id="rId14" Type="http://schemas.openxmlformats.org/officeDocument/2006/relationships/image" Target="../media/image18.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1.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3.emf"/><Relationship Id="rId1"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19050</xdr:colOff>
          <xdr:row>0</xdr:row>
          <xdr:rowOff>333375</xdr:rowOff>
        </xdr:from>
        <xdr:to>
          <xdr:col>0</xdr:col>
          <xdr:colOff>676275</xdr:colOff>
          <xdr:row>0</xdr:row>
          <xdr:rowOff>600075</xdr:rowOff>
        </xdr:to>
        <xdr:sp macro="" textlink="">
          <xdr:nvSpPr>
            <xdr:cNvPr id="1025" name="cmdConfirma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685800</xdr:colOff>
          <xdr:row>0</xdr:row>
          <xdr:rowOff>333375</xdr:rowOff>
        </xdr:from>
        <xdr:to>
          <xdr:col>1</xdr:col>
          <xdr:colOff>38100</xdr:colOff>
          <xdr:row>0</xdr:row>
          <xdr:rowOff>600075</xdr:rowOff>
        </xdr:to>
        <xdr:sp macro="" textlink="">
          <xdr:nvSpPr>
            <xdr:cNvPr id="1026" name="cmdCancel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1123950</xdr:colOff>
          <xdr:row>0</xdr:row>
          <xdr:rowOff>28575</xdr:rowOff>
        </xdr:from>
        <xdr:to>
          <xdr:col>1</xdr:col>
          <xdr:colOff>219075</xdr:colOff>
          <xdr:row>0</xdr:row>
          <xdr:rowOff>295275</xdr:rowOff>
        </xdr:to>
        <xdr:sp macro="" textlink="">
          <xdr:nvSpPr>
            <xdr:cNvPr id="1028" name="cmdDarDeBaja"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1038225</xdr:colOff>
          <xdr:row>0</xdr:row>
          <xdr:rowOff>276225</xdr:rowOff>
        </xdr:from>
        <xdr:to>
          <xdr:col>25</xdr:col>
          <xdr:colOff>704850</xdr:colOff>
          <xdr:row>0</xdr:row>
          <xdr:rowOff>542925</xdr:rowOff>
        </xdr:to>
        <xdr:sp macro="" textlink="">
          <xdr:nvSpPr>
            <xdr:cNvPr id="1030" name="cmdLlenarTransferEspecial"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0</xdr:col>
          <xdr:colOff>276225</xdr:colOff>
          <xdr:row>0</xdr:row>
          <xdr:rowOff>295275</xdr:rowOff>
        </xdr:to>
        <xdr:sp macro="" textlink="">
          <xdr:nvSpPr>
            <xdr:cNvPr id="1031" name="cmdBuscaIte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2933700</xdr:colOff>
          <xdr:row>5</xdr:row>
          <xdr:rowOff>0</xdr:rowOff>
        </xdr:from>
        <xdr:to>
          <xdr:col>2</xdr:col>
          <xdr:colOff>19050</xdr:colOff>
          <xdr:row>5</xdr:row>
          <xdr:rowOff>209550</xdr:rowOff>
        </xdr:to>
        <xdr:sp macro="" textlink="">
          <xdr:nvSpPr>
            <xdr:cNvPr id="1037" name="cmdFechaArribo"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2</xdr:row>
          <xdr:rowOff>0</xdr:rowOff>
        </xdr:from>
        <xdr:to>
          <xdr:col>11</xdr:col>
          <xdr:colOff>28575</xdr:colOff>
          <xdr:row>3</xdr:row>
          <xdr:rowOff>19050</xdr:rowOff>
        </xdr:to>
        <xdr:sp macro="" textlink="">
          <xdr:nvSpPr>
            <xdr:cNvPr id="1038" name="cmdFechaCierr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28575</xdr:rowOff>
        </xdr:from>
        <xdr:to>
          <xdr:col>1</xdr:col>
          <xdr:colOff>923925</xdr:colOff>
          <xdr:row>0</xdr:row>
          <xdr:rowOff>295275</xdr:rowOff>
        </xdr:to>
        <xdr:sp macro="" textlink="">
          <xdr:nvSpPr>
            <xdr:cNvPr id="1039" name="cmdMRP"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209550</xdr:colOff>
          <xdr:row>0</xdr:row>
          <xdr:rowOff>28575</xdr:rowOff>
        </xdr:from>
        <xdr:to>
          <xdr:col>1</xdr:col>
          <xdr:colOff>581025</xdr:colOff>
          <xdr:row>0</xdr:row>
          <xdr:rowOff>295275</xdr:rowOff>
        </xdr:to>
        <xdr:sp macro="" textlink="">
          <xdr:nvSpPr>
            <xdr:cNvPr id="1067" name="cmdImprimir"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933450</xdr:colOff>
          <xdr:row>0</xdr:row>
          <xdr:rowOff>28575</xdr:rowOff>
        </xdr:from>
        <xdr:to>
          <xdr:col>1</xdr:col>
          <xdr:colOff>2276475</xdr:colOff>
          <xdr:row>0</xdr:row>
          <xdr:rowOff>314325</xdr:rowOff>
        </xdr:to>
        <xdr:sp macro="" textlink="">
          <xdr:nvSpPr>
            <xdr:cNvPr id="1068" name="txtBusqueda"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28575</xdr:rowOff>
        </xdr:from>
        <xdr:to>
          <xdr:col>1</xdr:col>
          <xdr:colOff>2505075</xdr:colOff>
          <xdr:row>0</xdr:row>
          <xdr:rowOff>276225</xdr:rowOff>
        </xdr:to>
        <xdr:sp macro="" textlink="">
          <xdr:nvSpPr>
            <xdr:cNvPr id="1069" name="cmdQuitaFiltros" hidden="1">
              <a:extLst>
                <a:ext uri="{63B3BB69-23CF-44E3-9099-C40C66FF867C}">
                  <a14:compatExt spid="_x0000_s1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76200</xdr:colOff>
          <xdr:row>0</xdr:row>
          <xdr:rowOff>28575</xdr:rowOff>
        </xdr:from>
        <xdr:to>
          <xdr:col>2</xdr:col>
          <xdr:colOff>266700</xdr:colOff>
          <xdr:row>0</xdr:row>
          <xdr:rowOff>266700</xdr:rowOff>
        </xdr:to>
        <xdr:sp macro="" textlink="">
          <xdr:nvSpPr>
            <xdr:cNvPr id="1070" name="cmdBorraRegistro"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2514600</xdr:colOff>
          <xdr:row>0</xdr:row>
          <xdr:rowOff>28575</xdr:rowOff>
        </xdr:from>
        <xdr:to>
          <xdr:col>1</xdr:col>
          <xdr:colOff>2686050</xdr:colOff>
          <xdr:row>0</xdr:row>
          <xdr:rowOff>266700</xdr:rowOff>
        </xdr:to>
        <xdr:sp macro="" textlink="">
          <xdr:nvSpPr>
            <xdr:cNvPr id="1071" name="cmdAscendente" hidden="1">
              <a:extLst>
                <a:ext uri="{63B3BB69-23CF-44E3-9099-C40C66FF867C}">
                  <a14:compatExt spid="_x0000_s1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2695575</xdr:colOff>
          <xdr:row>0</xdr:row>
          <xdr:rowOff>28575</xdr:rowOff>
        </xdr:from>
        <xdr:to>
          <xdr:col>1</xdr:col>
          <xdr:colOff>2867025</xdr:colOff>
          <xdr:row>0</xdr:row>
          <xdr:rowOff>266700</xdr:rowOff>
        </xdr:to>
        <xdr:sp macro="" textlink="">
          <xdr:nvSpPr>
            <xdr:cNvPr id="1072" name="cmdDescendente" hidden="1">
              <a:extLst>
                <a:ext uri="{63B3BB69-23CF-44E3-9099-C40C66FF867C}">
                  <a14:compatExt spid="_x0000_s1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25</xdr:col>
          <xdr:colOff>273844</xdr:colOff>
          <xdr:row>0</xdr:row>
          <xdr:rowOff>276225</xdr:rowOff>
        </xdr:from>
        <xdr:to>
          <xdr:col>27</xdr:col>
          <xdr:colOff>83344</xdr:colOff>
          <xdr:row>0</xdr:row>
          <xdr:rowOff>542925</xdr:rowOff>
        </xdr:to>
        <xdr:sp macro="" textlink="">
          <xdr:nvSpPr>
            <xdr:cNvPr id="1029" name="cmdLlenarTransfer"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533400</xdr:colOff>
          <xdr:row>0</xdr:row>
          <xdr:rowOff>28575</xdr:rowOff>
        </xdr:from>
        <xdr:to>
          <xdr:col>0</xdr:col>
          <xdr:colOff>828675</xdr:colOff>
          <xdr:row>0</xdr:row>
          <xdr:rowOff>295275</xdr:rowOff>
        </xdr:to>
        <xdr:sp macro="" textlink="">
          <xdr:nvSpPr>
            <xdr:cNvPr id="1073" name="cmdVistas" hidden="1">
              <a:extLst>
                <a:ext uri="{63B3BB69-23CF-44E3-9099-C40C66FF867C}">
                  <a14:compatExt spid="_x0000_s1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828675</xdr:colOff>
          <xdr:row>0</xdr:row>
          <xdr:rowOff>28575</xdr:rowOff>
        </xdr:from>
        <xdr:to>
          <xdr:col>0</xdr:col>
          <xdr:colOff>1085850</xdr:colOff>
          <xdr:row>0</xdr:row>
          <xdr:rowOff>295275</xdr:rowOff>
        </xdr:to>
        <xdr:sp macro="" textlink="">
          <xdr:nvSpPr>
            <xdr:cNvPr id="1074" name="cmdRefrescar" hidden="1">
              <a:extLst>
                <a:ext uri="{63B3BB69-23CF-44E3-9099-C40C66FF867C}">
                  <a14:compatExt spid="_x0000_s1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2886075</xdr:colOff>
          <xdr:row>0</xdr:row>
          <xdr:rowOff>28575</xdr:rowOff>
        </xdr:from>
        <xdr:to>
          <xdr:col>2</xdr:col>
          <xdr:colOff>66675</xdr:colOff>
          <xdr:row>0</xdr:row>
          <xdr:rowOff>266700</xdr:rowOff>
        </xdr:to>
        <xdr:sp macro="" textlink="">
          <xdr:nvSpPr>
            <xdr:cNvPr id="1077" name="cmdOrdenamientoMultiple" hidden="1">
              <a:extLst>
                <a:ext uri="{63B3BB69-23CF-44E3-9099-C40C66FF867C}">
                  <a14:compatExt spid="_x0000_s1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247650</xdr:colOff>
          <xdr:row>0</xdr:row>
          <xdr:rowOff>28575</xdr:rowOff>
        </xdr:from>
        <xdr:to>
          <xdr:col>2</xdr:col>
          <xdr:colOff>438150</xdr:colOff>
          <xdr:row>0</xdr:row>
          <xdr:rowOff>266700</xdr:rowOff>
        </xdr:to>
        <xdr:sp macro="" textlink="">
          <xdr:nvSpPr>
            <xdr:cNvPr id="1079" name="cmdAnadeRegistro" hidden="1">
              <a:extLst>
                <a:ext uri="{63B3BB69-23CF-44E3-9099-C40C66FF867C}">
                  <a14:compatExt spid="_x0000_s1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1</xdr:col>
          <xdr:colOff>704850</xdr:colOff>
          <xdr:row>0</xdr:row>
          <xdr:rowOff>600075</xdr:rowOff>
        </xdr:to>
        <xdr:sp macro="" textlink="">
          <xdr:nvSpPr>
            <xdr:cNvPr id="1082" name="cmdCambiarPropiedad"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2714625</xdr:colOff>
          <xdr:row>0</xdr:row>
          <xdr:rowOff>104775</xdr:rowOff>
        </xdr:from>
        <xdr:to>
          <xdr:col>2</xdr:col>
          <xdr:colOff>600075</xdr:colOff>
          <xdr:row>1</xdr:row>
          <xdr:rowOff>123825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19050</xdr:rowOff>
        </xdr:from>
        <xdr:to>
          <xdr:col>4</xdr:col>
          <xdr:colOff>47625</xdr:colOff>
          <xdr:row>1</xdr:row>
          <xdr:rowOff>85725</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76200</xdr:colOff>
          <xdr:row>1</xdr:row>
          <xdr:rowOff>76200</xdr:rowOff>
        </xdr:from>
        <xdr:to>
          <xdr:col>4</xdr:col>
          <xdr:colOff>47625</xdr:colOff>
          <xdr:row>2</xdr:row>
          <xdr:rowOff>152400</xdr:rowOff>
        </xdr:to>
        <xdr:sp macro="" textlink="">
          <xdr:nvSpPr>
            <xdr:cNvPr id="3075" name="cmdImprimir"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ENTRAL%20CONTROL%20BUFFER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 val="CENTRAL CONTROL BUFFERS"/>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B1" t="str">
            <v>C:\RAM CAS\MEJORA CONTINUA\INVENTARIOS\HISTORIAL INVENTARIOS\TRANSFERENCIAS ABIERTAS\595 _ 8-4-2013 - IMPORTACIÓN - AGROTACENTRAL.xlsm</v>
          </cell>
        </row>
      </sheetData>
      <sheetData sheetId="13"/>
      <sheetData sheetId="14"/>
      <sheetData sheetId="15"/>
      <sheetData sheetId="16"/>
      <sheetData sheetId="17"/>
      <sheetData sheetId="18"/>
      <sheetData sheetId="19"/>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AS" refreshedDate="41659.753398842593" createdVersion="3" refreshedVersion="3" minRefreshableVersion="3" recordCount="23">
  <cacheSource type="worksheet">
    <worksheetSource name="=Tabla_Recetas"/>
  </cacheSource>
  <cacheFields count="9">
    <cacheField name="Cod Padre" numFmtId="0">
      <sharedItems/>
    </cacheField>
    <cacheField name="Descripcion Padre" numFmtId="0">
      <sharedItems/>
    </cacheField>
    <cacheField name="Unidad Padre" numFmtId="0">
      <sharedItems/>
    </cacheField>
    <cacheField name="Cod Hijo" numFmtId="0">
      <sharedItems containsBlank="1" count="446">
        <s v="MP-162"/>
        <s v="MP-047"/>
        <s v="MP-216"/>
        <s v="MP-19456"/>
        <s v="MP-0471"/>
        <s v="MP-217"/>
        <s v="MP-218"/>
        <s v="MP-19452"/>
        <s v="MP-19457"/>
        <s v="MP-223"/>
        <s v="MP-19460"/>
        <s v="MP-062"/>
        <s v="MP-186"/>
        <s v="MP-084"/>
        <s v="MP-004"/>
        <s v="MP-2022"/>
        <s v="MP-315"/>
        <s v="MP-001"/>
        <m u="1"/>
        <s v="MP-095" u="1"/>
        <s v="MP-187" u="1"/>
        <s v="IN-34567" u="1"/>
        <s v="MP-083" u="1"/>
        <s v="MP-175" u="1"/>
        <s v="MP-267" u="1"/>
        <s v="MP-163" u="1"/>
        <s v="MP-255" u="1"/>
        <s v="MP-151" u="1"/>
        <s v="MP-29426" u="1"/>
        <s v="MP-0632" u="1"/>
        <s v="EC-488/EMC" u="1"/>
        <s v="MP-197" u="1"/>
        <s v="MP-289" u="1"/>
        <s v="MP-093" u="1"/>
        <s v="IN-378" u="1"/>
        <s v="MP-173" u="1"/>
        <s v="MP-01131" u="1"/>
        <s v="MP-195" u="1"/>
        <s v="MP-091" u="1"/>
        <s v="MP-275" u="1"/>
        <s v="MP-459" u="1"/>
        <s v="MP-171" u="1"/>
        <s v="MP-355" u="1"/>
        <s v="MP-251" u="1"/>
        <s v="IN-352" u="1"/>
        <s v="MP-0832" u="1"/>
        <s v="IN - 1271" u="1"/>
        <s v="EC-X047000520" u="1"/>
        <s v="MP-389" u="1"/>
        <s v="MP-285" u="1"/>
        <s v="MP-273" u="1"/>
        <s v="MP-2891" u="1"/>
        <s v="MP-261" u="1"/>
        <s v="MP-353" u="1"/>
        <s v="SH-P230" u="1"/>
        <s v="G-003" u="1"/>
        <s v="MP-295" u="1"/>
        <s v="MP-191" u="1"/>
        <s v="MP-283" u="1"/>
        <s v="MP-375" u="1"/>
        <s v="MP-363" u="1"/>
        <s v="MP-351" u="1"/>
        <s v="MP-29427" u="1"/>
        <s v="MP-373" u="1"/>
        <s v="MP-465" u="1"/>
        <s v="MP-361" u="1"/>
        <s v="MP-2611" u="1"/>
        <s v="MP-7091" u="1"/>
        <s v="MP-7092" u="1"/>
        <s v="G-005" u="1"/>
        <s v="MP-395" u="1"/>
        <s v="MP-371" u="1"/>
        <s v="CO-0021" u="1"/>
        <s v="IN-30" u="1"/>
        <s v="MP-19458" u="1"/>
        <s v="G-006" u="1"/>
        <s v="MP-393" u="1"/>
        <s v="MP-669" u="1"/>
        <s v="MP-3611" u="1"/>
        <s v="MP-3612" u="1"/>
        <s v="MP-391" u="1"/>
        <s v="MP-667" u="1"/>
        <s v="MP-803" u="1"/>
        <s v="IN-32" u="1"/>
        <s v="HE-002" u="1"/>
        <s v="EC-CS 8002EUSTD" u="1"/>
        <s v="MP-801" u="1"/>
        <s v="EC-91VX44CQ" u="1"/>
        <s v="EC-80794A" u="1"/>
        <s v="MP-767" u="1"/>
        <s v="IN-6669" u="1"/>
        <s v="MP-8031" u="1"/>
        <s v="IN-34" u="1"/>
        <s v="QUIM-008" u="1"/>
        <s v="MP-19459" u="1"/>
        <s v="SHDW-006" u="1"/>
        <s v="MP-789" u="1"/>
        <s v="EC-B450/AUS" u="1"/>
        <s v="SHDW-036" u="1"/>
        <s v="EC-CS-420ES" u="1"/>
        <s v="MP-6610" u="1"/>
        <s v="MP-6612" u="1"/>
        <s v="MP-6613" u="1"/>
        <s v="MP-7654" u="1"/>
        <s v="MP-6614" u="1"/>
        <s v="mp-6615" u="1"/>
        <s v="EC-SRM-270UEU" u="1"/>
        <s v="EC-12A0CD3744" u="1"/>
        <s v="QUIM-019" u="1"/>
        <s v="MP-897" u="1"/>
        <s v="OR-65789" u="1"/>
        <s v="EC-C350INTL" u="1"/>
        <s v="EC-C230INTL" u="1"/>
        <s v="EC-SRM-3605UEU" u="1"/>
        <s v="SH-82067" u="1"/>
        <s v="SH-108644-30" u="1"/>
        <s v="EC-B530INTL" u="1"/>
        <s v="ETIFUN003" u="1"/>
        <s v="MP-9753" u="1"/>
        <s v="SHDW-038" u="1"/>
        <s v="SHDW-048" u="1"/>
        <s v="MPETI0017" u="1"/>
        <s v="EC-43171730230" u="1"/>
        <s v="EC-SRM-4605UEU" u="1"/>
        <s v="MP - 064" u="1"/>
        <s v="EC-43021330833" u="1"/>
        <s v="MP-028" u="1"/>
        <s v="IN-037" u="1"/>
        <s v="MP-108" u="1"/>
        <s v="EC-43021531731" u="1"/>
        <s v="EC-SRM-4300R" u="1"/>
        <s v="SH-28820-08000" u="1"/>
        <s v="INT-012" u="1"/>
        <s v="IN-127" u="1"/>
        <s v="MP-014" u="1"/>
        <s v="MP-002" u="1"/>
        <s v="F-0010" u="1"/>
        <s v="EC-001107" u="1"/>
        <s v="MP-048" u="1"/>
        <s v="MP-036" u="1"/>
        <s v="MP-128" u="1"/>
        <s v="MP-024" u="1"/>
        <s v="MP-208" u="1"/>
        <s v="IN-033" u="1"/>
        <s v="MP-012" u="1"/>
        <s v="MP-104" u="1"/>
        <s v="IN-0012" u="1"/>
        <s v="EC-73LGX84X" u="1"/>
        <s v="IN-0014" u="1"/>
        <s v="MP-058" u="1"/>
        <s v="MP-046" u="1"/>
        <s v="MP-034" u="1"/>
        <s v="MP-022" u="1"/>
        <s v="MP-114" u="1"/>
        <s v="MP-206" u="1"/>
        <s v="MP-0381" u="1"/>
        <s v="P-0016" u="1"/>
        <s v="MP-068" u="1"/>
        <s v="MP-056" u="1"/>
        <s v="MP-148" u="1"/>
        <s v="MP-044" u="1"/>
        <s v="MP-136" u="1"/>
        <s v="MP-228" u="1"/>
        <s v="MP-124" u="1"/>
        <s v="MP-020" u="1"/>
        <s v="MP-112" u="1"/>
        <s v="MP-204" u="1"/>
        <s v="MP-100" u="1"/>
        <s v="P-0014" u="1"/>
        <s v="G-0041" u="1"/>
        <s v="IN-1131" u="1"/>
        <s v="MP-066" u="1"/>
        <s v="MP-054" u="1"/>
        <s v="MP-146" u="1"/>
        <s v="MP-134" u="1"/>
        <s v="MP-030" u="1"/>
        <s v="MP-122" u="1"/>
        <s v="MP-214" u="1"/>
        <s v="MP-110" u="1"/>
        <s v="MP-202" u="1"/>
        <s v="IN - 126" u="1"/>
        <s v="P-0012" u="1"/>
        <s v="IN-1234" u="1"/>
        <s v="IN-1235" u="1"/>
        <s v="MP-076" u="1"/>
        <s v="MP-168" u="1"/>
        <s v="MP-064" u="1"/>
        <s v="MP-156" u="1"/>
        <s v="MP-248" u="1"/>
        <s v="MP-052" u="1"/>
        <s v="MP-144" u="1"/>
        <s v="OR-205963" u="1"/>
        <s v="MP-132" u="1"/>
        <s v="MP-224" u="1"/>
        <s v="MP-316" u="1"/>
        <s v="MP-212" u="1"/>
        <s v="MP-200" u="1"/>
        <s v="P-0010" u="1"/>
        <s v="EC-73LGX92X" u="1"/>
        <s v="MP-098" u="1"/>
        <s v="MP-178" u="1"/>
        <s v="MP-074" u="1"/>
        <s v="MP-246" u="1"/>
        <s v="MP-050" u="1"/>
        <s v="MP-234" u="1"/>
        <s v="MP-130" u="1"/>
        <s v="MP-222" u="1"/>
        <s v="MP-210" u="1"/>
        <s v="MP-2021" u="1"/>
        <s v="MP.0302" u="1"/>
        <s v="MP-2023" u="1"/>
        <s v="MP-096" u="1"/>
        <s v="MP-188" u="1"/>
        <s v="MP-268" u="1"/>
        <s v="MP-164" u="1"/>
        <s v="MP-140" u="1"/>
        <s v="MP-0641" u="1"/>
        <s v="MP-220" u="1"/>
        <s v="IN-00171" u="1"/>
        <s v="MP-1323" u="1"/>
        <s v="MP-198" u="1"/>
        <s v="MP-358" u="1"/>
        <s v="SH-78890-11000" u="1"/>
        <s v="IN-091" u="1"/>
        <s v="MP-070" u="1"/>
        <s v="MP-254" u="1"/>
        <s v="MP-150" u="1"/>
        <s v="MP-230" u="1"/>
        <s v="MP-310" u="1"/>
        <s v="MP-402" u="1"/>
        <s v="IN - 127" u="1"/>
        <s v="SH-78890-14000" u="1"/>
        <s v="MP-196" u="1"/>
        <s v="MP-092" u="1"/>
        <s v="MP-276" u="1"/>
        <s v="MP-368" u="1"/>
        <s v="MP-080" u="1"/>
        <s v="MP-172" u="1"/>
        <s v="MP-264" u="1"/>
        <s v="MP-160" u="1"/>
        <s v="MP-0841" u="1"/>
        <s v="MP-2681" u="1"/>
        <s v="MP-400" u="1"/>
        <s v="F-002" u="1"/>
        <s v="MP-194" u="1"/>
        <s v="MP-090" u="1"/>
        <s v="MP-366" u="1"/>
        <s v="MP-170" u="1"/>
        <s v="MP-262" u="1"/>
        <s v="F-011" u="1"/>
        <s v="FU-003" u="1"/>
        <s v="MP-192" u="1"/>
        <s v="MP-284" u="1"/>
        <s v="MP-376" u="1"/>
        <s v="MP-180" u="1"/>
        <s v="MP-272" u="1"/>
        <s v="MP-364" u="1"/>
        <s v="MP-260" u="1"/>
        <s v="MP-352" u="1"/>
        <s v="MP-190" u="1"/>
        <s v="MP-282" u="1"/>
        <s v="MP-558" u="1"/>
        <s v="MP-270" u="1"/>
        <s v="MP-362" u="1"/>
        <s v="MP-350" u="1"/>
        <s v="MP-2621" u="1"/>
        <s v="MP-1946" u="1"/>
        <s v="MP-396" u="1"/>
        <s v="MP-292" u="1"/>
        <s v="CO-0031" u="1"/>
        <s v="MP-2601" u="1"/>
        <s v="MP-2602" u="1"/>
        <s v="P-001" u="1"/>
        <s v="F-014" u="1"/>
        <s v="EC-DM-6110EUSTD" u="1"/>
        <s v="EC-CS-3000" u="1"/>
        <s v="MP-394" u="1"/>
        <s v="MP-370" u="1"/>
        <s v="MP-542" u="1"/>
        <s v="MP-392" u="1"/>
        <s v="MP-668" u="1"/>
        <s v="MP-460" u="1"/>
        <s v="MP-29420" u="1"/>
        <s v="IN-00173" u="1"/>
        <s v="P-003" u="1"/>
        <s v="MP-390" u="1"/>
        <s v="N-OO1" u="1"/>
        <s v="P-004" u="1"/>
        <s v="EC-DM-6110-13EUSTD" u="1"/>
        <s v="MP-800" u="1"/>
        <s v="P-005" u="1"/>
        <s v="MP-19451" u="1"/>
        <s v="QUIM-010" u="1"/>
        <s v="MP-6687" u="1"/>
        <s v="MPETI002" u="1"/>
        <s v="EC-33SL0-72X" u="1"/>
        <s v="MP-8021" u="1"/>
        <s v="P-006" u="1"/>
        <s v="MP-788" u="1"/>
        <s v="JA-001" u="1"/>
        <s v="CO-01311" u="1"/>
        <s v="IN-6610" u="1"/>
        <s v="MP-26" u="1"/>
        <s v="P-007" u="1"/>
        <s v="QUIM-0181" u="1"/>
        <s v="IN-7654" u="1"/>
        <s v="IN-6615" u="1"/>
        <s v="MP-7687" u="1"/>
        <s v="EC-73DP-98X" u="1"/>
        <s v="IN-6617" u="1"/>
        <s v="MP-66690" u="1"/>
        <s v="P-008" u="1"/>
        <s v="P-6768" u="1"/>
        <s v="MPFUN001" u="1"/>
        <s v="SH-108642-24" u="1"/>
        <s v="MP-7881" u="1"/>
        <s v="P-009" u="1"/>
        <s v="QUIM-011" u="1"/>
        <s v="EC-SRAH-205" u="1"/>
        <s v="MPETI003" u="1"/>
        <s v="EC-22CINTL" u="1"/>
        <s v="MP-30424" u="1"/>
        <s v="MPFUND002" u="1"/>
        <s v="MP-19453" u="1"/>
        <s v="EC-80676" u="1"/>
        <s v="MP-890" u="1"/>
        <s v="IN-00126" u="1"/>
        <s v="MPINS-025" u="1"/>
        <s v="EC-UN10" u="1"/>
        <s v="MP - 0631" u="1"/>
        <s v="MP-30425" u="1"/>
        <s v="PTHER002" u="1"/>
        <s v="MP-019" u="1"/>
        <s v="F-0015" u="1"/>
        <s v="MP-19454" u="1"/>
        <s v="EC-577" u="1"/>
        <s v="EC-80677" u="1"/>
        <s v="MPETI005" u="1"/>
        <s v="MP-029" u="1"/>
        <s v="MP-017" u="1"/>
        <s v="MP-109" u="1"/>
        <s v="OR-206045" u="1"/>
        <s v="EC-90SG-39X" u="1"/>
        <s v="MP-194589" u="1"/>
        <s v="IN-048" u="1"/>
        <s v="MP-119" u="1"/>
        <s v="MP-015" u="1"/>
        <s v="MP-107" u="1"/>
        <s v="MP.027" u="1"/>
        <s v="MP-29424" u="1"/>
        <s v="IN-104" u="1"/>
        <s v="MP-037" u="1"/>
        <s v="MP-129" u="1"/>
        <s v="MP-025" u="1"/>
        <s v="MP-117" u="1"/>
        <s v="MP-209" u="1"/>
        <s v="MP-30426" u="1"/>
        <s v="MP-0176" u="1"/>
        <s v="MP-059" u="1"/>
        <s v="MP-0056" u="1"/>
        <s v="OR-238337" u="1"/>
        <s v="MP-035" u="1"/>
        <s v="MP-219" u="1"/>
        <s v="MP-023" u="1"/>
        <s v="MP-115" u="1"/>
        <s v="MP-207" u="1"/>
        <s v="MP-011" u="1"/>
        <s v="MP-103" u="1"/>
        <s v="MP-19455" u="1"/>
        <s v="EC-43101330831" u="1"/>
        <s v="EC-80678" u="1"/>
        <s v="EC-C270EMC" u="1"/>
        <s v="IN-0004" u="1"/>
        <s v="MPETI006" u="1"/>
        <s v="MP-069" u="1"/>
        <s v="MP-149" u="1"/>
        <s v="IN-0005" u="1"/>
        <s v="MP-045" u="1"/>
        <s v="MP-137" u="1"/>
        <s v="MP-229" u="1"/>
        <s v="MP-125" u="1"/>
        <s v="EC-108636-10" u="1"/>
        <s v="MP-021" u="1"/>
        <s v="MP-113" u="1"/>
        <s v="MP-205" u="1"/>
        <s v="MP-101" u="1"/>
        <s v="P-0015" u="1"/>
        <s v="IN-0008" u="1"/>
        <s v="EC-82067A" u="1"/>
        <s v="EC-B450EMC" u="1"/>
        <s v="MP-079" u="1"/>
        <s v="MP-067" u="1"/>
        <s v="MP-043" u="1"/>
        <s v="MP-135" u="1"/>
        <s v="MP-227" u="1"/>
        <s v="IN-144" u="1"/>
        <s v="MP-123" u="1"/>
        <s v="MP-29425" u="1"/>
        <s v="IN-040" u="1"/>
        <s v="MP-203" u="1"/>
        <s v="P-0013" u="1"/>
        <s v="MP-000100" u="1"/>
        <s v="EC-43052737333" u="1"/>
        <s v="SH-38490-18" u="1"/>
        <s v="MP-089" u="1"/>
        <s v="MP-077" u="1"/>
        <s v="MP-065" u="1"/>
        <s v="MP-249" u="1"/>
        <s v="MP-053" u="1"/>
        <s v="MP-145" u="1"/>
        <s v="MP-041" u="1"/>
        <s v="MP-133" u="1"/>
        <s v="MP-225" u="1"/>
        <s v="MP-121" u="1"/>
        <s v="MP-213" u="1"/>
        <s v="MP-1130" u="1"/>
        <s v="IN-130" u="1"/>
        <s v="MP-201" u="1"/>
        <s v="P-0011" u="1"/>
        <s v="MP-30427" u="1"/>
        <s v="MP-01130" u="1"/>
        <s v="MP-075" u="1"/>
        <s v="MP-259" u="1"/>
        <s v="MP-063" u="1"/>
        <s v="MP-051" u="1"/>
        <s v="MP-143" u="1"/>
        <s v="MP-131" u="1"/>
        <s v="MP-407" u="1"/>
        <s v="IN-140" u="1"/>
        <s v="MP-211" u="1"/>
        <s v="EC-757CINTL" u="1"/>
        <s v="QUIM-015" u="1"/>
        <s v="MP-1234" u="1"/>
        <s v="MP-09877" u="1"/>
        <s v="MP-1235" u="1"/>
        <s v="MP-097" u="1"/>
        <s v="MP-189" u="1"/>
        <s v="MPETI007" u="1"/>
        <s v="MP-177" u="1"/>
        <s v="MP-269" u="1"/>
        <s v="MP-073" u="1"/>
        <s v="MP-257" u="1"/>
        <s v="MP-141" u="1"/>
        <s v="MP-221" u="1"/>
        <s v="MP-313" u="1"/>
        <s v="MP-199" u="1"/>
      </sharedItems>
    </cacheField>
    <cacheField name="Descripcion Hijo" numFmtId="0">
      <sharedItems containsBlank="1" count="448">
        <s v="ETIQUETA BUCANER X LITRO"/>
        <s v="SULFATO DE COBRE 24%"/>
        <s v="ENVASE PET LITRO"/>
        <s v="ETIQUETA BUCANER FORTE X 500 ML"/>
        <s v="SULFATO DE COBRE + AMINOACIDOS X LT"/>
        <s v="ENVASE PET 500 ML"/>
        <s v="ENVASE PET 250 ML"/>
        <s v="ETIQUETA BUCANER FORTE X 250 ML"/>
        <s v="ETIQUETA BUCANER FORTE X 100 ML"/>
        <s v="ENVASE FARMACEUTICO 120 ML"/>
        <s v="ETIQUETA BUCANER FORTE X LITRO"/>
        <s v="TENSOACTIVO HUMECTANTE"/>
        <s v="ETIQUETA AGROTAFIX X LITRO"/>
        <s v="ETIQUETA AGROTAFOL INICIAL KILO/500g"/>
        <s v="15 - 30 - 15 + MICROELEMENTOS X KG"/>
        <s v="FUNDA GRANDE KILO / 500 GRS "/>
        <s v="ENVASE AGROTAFOL DESARROLLO X KILO PREIM"/>
        <s v="25 - 10 - 10  + MICROELEMENTOS X KG"/>
        <m u="1"/>
        <s v="DIFENOCONAZOLE 25 % EC X 200 LITROS" u="1"/>
        <s v="UN-10 CABEZAL NYLON" u="1"/>
        <s v="ETIQUETA ESTAMPIDA ORGANICO X LITRO" u="1"/>
        <s v="ADAPTADOR UN10,B450,B530,C350 (80678)" u="1"/>
        <s v="PROPILAQ X  250 ML" u="1"/>
        <s v="ENVASE AGROTHANE KG PREIMPRESA" u="1"/>
        <s v="ENVASE TROMBA 250 G PREIMPRESA" u="1"/>
        <s v="ETIQUETA FULMINANTE X 50 GMS / TRASERA" u="1"/>
        <s v="CARBENDAZIM 50 % WP X 200 GMS" u="1"/>
        <s v="ETIQUETA AGROTALINA X 20 LITROS" u="1"/>
        <s v="ETIQUETA AGROTAMINA X 20 LITROS" u="1"/>
        <s v="FUNDA ALUMINIZADA 100 G" u="1"/>
        <s v="ETIQUETA AGROTALINA X LITRO" u="1"/>
        <s v="ETIQUETA AGROTAMINA X LITRO" u="1"/>
        <s v="ENVASE COEX 125 g X LITRO" u="1"/>
        <s v="CIMOXANIL 8% + MANCOZEB 64 % WP 250 GR" u="1"/>
        <s v="ETIQUETA SINOPRID X 50 GMS" u="1"/>
        <s v="DESMALEZADORA C-230" u="1"/>
        <s v="DESMALEZADORA C-270" u="1"/>
        <s v="ETIQUETA AGROTAFOL FOSFITO X 500 ML" u="1"/>
        <s v="AGROTAFOL COMBI X 200 G" u="1"/>
        <s v="ETIQUETA SITI X 500 GRS" u="1"/>
        <s v="AZUFRE 72% X LITRO" u="1"/>
        <s v="ETIQUETA SKEKURA X 500 GRS POST" u="1"/>
        <s v="ETIQUETA CIPERMETRINA X 250 ML" u="1"/>
        <s v="CAJA COMBO MARACUYA FLORACION" u="1"/>
        <s v="QUELATO DE ZN + AZUFRE + AC. HUMICOS X LT" u="1"/>
        <s v="CABEZAL NYLON UN-10 SIN EMPAQUE Y SIN PERNO  82067A " u="1"/>
        <s v="ETIQUETA CITOQMAX X LITRO" u="1"/>
        <s v="ETIQUETA IMPULMAX X LITRO" u="1"/>
        <s v="ETIQUETA BIOBAN X 100 ML" u="1"/>
        <s v="ETIQUETA JAQUER X 100 ML" u="1"/>
        <s v="ETIQUETA AGROTAZOLE X LITRO" u="1"/>
        <s v="ETIQUETA BOTRYAZOLE X LITRO" u="1"/>
        <s v="ETIQUETA RAIZ FORTE X LITRO" u="1"/>
        <s v="BUCANER FORTE X 500 ML" u="1"/>
        <s v="CAJA COMBO CACAO INICIO" u="1"/>
        <s v="CAJA COMBO ARROZ INICIAL" u="1"/>
        <s v="ETIQUETA AGROTAFOL CRECIMIENTO KILO / 500 g" u="1"/>
        <s v="ETIQUETA ORGANIC POWER X LITRO" u="1"/>
        <s v="ETIQUETA AGROTASULF X LITRO" u="1"/>
        <s v="CA MOTOSIERRA CS-420ES" u="1"/>
        <s v="IMIDACLOPRID 25% WP X 25KL" u="1"/>
        <s v="ACIDOS HUMICOS , FULVICOS + AMINOACIDOS" u="1"/>
        <s v="PROLIFIC TIPO BIOZYME X LITRO" u="1"/>
        <s v="ACEITE MINERAL" u="1"/>
        <s v="RAIZ FORTE X LT" u="1"/>
        <s v="ETIQUETA SARGENT X LITRO" u="1"/>
        <s v="ETIQUETA SKEKURA X KILO" u="1"/>
        <s v="CAJA COMBO CACAO FINALIZADOR" u="1"/>
        <s v="ETIQUETA AGROCARBOFURAN X LITRO" u="1"/>
        <s v="IMIDACLOPRID 25 % WP 100 G" u="1"/>
        <s v="CABEZAL SPEED FEED 375 PARA C230, T230" u="1"/>
        <s v="IMIDACLOPRID 25 % WP 500 G" u="1"/>
        <s v="METSULFURON METYL X 15 GR" u="1"/>
        <s v="MYCLOBUTANIL 12,5 % EC x 200L" u="1"/>
        <s v="THICKER X KILO" u="1"/>
        <s v="STICKER COMBO SCOBA XL" u="1"/>
        <s v="ETIQUETA LACURA X 500 ML" u="1"/>
        <s v="ENVASE AGROBALA LITRO" u="1"/>
        <s v="AGROTAFOL FOSFITO X 500 ML" u="1"/>
        <s v="ETIQUETA BIOBAN LITRO GALON 5 GL" u="1"/>
        <s v="ETIQUETA AGROTAFOL FLORACION KILO/500 g" u="1"/>
        <s v="0-20-50 TIPO K-FOL" u="1"/>
        <s v="DESMALEZADORA C-350" u="1"/>
        <s v="ETIQUETA AGROTAFOL BORO X LITRO" u="1"/>
        <s v="CAJA COMBO MASTER ENGROSE" u="1"/>
        <s v="SKEKURA WP X 500 GRS" u="1"/>
        <s v="ETIQUETA LACURA X LITRO" u="1"/>
        <s v="ETIQUETA ANIQUILADOR X 250 ML" u="1"/>
        <s v="ABAMECTINA NEGRA 1.8% X 200L" u="1"/>
        <s v="PROPILAQ X LITRO" u="1"/>
        <s v="ENVASE PARAGUAS PREIMPRESA" u="1"/>
        <s v="SINOPRID X 100 G" u="1"/>
        <s v="ETIQUETA ORGANIC POWER X 500 ML" u="1"/>
        <s v="ETIQUETA RIDONATE X 400 ML" u="1"/>
        <s v="DESMALEZADORA B450 AUS" u="1"/>
        <s v="ETIQUETA CIPERMETRINA X LITRO" u="1"/>
        <s v="BARRA 18 PROLITE D 0.816" u="1"/>
        <s v="CA CABEZAL SPEED FEED 375 PARA 22F" u="1"/>
        <s v="ETIQUETA SKEKURA X 500 GRS DEL" u="1"/>
        <s v="ETIQUETA AGROVERDOL X LITRO" u="1"/>
        <s v="ANIQUILADOR X 100 ML" u="1"/>
        <s v="ETIQUETA AGROTAFOL AMINO X 500 ML" u="1"/>
        <s v="ABAMECTINA 1,8 % EC" u="1"/>
        <s v="ETIQUETA FEGADAZIM X LITRO" u="1"/>
        <s v="ETIQUETA ABAMECTIN X LITRO" u="1"/>
        <s v="ETIQUETA GLIFOSATO X LITRO" u="1"/>
        <s v="BENALAXIL + MANCOZEB BLUE X 25 KG" u="1"/>
        <s v="ETIQUETA PROFESIONAL PRODUCCION POSTERIOR X KG" u="1"/>
        <s v="DIENTE P/MOTOSIERRA 73D 100B 3/8 OREGON" u="1"/>
        <s v="METSULFURON X 15 GRAMOS" u="1"/>
        <s v="ETIQUETA PROPILAQ X LITRO" u="1"/>
        <s v="ETIQUETA ENDOSULFAN X LITRO" u="1"/>
        <s v="LAMBDACIHALOTRINA 2,5% EC X 250 ML" u="1"/>
        <s v="CAJA COMBO ARROZ ENGROSE" u="1"/>
        <s v="BUTACLOR 60 % EC 200 LT" u="1"/>
        <s v="ABAMECTIN X 100 ML" u="1"/>
        <s v="BUCANER X 500 ML" u="1"/>
        <s v="CAJA COMBO INSECTICIDA" u="1"/>
        <s v="FE,CU,MN,ZN,MO QUELATADOS" u="1"/>
        <s v="TOKAL  400 X 100 ML" u="1"/>
        <s v="ETIQUETA BUCANER X 250 ML" u="1"/>
        <s v="ETIQUETA CAPITAN X 250 ML" u="1"/>
        <s v="ETIQUETA LABOMBA X 250 ML" u="1"/>
        <s v="ETIQUETA SARGENT X 250 ML" u="1"/>
        <s v="ETIQUETA SKEKURA X 250 ML" u="1"/>
        <s v="ETIQUETA SKEMATA X 250 ML" u="1"/>
        <s v="ETIQUETA VIRAFIN X 250 ML" u="1"/>
        <s v="AGROTAFIX PLUS X 100 ML" u="1"/>
        <s v="AGROTAFOL ZINC X 500 ML" u="1"/>
        <s v="ETIQUETA LETAL X LITRO" u="1"/>
        <s v="AGROTAFOL K PLUS X 500 ML" u="1"/>
        <s v="KARONTE X TANQUE" u="1"/>
        <s v="ACIDOS ORGANICOS 25 %" u="1"/>
        <s v="CAJA COMBO MARACUYA" u="1"/>
        <s v="PODADORA HOME 22C" u="1"/>
        <s v="CIROMAZINA X 50 G AGROTA" u="1"/>
        <s v="ETIQUETA FULMINANTE POST AGRIPAC" u="1"/>
        <s v="IMPULMAX X 250 ML" u="1"/>
        <s v="STICKER COMBO SINOPRID XL" u="1"/>
        <s v="AMITRAZ 20 % EC" u="1"/>
        <s v="CABEZAL NYLON SPEED-FEED" u="1"/>
        <s v="ETIQUETA PROFESIONAL INICIO POSTERIOR X KG" u="1"/>
        <s v="2,4 D AMINA 72 % SL 20 LT" u="1"/>
        <s v="CARTAP 50 % PS 25KG" u="1"/>
        <s v="ENVASE AGROBALA 1/2 LITRO" u="1"/>
        <s v="CA CABEZAL DE NYLON UN 10 SIN EMPAQUE" u="1"/>
        <s v="CABEZAL DE NYLON METALICO" u="1"/>
        <s v="ETIQUETA DEPREDADOR X 100 GRS" u="1"/>
        <s v="CADENA GUIA 10&quot; P230 (90SG-039X)" u="1"/>
        <s v="ETIQUETA QUBIK X LITRO" u="1"/>
        <s v="SITI X 250 G" u="1"/>
        <s v="TEBUCONAZOL 25% EC x 200 LT" u="1"/>
        <s v="ETIQUETA LABOMBA X LITRO" u="1"/>
        <s v="ETIQUETA SKEKURA X LITRO" u="1"/>
        <s v="ETIQUETA SKEMATA X LITRO" u="1"/>
        <s v="MOTOSIERRA 488" u="1"/>
        <s v="ENVASE AGROBALA 1/4 LITRO" u="1"/>
        <s v="ETIQUETA LORFOS X LITRO" u="1"/>
        <s v="ETIQUETA PROFESIONAL CRECIMIENTO DELANTERA X KG" u="1"/>
        <s v="HEXYTHIAZOX 5 % EC" u="1"/>
        <s v="ALG - VIRABLOCK X LT" u="1"/>
        <s v="ETIQUETA UREUM LITRO-GALON-20 L" u="1"/>
        <s v="MANCOZEB 80 % WP 500 GR" u="1"/>
        <s v="AGROTAFOL BORO X 250 ML" u="1"/>
        <s v="PROPICONAZOL 25 % EC" u="1"/>
        <s v="35 -  25 - 20 + MICRO + GA3 + AUXINAS + VITAMINAS" u="1"/>
        <s v="ENVASE COEX 100 ML CHINO" u="1"/>
        <s v="ENVASE COEX 250 ML CHINO" u="1"/>
        <s v="MOTOSIERRA CS-8002EUSTD       " u="1"/>
        <s v="ANILLO PINON PASO 0.404&quot; 7 DIENTES 22270" u="1"/>
        <s v="ETIQUETA DEPREDADOR X 300 GRS" u="1"/>
        <s v="SINOZOX X 100 ML" u="1"/>
        <s v="CLOROTALONIL 72 % SC" u="1"/>
        <s v="CA BARRA GUIA 28&quot; CS-8002" u="1"/>
        <s v="ETIQUETA AGROTAFIX PLUS X 100 ML" u="1"/>
        <s v="CADENA 24&quot; CS680 CS 8002" u="1"/>
        <s v="JAQUER 400 X 100 ML" u="1"/>
        <s v="UREUM X GL" u="1"/>
        <s v="11-11-8+ 1B X LT" u="1"/>
        <s v="DESMALEZADORA SRM 3605" u="1"/>
        <s v="DISCO VIDIA 9&quot; 40 DIENTES" u="1"/>
        <s v="ETIQUETA ORGANIC POWER X GALON" u="1"/>
        <s v="ETIQUETA FAST X 100 ML" u="1"/>
        <s v="ETIQUETA YOGA X 100 ML" u="1"/>
        <s v="PROPINEB 70 % + CIMOXANIL 6 %" u="1"/>
        <s v="CABEZAL DE NYLON ECHO  SRAH-205 " u="1"/>
        <s v="DESMALEZADORA SRM 4605" u="1"/>
        <s v="DESMALEZADORA B-530" u="1"/>
        <s v="ANIQUILADOR X LT" u="1"/>
        <s v="ETIQUETA SINOTYL X 500 GRS - DELANTERA" u="1"/>
        <s v="MOTOSIERRA 577" u="1"/>
        <s v="BARRA 10, 0.42G P320" u="1"/>
        <s v="NEBULIZADORA, PULVERIZADORA 23LITROS" u="1"/>
        <s v="FUNDA PROFESIONAL 25 KG" u="1"/>
        <s v="ETIQUETA KARONTE 120 ML" u="1"/>
        <s v="SKEMATA X 250 ML" u="1"/>
        <s v="PENDIMETALINA 40 % EC 200 LT" u="1"/>
        <s v="ETIQUETA AGROTAFOL SUPER" u="1"/>
        <s v="NEBULIZADORA, PULVERIZADORA 13LITROS" u="1"/>
        <s v="HUMICEL 20 LITROS" u="1"/>
        <s v="ETIQUETA CIROMAZINA X 50 GMS DEL  (F. A.)" u="1"/>
        <s v="ETIQUETA GLIFOLAQ X 500 ML" u="1"/>
        <s v="ETIQUETA RIDONATE X 500 ML" u="1"/>
        <s v="PARAQUAT 24 % SC 20 LT" u="1"/>
        <s v="CADENA 30&quot; 73DP-98X 3/8&quot;, 058&quot; 757" u="1"/>
        <s v="ENVASE PREIMPRESO SKEKURA WP X 100 GMS" u="1"/>
        <s v="ENVASE SINOTYL X 100 GMS PREIMPRESO" u="1"/>
        <s v="13 - 6 - 40 + MICROELEMENTOS X KG" u="1"/>
        <s v="ETIQUETA CITOQMAX X 100 ML" u="1"/>
        <s v="ETIQUETA IMPULMAX X 100 ML" u="1"/>
        <s v="ETIQUETA RIDONATE X 100 ML" u="1"/>
        <s v="PROPINEB 70 % WP 500 GR" u="1"/>
        <s v="ETIQUETA AGROTAFOL PRODUCCION KILO / 500 g" u="1"/>
        <s v="RAIZ FORTE X 500 ML" u="1"/>
        <s v="ETIQUETA LETAL X 50 ML" u="1"/>
        <s v="PROPILAQ X 100 ML" u="1"/>
        <s v="ETIQUETA AGROTAFOL AMINO X LITRO" u="1"/>
        <s v="ETIQUETA PROFESIONAL THICKER X KILO" u="1"/>
        <s v="ETIQUETA SUPER VIVERO X KILO" u="1"/>
        <s v="BARRA 12&quot; PPT2400" u="1"/>
        <s v="ENVASE ATRAZINA KG PREIMPRESA" u="1"/>
        <s v="CAJA COMBO PRO" u="1"/>
        <s v="DESMALEZADORA SRM 4300R" u="1"/>
        <s v="SCOBA X 250 ML" u="1"/>
        <s v="DELTAMETRINA 2,5 % EC X 100 ML" u="1"/>
        <s v="ETIQUETA BLINDAX LITRO GALON 20 L" u="1"/>
        <s v="CARBENDAZIM 50 % WP 500 GRS" u="1"/>
        <s v="ABUNDANCE PLUS X LITRO" u="1"/>
        <s v="ETIQUETA ORGANIC POWER X 250 ML" u="1"/>
        <s v="CAJA COMBO PAPAYA" u="1"/>
        <s v="ETIQUETA PROFESIONALFLORACION POSTERIOR X KG" u="1"/>
        <s v="ETIQUETA PROPILAQ POR 100ML" u="1"/>
        <s v="FOSFONATO POTASICO 70 %" u="1"/>
        <s v="AGROTAFOL K PLUS X LT" u="1"/>
        <s v="CADENA60CM 24&quot;, 3/8, 058 (73DP-84X) " u="1"/>
        <s v="ETIQUETA FULMINANTE  X 50 GRS / DELANTER" u="1"/>
        <s v="ETIQUETA CAPO X 250 ML" u="1"/>
        <s v="ETIQUETA FAST X 250 ML" u="1"/>
        <s v="ETIQUETA BLINDAX X 100 ML" u="1"/>
        <s v="ETIQUETA BUCANER X 100 ML" u="1"/>
        <s v="ETIQUETA SINOTOP X 100 ML" u="1"/>
        <s v="ETIQUETA SINOZOX X 100 ML" u="1"/>
        <s v="ETIQUETA SKEKURA X 100 ML" u="1"/>
        <s v="ETIQUETA SKEMATA X 100 ML" u="1"/>
        <s v="SKEKURA WP X 200 G" u="1"/>
        <s v="CLORPIRIFOS 48 % EC" u="1"/>
        <s v="CYROMAZINA 75 % WP x 50g" u="1"/>
        <s v="BENALAXYL + MANCOZEB CREMA X 25 KILOS" u="1"/>
        <s v="PROPINEB 70 % WP 250 GR" u="1"/>
        <s v="BARRA 24&quot;  CS-680, CS-8002" u="1"/>
        <s v="ENVASE PREIMPRESO AGROTAFOL COMBI X 200" u="1"/>
        <s v="PARAQUAT 24 % SC 200 LT" u="1"/>
        <s v="ETIQUETA LETAL X 100 ML" u="1"/>
        <s v="ETIQUETA SCOBA X 100 ML" u="1"/>
        <s v="ETIQUETA LETAL X 500 ML" u="1"/>
        <s v="ETIQUETA BUCANER X 500 ML" u="1"/>
        <s v="ETIQUETA SINOZOX X 500 ML" u="1"/>
        <s v="ETIQUETA SKEKURA X 500 ML" u="1"/>
        <s v="ETIQUETA SKEMATA X 500 ML" u="1"/>
        <s v="SKEKURA WP X 100 G" u="1"/>
        <s v="ETIQUETA AGROCARBOFURAN X GALON" u="1"/>
        <s v="ADAPTADOR UN10 C230" u="1"/>
        <s v="MICROELEMENTOS SOLUBLES + AMINOACIDOS X KILO" u="1"/>
        <s v="THIABENDAZOLE 50 % SC" u="1"/>
        <s v="ENVASE AGROBALA VERDE X 500 ML" u="1"/>
        <s v="ETIQUETA AGROTAFOL PH X 100 ML" u="1"/>
        <s v="ETIQUETA CIPERMETRINA X 100 ML" u="1"/>
        <s v="ETIQUETA PARALANCHA 250/500 GRS DELANTERA" u="1"/>
        <s v="DELTAMETRINA 2,5 % EC" u="1"/>
        <s v="CAJA COMBO FRESA" u="1"/>
        <s v="ENVASE AGROGALON" u="1"/>
        <s v="DIFENOCONAZOLE 2,5% EC X 100 ML" u="1"/>
        <s v="ETIQUETA GLIFOLAQ LT, GAL, 5 GAL" u="1"/>
        <s v="ETIQUETA AGROCARBOFURAN X 250 ML" u="1"/>
        <s v="ETIQUETA AGROTAFOL BORO X 250 ML" u="1"/>
        <s v="CA DESMALEZADORA HOMEPRO F220" u="1"/>
        <s v="BUCANER FORTE X 100 ML" u="1"/>
        <s v="BARRA GUIA 30 STL 303ATLE099 OREGON" u="1"/>
        <s v="RIDONATE X 400 ML" u="1"/>
        <s v="LAMBDA CYHALOTRINA 2,5 % EC 200L " u="1"/>
        <s v="CUCHILLA CORBATIN" u="1"/>
        <s v="ETIQUETA CAPITAN X LITRO" u="1"/>
        <s v="ENVASE FARMACEUTICO 60 ML" u="1"/>
        <s v="ETIQUETA GLIFOLAQ X 125 ML" u="1"/>
        <s v="FOSETIL ALUMINIO 80 %   X 25 KG" u="1"/>
        <s v="ETIQUETA LETAL X 250 ML" u="1"/>
        <s v="ETIQUETA SCOBA X 250 ML" u="1"/>
        <s v="ETIQUETA AGROTAFOL BORO X 500 ML" u="1"/>
        <s v="ETIQUETA AGROTAFOL ZINC X 500 ML" u="1"/>
        <s v="CIROMAZINA 75%WP PREIMPRESA X 50 G" u="1"/>
        <s v="ETIQUETA KEMADOR X LITRO" u="1"/>
        <s v="ETIQUETA FIERA X LITRO" u="1"/>
        <s v="ETIQUETA SCOBA X LITRO" u="1"/>
        <s v="PENDIMETALINA 40 % EC 20 LT" u="1"/>
        <s v="VIRUS STOP X LT" u="1"/>
        <s v="ETIQUETA PROFESIONAL INICIO DELANTERA X KG" u="1"/>
        <s v="ETIQUETA BIOBAN X 250 ML" u="1"/>
        <s v="ETIQUETA LACURA X 250 ML" u="1"/>
        <s v="ETIQUETA LORFOS X 250 ML" u="1"/>
        <s v="MOTOSIERRA 757 SHINDAIWA" u="1"/>
        <s v="CABEZAL METALICO NEGRO  (22000-92812) " u="1"/>
        <s v="ETIQUETA PARALANCHA 250/500 GRS POSTERIOR" u="1"/>
        <s v="LAMBDA SOL X 500 ML" u="1"/>
        <s v="ETIQUETA CAPO X LITRO" u="1"/>
        <s v="FUNDA GREENGIB" u="1"/>
        <s v="ETIQUETA AGROTAFOL FOSFITO X 250 ML" u="1"/>
        <s v="CARBENDAZIM 50 % SC 200L" u="1"/>
        <s v="ENVASE PREIMPRESO PARALANCHA 250/500 BLUE" u="1"/>
        <s v="ETIQUETA PROPILAQ X  250ML" u="1"/>
        <s v="ETIQUETA AGROTHANE X 500 GRS" u="1"/>
        <s v="BISPIRIBAC SODIO 40%" u="1"/>
        <s v="ETIQUETA AGROTAFOL AC X LITRO" u="1"/>
        <s v="CAJA COMBO RAIZ ROSADA" u="1"/>
        <s v="CAJA COMBO MASTER INICIAL" u="1"/>
        <s v="AGROTAFOL 13-6-40 PRODUCCION X KILO" u="1"/>
        <s v="STICKER COMBO COGOLLERO" u="1"/>
        <s v="ETIQUETA FIERA X GALON" u="1"/>
        <s v="ETIQUETA VIRAFIN X LT" u="1"/>
        <s v="ETIQUETA RIDONATE X 200 ML" u="1"/>
        <s v="ETIQUETA SINOPRID X 100 GRS / DELANTERA" u="1"/>
        <s v="ETIQUETA SINOPRID X 500 GMS / DELANTERA" u="1"/>
        <s v="ETIQUETA CITOQMAX X 250 ML" u="1"/>
        <s v="ETIQUETA GLIFOLAQ X 250 ML" u="1"/>
        <s v="ETIQUETA IMPULMAX X 250 ML" u="1"/>
        <s v="ETIQUETA RIDONATE X 250 ML" u="1"/>
        <s v="BSK 100 X 200 LT" u="1"/>
        <s v="ETIQUETA ANIQUILADOR X 100 ML" u="1"/>
        <s v="ETIQUETA AGROTAFOL MICROPLUS X LITRO" u="1"/>
        <s v="ETIQUETA CIROMAZINA  50 GRS AGROMAC ( DEL)" u="1"/>
        <s v="CALCIO 6 % / BORO 3 %" u="1"/>
        <s v="BARRA 30 .058 D009" u="1"/>
        <s v="ETIQUETA AGROVERDOL X  250 ML" u="1"/>
        <s v="CA PODADORA DE ALTURA P230" u="1"/>
        <s v="CADENA 12&quot; PPT2400" u="1"/>
        <s v="ETIQUETA AGROTAMINA X GALON" u="1"/>
        <s v="BARRA 18&quot; CS420ES 0.375" u="1"/>
        <s v="CIPERMETRINA 20 % EC" u="1"/>
        <s v="CARBOFURAN 4F" u="1"/>
        <s v="CITOQMAX X LT" u="1"/>
        <s v="ETIQUETA RIDONATE X LITRO" u="1"/>
        <s v="ETIQUETA SINOMITE X LITRO" u="1"/>
        <s v="ETIQUETA AGROTAFOL CALCIO X 500 ML" u="1"/>
        <s v="ETIQUETA AGROTAFOL K PLUS X 500 ML" u="1"/>
        <s v="PARALANCHA BLUE X 500 G" u="1"/>
        <s v="ETIQUETA AGROTAFIX X 100 ML" u="1"/>
        <s v="ETIQUETA ESTAMPIDA X 100 ML" u="1"/>
        <s v="ETIQUETA FEGADAZIM X 100 ML" u="1"/>
        <s v="ETIQUETA TOKAL 400 X 100 ML" u="1"/>
        <s v="ETIQUETA FULMINANTE DEL AGRIPAC" u="1"/>
        <s v="UREFOL X CANECA 20L" u="1"/>
        <s v="CA CADENA 17&quot;" u="1"/>
        <s v="ETIQUETA FEGADAZIM X 500 ML" u="1"/>
        <s v="MOTOSIERRA CS-3000-30" u="1"/>
        <s v="ENDOSULFAN 35 % EC" u="1"/>
        <s v="ETIQUETA ANIQUILADOR X 500 ML" u="1"/>
        <s v="YOGA X 100 ML" u="1"/>
        <s v="LETAL X LITRO" u="1"/>
        <s v="AGARRADERA MANUBRIO PULVERIZADORA" u="1"/>
        <s v="ETIQUETA AGROTAFOL ZINC X LITRO" u="1"/>
        <s v="BARRA 24 LT, 3/8, 0.58" u="1"/>
        <s v="MANCOZEB 80 % WP KILO" u="1"/>
        <s v="ETIQUETA YOGA X LITRO" u="1"/>
        <s v="MASCARILLA LENTES OREJERAS" u="1"/>
        <s v="CAJA COMBO ARROZ DESARROLLO" u="1"/>
        <s v="ENVASE COEX 105g X LITRO   " u="1"/>
        <s v="CAJA COMBO MONILIA" u="1"/>
        <s v="ENVASE AGROTAFOL ENGROSE X KILO PREIMPRE" u="1"/>
        <s v="16-16-12 -1B x 500 ml" u="1"/>
        <s v="DESMALEZADORA B450" u="1"/>
        <s v="ETIQUETA TOKAL 400 X 500ML" u="1"/>
        <s v="CADENA 18.325.050 (33SL0-72X)" u="1"/>
        <s v="ETIQUETA SCOBA X 50 ML" u="1"/>
        <s v="ETIQUETA QUITA LATEX GALON - CANECA" u="1"/>
        <s v="ETIQUETA AGROTAFOL CALCIO X 250 ML" u="1"/>
        <s v="ETIQUETA PROFESIONAL CRECIMIENTO POSTERIOR X KG" u="1"/>
        <s v="ETIQUETA GREEN GIBB POSTERIOR" u="1"/>
        <s v="PENCONAZOL X 100 ML" u="1"/>
        <s v="BISPIRIBAC SODIUM 40% SC X 100 ML" u="1"/>
        <s v="ENVASE CLON X LITRO" u="1"/>
        <s v="CADENA70CM 28&quot; CS8002 (43101530831)" u="1"/>
        <s v="ENVASE X CANECA 20 LITROS" u="1"/>
        <s v="10-45-11 RAICES 500 " u="1"/>
        <s v="ESTAMPIDA X LT" u="1"/>
        <s v="DESMALEZADORA SRM 270" u="1"/>
        <s v="ETIQUETA ABAMECTIN  X 100 ML" u="1"/>
        <s v="2,4 D AMINA 72 % SL 200 LT" u="1"/>
        <s v="IMIDACLOROPRID 25% WP X 25KL" u="1"/>
        <s v="PROPAMOCARB 72 % SC" u="1"/>
        <s v="BUCANER X 250 ML" u="1"/>
        <s v="AGROTAFOL 15-30-15 INICIO X KG" u="1"/>
        <s v="DIMETOATO 40 % EC" u="1"/>
        <s v="ETIQUETA RAIZ FORTE G X KILO" u="1"/>
        <s v="ETIQUETA AGROTAFOL FOSFITO X LITRO" u="1"/>
        <s v="GLIFOLAQ X 5 GAL" u="1"/>
        <s v="ETIQUETA CIROMAZINA 50 GRS POST (F.A)" u="1"/>
        <s v="ETIQUETA SPIN X 500 ML" u="1"/>
        <s v="OXIDO DE POTASIO 40 % QUELATADO" u="1"/>
        <s v="ADAPTADOR UN10 C270,BP35 (80677)" u="1"/>
        <s v="CIMOXANIL 8% + MANCOZEB 64 % WP 500 GR" u="1"/>
        <s v="PROCLHORAZ 45 % EC" u="1"/>
        <s v="ATRAZINA 80 % WP" u="1"/>
        <s v="ETIQUETA GREEN GIBB DELANTERA" u="1"/>
        <s v="DIFENOCONAZOLE 25 % EC x 250 ML" u="1"/>
        <s v="ETIQUETA AGROTAFOL K PLUS X LITRO" u="1"/>
        <s v="DIAZINON 60 % EC" u="1"/>
        <s v="ENVASE COEX 20g X 100ML     " u="1"/>
        <s v="ENVASE COEX 60g X 500ML     " u="1"/>
        <s v="ETIQUETA PROFESIONAL FLORACION DELANTERA X KG" u="1"/>
        <s v="ETIQUETA AGROTAFOL PH X LITRO" u="1"/>
        <s v="ETIQUETA AGROTAFIX X 250 ML" u="1"/>
        <s v="ETIQUETA ESTAMPIDA X 250 ML" u="1"/>
        <s v="ETIQUETA FEGADAZIM X 250 ML" u="1"/>
        <s v="BLINDAX X 20 LT" u="1"/>
        <s v="ENVASE PREIMPRESO PARALANCHA 250/500 G" u="1"/>
        <s v="ETIQUETA ANIQUILADOR X LITRO" u="1"/>
        <s v="GLIFOSATO 48 % SC X 200 LT" u="1"/>
        <s v="CAJA COMBO ARROZ TOTAL" u="1"/>
        <s v="JARRITA DOSIFICADORA X 250 cc" u="1"/>
        <s v="ETIQUETA AGROTAFOL CALCIO X LITRO" u="1"/>
        <s v="ETIQUETA AGROTAZOLE X 100 CC" u="1"/>
        <s v="ETIQUETA PROFESIONAL PRODUCCION DELANTERA X KG" u="1"/>
        <s v="ACIDO GIBERELICO X KILO" u="1"/>
        <s v="ETIQUETA SINOMITE X 50 ML" u="1"/>
        <s v="ETIQUETA SINOPRID X 100 GRS / TRASERA" u="1"/>
        <s v="ORGANIC POWER X 500 ML" u="1"/>
        <s v="SCOBA COEX X LT" u="1"/>
        <s v="ETIQUETA ENDOSULFAN X 250 ML" u="1"/>
        <s v="ETIQUETA VIRUS STOP X 250 ML" u="1"/>
        <s v="CARBENDAZIM 50 % WP 25 KG (Kg)" u="1"/>
        <s v="BENALAXIL 8% + MANCOZEB 65 % WP 500 GR" u="1"/>
        <s v="AGROVERDOL X 500 ML" u="1"/>
        <s v="ETIQUETA FAST X LITRO" u="1"/>
        <s v="ORTOFOSFATO 20% + AMINO ACIDOS X LT" u="1"/>
        <s v="CAJA COMBO CACAO FLORACION" u="1"/>
        <s v="ABAMECTIN X 100 ML (MATERIA PRIMA)" u="1"/>
        <s v="STICKER PARALANCHA BLUE" u="1"/>
        <s v="DIENTE P/MOTOSIERRA 27R 100B 0.404;DIENTE P/MOTOSIERRA 27R 100B 0.404" u="1"/>
        <s v="ETIQUETA AGROVERDOL X 500 ML" u="1"/>
        <s v="ETIQUETA RAIZ FORTE X 500 ML" u="1"/>
        <s v="TENSOACTIVO PLUS" u="1"/>
        <s v="CLOFENTAZINE 50 % SC X LITRO" u="1"/>
        <s v="CALCIO 4%, MG 3 %, AMI" u="1"/>
        <s v="AGROTAFOL ZINC X LT" u="1"/>
        <s v="METAMIDOFOS 60 % CS" u="1"/>
        <s v="ETIQUETA SINOTYL X KILO" u="1"/>
        <s v="FUNDA MEDIANA 300/250/200 GRS" u="1"/>
        <s v="ABAMECTINA NEGRA 1.8% X 100 ML" u="1"/>
      </sharedItems>
    </cacheField>
    <cacheField name="Cantidad" numFmtId="0">
      <sharedItems containsSemiMixedTypes="0" containsString="0" containsNumber="1" minValue="5.0000000000000001E-3" maxValue="1"/>
    </cacheField>
    <cacheField name="Unidad Hijo" numFmtId="0">
      <sharedItems/>
    </cacheField>
    <cacheField name="ExistePadre" numFmtId="0">
      <sharedItems containsSemiMixedTypes="0" containsString="0" containsNumber="1" containsInteger="1" minValue="0" maxValue="0"/>
    </cacheField>
    <cacheField name="Cantidad Requerida"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s v="IN-0011"/>
    <s v="BUCANER X LT"/>
    <s v="LITROS"/>
    <x v="0"/>
    <x v="0"/>
    <n v="1"/>
    <s v="100 GRAMOS"/>
    <n v="0"/>
    <n v="0"/>
  </r>
  <r>
    <s v="IN-0011"/>
    <s v="BUCANER X LT"/>
    <s v="LITROS"/>
    <x v="1"/>
    <x v="1"/>
    <n v="5.0000000000000001E-3"/>
    <s v="TANQUE POR 200 LT"/>
    <n v="0"/>
    <n v="0"/>
  </r>
  <r>
    <s v="IN-0011"/>
    <s v="BUCANER X LT"/>
    <s v="LITROS"/>
    <x v="2"/>
    <x v="2"/>
    <n v="1"/>
    <s v="Unidades"/>
    <n v="0"/>
    <n v="0"/>
  </r>
  <r>
    <s v="IN-00171"/>
    <s v="BUCANER FORTE X 500 ML"/>
    <s v="500 MILILITROS"/>
    <x v="3"/>
    <x v="3"/>
    <n v="1"/>
    <s v="Unidades"/>
    <n v="0"/>
    <n v="0"/>
  </r>
  <r>
    <s v="IN-00171"/>
    <s v="BUCANER FORTE X 500 ML"/>
    <s v="500 MILILITROS"/>
    <x v="4"/>
    <x v="4"/>
    <n v="0.5"/>
    <s v="LITROS"/>
    <n v="0"/>
    <n v="0"/>
  </r>
  <r>
    <s v="IN-00171"/>
    <s v="BUCANER FORTE X 500 ML"/>
    <s v="500 MILILITROS"/>
    <x v="5"/>
    <x v="5"/>
    <n v="1"/>
    <s v="Unidades"/>
    <n v="0"/>
    <n v="0"/>
  </r>
  <r>
    <s v="IN-00172"/>
    <s v="BUCANER FORTE X 250 ML"/>
    <s v="250 MILILITROS"/>
    <x v="4"/>
    <x v="4"/>
    <n v="0.25"/>
    <s v="LITROS"/>
    <n v="0"/>
    <n v="0"/>
  </r>
  <r>
    <s v="IN-00172"/>
    <s v="BUCANER FORTE X 250 ML"/>
    <s v="250 MILILITROS"/>
    <x v="6"/>
    <x v="6"/>
    <n v="1"/>
    <s v="Unidades"/>
    <n v="0"/>
    <n v="0"/>
  </r>
  <r>
    <s v="IN-00172"/>
    <s v="BUCANER FORTE X 250 ML"/>
    <s v="250 MILILITROS"/>
    <x v="7"/>
    <x v="7"/>
    <n v="1"/>
    <s v="Unidades"/>
    <n v="0"/>
    <n v="0"/>
  </r>
  <r>
    <s v="IN-00173"/>
    <s v="BUCANER FORTE X 100 ML"/>
    <s v="100 MILILITROS"/>
    <x v="8"/>
    <x v="8"/>
    <n v="1"/>
    <s v="Unidades"/>
    <n v="0"/>
    <n v="0"/>
  </r>
  <r>
    <s v="IN-00173"/>
    <s v="BUCANER FORTE X 100 ML"/>
    <s v="100 MILILITROS"/>
    <x v="4"/>
    <x v="4"/>
    <n v="0.1"/>
    <s v="LITROS"/>
    <n v="0"/>
    <n v="0"/>
  </r>
  <r>
    <s v="IN-00173"/>
    <s v="BUCANER FORTE X 100 ML"/>
    <s v="100 MILILITROS"/>
    <x v="9"/>
    <x v="9"/>
    <n v="1"/>
    <s v="Unidades"/>
    <n v="0"/>
    <n v="0"/>
  </r>
  <r>
    <s v="IN-00174"/>
    <s v="BUCANER FORTE X LITRO"/>
    <s v="LITROS"/>
    <x v="10"/>
    <x v="10"/>
    <n v="1"/>
    <s v="Unidades"/>
    <n v="0"/>
    <n v="0"/>
  </r>
  <r>
    <s v="IN-00174"/>
    <s v="BUCANER FORTE X LITRO"/>
    <s v="LITROS"/>
    <x v="4"/>
    <x v="4"/>
    <n v="1"/>
    <s v="LITROS"/>
    <n v="0"/>
    <n v="0"/>
  </r>
  <r>
    <s v="IN-00174"/>
    <s v="BUCANER FORTE X LITRO"/>
    <s v="LITROS"/>
    <x v="2"/>
    <x v="2"/>
    <n v="1"/>
    <s v="Unidades"/>
    <n v="0"/>
    <n v="0"/>
  </r>
  <r>
    <s v="IN-041."/>
    <s v="AGROTAFIX X LT"/>
    <s v="LITROS"/>
    <x v="11"/>
    <x v="11"/>
    <n v="5.0000000000000001E-3"/>
    <s v="TANQUE POR 200 LT"/>
    <n v="0"/>
    <n v="0"/>
  </r>
  <r>
    <s v="IN-041."/>
    <s v="AGROTAFIX X LT"/>
    <s v="LITROS"/>
    <x v="2"/>
    <x v="2"/>
    <n v="1"/>
    <s v="Unidades"/>
    <n v="0"/>
    <n v="0"/>
  </r>
  <r>
    <s v="IN-041."/>
    <s v="AGROTAFIX X LT"/>
    <s v="LITROS"/>
    <x v="12"/>
    <x v="12"/>
    <n v="1"/>
    <s v="Unidades"/>
    <n v="0"/>
    <n v="0"/>
  </r>
  <r>
    <s v="IN-32"/>
    <s v="AGROTAFOL 15-30-15 INICIO X KG"/>
    <s v="KILOGRAMO"/>
    <x v="13"/>
    <x v="13"/>
    <n v="1"/>
    <s v="Unidades"/>
    <n v="0"/>
    <n v="0"/>
  </r>
  <r>
    <s v="IN-32"/>
    <s v="AGROTAFOL 15-30-15 INICIO X KG"/>
    <s v="KILOGRAMO"/>
    <x v="14"/>
    <x v="14"/>
    <n v="1"/>
    <s v="KILOGRAMO"/>
    <n v="0"/>
    <n v="0"/>
  </r>
  <r>
    <s v="IN-32"/>
    <s v="AGROTAFOL 15-30-15 INICIO X KG"/>
    <s v="KILOGRAMO"/>
    <x v="15"/>
    <x v="15"/>
    <n v="1"/>
    <s v="Unidades"/>
    <n v="0"/>
    <n v="0"/>
  </r>
  <r>
    <s v="IN-33"/>
    <s v="AGROTAFOL 25-10-10 CRECIMIENTO X KILO"/>
    <s v="KILOGRAMO"/>
    <x v="16"/>
    <x v="16"/>
    <n v="1"/>
    <s v="Unidades"/>
    <n v="0"/>
    <n v="0"/>
  </r>
  <r>
    <s v="IN-33"/>
    <s v="AGROTAFOL 25-10-10 CRECIMIENTO X KILO"/>
    <s v="KILOGRAMO"/>
    <x v="17"/>
    <x v="17"/>
    <n v="1"/>
    <s v="KILOGRAMO"/>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D_Asignacion" cacheId="50" applyNumberFormats="0" applyBorderFormats="0" applyFontFormats="0" applyPatternFormats="0" applyAlignmentFormats="0" applyWidthHeightFormats="1" dataCaption="Valores" updatedVersion="3" minRefreshableVersion="3" showCalcMbrs="0" showDrill="0" useAutoFormatting="1" rowGrandTotals="0" colGrandTotals="0" itemPrintTitles="1" createdVersion="3" indent="0" compact="0" compactData="0" multipleFieldFilters="0">
  <location ref="A3:C21" firstHeaderRow="1" firstDataRow="1" firstDataCol="2"/>
  <pivotFields count="9">
    <pivotField compact="0" outline="0" subtotalTop="0" showAll="0" defaultSubtotal="0"/>
    <pivotField compact="0" outline="0" subtotalTop="0" showAll="0" defaultSubtotal="0"/>
    <pivotField compact="0" outline="0" subtotalTop="0" showAll="0" defaultSubtotal="0"/>
    <pivotField name="Cod Materia Prima" axis="axisRow" compact="0" outline="0" subtotalTop="0" showAll="0" sortType="ascending" defaultSubtotal="0">
      <items count="446">
        <item m="1" x="72"/>
        <item m="1" x="269"/>
        <item m="1" x="300"/>
        <item m="1" x="137"/>
        <item m="1" x="381"/>
        <item m="1" x="107"/>
        <item m="1" x="320"/>
        <item m="1" x="295"/>
        <item m="1" x="125"/>
        <item m="1" x="129"/>
        <item m="1" x="402"/>
        <item m="1" x="369"/>
        <item m="1" x="122"/>
        <item m="1" x="30"/>
        <item m="1" x="335"/>
        <item m="1" x="308"/>
        <item m="1" x="147"/>
        <item m="1" x="198"/>
        <item m="1" x="430"/>
        <item m="1" x="324"/>
        <item m="1" x="336"/>
        <item m="1" x="370"/>
        <item m="1" x="88"/>
        <item m="1" x="388"/>
        <item m="1" x="342"/>
        <item m="1" x="87"/>
        <item m="1" x="97"/>
        <item m="1" x="389"/>
        <item m="1" x="116"/>
        <item m="1" x="112"/>
        <item m="1" x="371"/>
        <item m="1" x="111"/>
        <item m="1" x="85"/>
        <item m="1" x="275"/>
        <item m="1" x="99"/>
        <item m="1" x="288"/>
        <item m="1" x="274"/>
        <item m="1" x="318"/>
        <item m="1" x="106"/>
        <item m="1" x="113"/>
        <item m="1" x="130"/>
        <item m="1" x="123"/>
        <item m="1" x="328"/>
        <item m="1" x="47"/>
        <item m="1" x="117"/>
        <item m="1" x="136"/>
        <item m="1" x="333"/>
        <item m="1" x="243"/>
        <item m="1" x="249"/>
        <item m="1" x="273"/>
        <item m="1" x="250"/>
        <item m="1" x="55"/>
        <item m="1" x="169"/>
        <item m="1" x="69"/>
        <item m="1" x="75"/>
        <item m="1" x="84"/>
        <item m="1" x="180"/>
        <item m="1" x="230"/>
        <item m="1" x="46"/>
        <item m="1" x="372"/>
        <item m="1" x="376"/>
        <item m="1" x="387"/>
        <item m="1" x="146"/>
        <item m="1" x="326"/>
        <item m="1" x="148"/>
        <item m="1" x="218"/>
        <item m="1" x="283"/>
        <item m="1" x="143"/>
        <item m="1" x="127"/>
        <item m="1" x="398"/>
        <item m="1" x="344"/>
        <item m="1" x="223"/>
        <item m="1" x="350"/>
        <item m="1" x="170"/>
        <item m="1" x="182"/>
        <item m="1" x="183"/>
        <item m="1" x="133"/>
        <item m="1" x="416"/>
        <item m="1" x="428"/>
        <item m="1" x="395"/>
        <item m="1" x="73"/>
        <item m="1" x="83"/>
        <item m="1" x="92"/>
        <item m="1" x="21"/>
        <item m="1" x="44"/>
        <item m="1" x="34"/>
        <item m="1" x="301"/>
        <item m="1" x="306"/>
        <item m="1" x="309"/>
        <item m="1" x="90"/>
        <item m="1" x="305"/>
        <item m="1" x="132"/>
        <item m="1" x="299"/>
        <item m="1" x="329"/>
        <item m="1" x="124"/>
        <item m="1" x="348"/>
        <item m="1" x="209"/>
        <item m="1" x="401"/>
        <item x="17"/>
        <item m="1" x="135"/>
        <item x="14"/>
        <item m="1" x="359"/>
        <item m="1" x="366"/>
        <item m="1" x="420"/>
        <item m="1" x="36"/>
        <item m="1" x="144"/>
        <item m="1" x="134"/>
        <item m="1" x="346"/>
        <item m="1" x="339"/>
        <item m="1" x="357"/>
        <item m="1" x="332"/>
        <item m="1" x="164"/>
        <item m="1" x="382"/>
        <item m="1" x="152"/>
        <item m="1" x="363"/>
        <item m="1" x="141"/>
        <item m="1" x="353"/>
        <item m="1" x="126"/>
        <item m="1" x="338"/>
        <item m="1" x="175"/>
        <item m="1" x="151"/>
        <item m="1" x="361"/>
        <item m="1" x="139"/>
        <item m="1" x="351"/>
        <item m="1" x="155"/>
        <item m="1" x="410"/>
        <item m="1" x="392"/>
        <item m="1" x="160"/>
        <item m="1" x="377"/>
        <item m="1" x="150"/>
        <item x="1"/>
        <item x="4"/>
        <item m="1" x="138"/>
        <item m="1" x="203"/>
        <item m="1" x="424"/>
        <item m="1" x="189"/>
        <item m="1" x="408"/>
        <item m="1" x="172"/>
        <item m="1" x="158"/>
        <item m="1" x="149"/>
        <item m="1" x="358"/>
        <item x="11"/>
        <item m="1" x="423"/>
        <item m="1" x="29"/>
        <item m="1" x="186"/>
        <item m="1" x="216"/>
        <item m="1" x="406"/>
        <item m="1" x="171"/>
        <item m="1" x="391"/>
        <item m="1" x="157"/>
        <item m="1" x="374"/>
        <item m="1" x="224"/>
        <item m="1" x="440"/>
        <item m="1" x="201"/>
        <item m="1" x="421"/>
        <item m="1" x="184"/>
        <item m="1" x="405"/>
        <item m="1" x="390"/>
        <item m="1" x="236"/>
        <item m="1" x="22"/>
        <item m="1" x="45"/>
        <item x="13"/>
        <item m="1" x="240"/>
        <item m="1" x="404"/>
        <item m="1" x="245"/>
        <item m="1" x="38"/>
        <item m="1" x="233"/>
        <item m="1" x="33"/>
        <item m="1" x="19"/>
        <item m="1" x="211"/>
        <item m="1" x="435"/>
        <item m="1" x="199"/>
        <item m="1" x="433"/>
        <item m="1" x="167"/>
        <item m="1" x="385"/>
        <item m="1" x="367"/>
        <item m="1" x="145"/>
        <item m="1" x="347"/>
        <item m="1" x="128"/>
        <item m="1" x="340"/>
        <item m="1" x="178"/>
        <item m="1" x="165"/>
        <item m="1" x="383"/>
        <item m="1" x="415"/>
        <item m="1" x="153"/>
        <item m="1" x="364"/>
        <item m="1" x="354"/>
        <item m="1" x="345"/>
        <item m="1" x="413"/>
        <item m="1" x="176"/>
        <item m="1" x="396"/>
        <item m="1" x="432"/>
        <item m="1" x="434"/>
        <item m="1" x="163"/>
        <item m="1" x="380"/>
        <item m="1" x="140"/>
        <item m="1" x="352"/>
        <item m="1" x="205"/>
        <item m="1" x="426"/>
        <item m="1" x="192"/>
        <item m="1" x="219"/>
        <item m="1" x="411"/>
        <item m="1" x="174"/>
        <item m="1" x="393"/>
        <item m="1" x="161"/>
        <item m="1" x="378"/>
        <item m="1" x="215"/>
        <item m="1" x="442"/>
        <item m="1" x="425"/>
        <item m="1" x="190"/>
        <item m="1" x="409"/>
        <item m="1" x="173"/>
        <item m="1" x="159"/>
        <item m="1" x="375"/>
        <item m="1" x="226"/>
        <item m="1" x="27"/>
        <item m="1" x="187"/>
        <item m="1" x="239"/>
        <item x="0"/>
        <item m="1" x="25"/>
        <item m="1" x="214"/>
        <item m="1" x="185"/>
        <item m="1" x="247"/>
        <item m="1" x="41"/>
        <item m="1" x="237"/>
        <item m="1" x="35"/>
        <item m="1" x="23"/>
        <item m="1" x="438"/>
        <item m="1" x="200"/>
        <item m="1" x="254"/>
        <item x="12"/>
        <item m="1" x="20"/>
        <item m="1" x="212"/>
        <item m="1" x="436"/>
        <item m="1" x="259"/>
        <item m="1" x="57"/>
        <item m="1" x="251"/>
        <item m="1" x="244"/>
        <item m="1" x="291"/>
        <item x="7"/>
        <item m="1" x="323"/>
        <item m="1" x="334"/>
        <item m="1" x="368"/>
        <item x="3"/>
        <item x="8"/>
        <item m="1" x="74"/>
        <item m="1" x="343"/>
        <item m="1" x="94"/>
        <item m="1" x="266"/>
        <item x="10"/>
        <item m="1" x="37"/>
        <item m="1" x="232"/>
        <item m="1" x="31"/>
        <item m="1" x="220"/>
        <item m="1" x="445"/>
        <item m="1" x="196"/>
        <item m="1" x="417"/>
        <item m="1" x="179"/>
        <item m="1" x="208"/>
        <item x="15"/>
        <item m="1" x="210"/>
        <item m="1" x="399"/>
        <item m="1" x="166"/>
        <item m="1" x="384"/>
        <item m="1" x="154"/>
        <item m="1" x="365"/>
        <item m="1" x="142"/>
        <item m="1" x="355"/>
        <item m="1" x="207"/>
        <item m="1" x="429"/>
        <item m="1" x="195"/>
        <item m="1" x="414"/>
        <item m="1" x="177"/>
        <item x="2"/>
        <item x="5"/>
        <item x="6"/>
        <item m="1" x="362"/>
        <item m="1" x="217"/>
        <item m="1" x="443"/>
        <item m="1" x="206"/>
        <item x="9"/>
        <item m="1" x="193"/>
        <item m="1" x="412"/>
        <item m="1" x="394"/>
        <item m="1" x="162"/>
        <item m="1" x="379"/>
        <item m="1" x="227"/>
        <item m="1" x="204"/>
        <item m="1" x="202"/>
        <item m="1" x="188"/>
        <item m="1" x="407"/>
        <item m="1" x="43"/>
        <item m="1" x="225"/>
        <item m="1" x="26"/>
        <item m="1" x="441"/>
        <item m="1" x="422"/>
        <item m="1" x="302"/>
        <item m="1" x="257"/>
        <item m="1" x="270"/>
        <item m="1" x="271"/>
        <item m="1" x="52"/>
        <item m="1" x="66"/>
        <item m="1" x="248"/>
        <item m="1" x="265"/>
        <item m="1" x="238"/>
        <item m="1" x="24"/>
        <item m="1" x="213"/>
        <item m="1" x="241"/>
        <item m="1" x="439"/>
        <item m="1" x="262"/>
        <item m="1" x="255"/>
        <item m="1" x="50"/>
        <item m="1" x="39"/>
        <item m="1" x="234"/>
        <item m="1" x="260"/>
        <item m="1" x="58"/>
        <item m="1" x="252"/>
        <item m="1" x="49"/>
        <item m="1" x="32"/>
        <item m="1" x="51"/>
        <item m="1" x="268"/>
        <item m="1" x="282"/>
        <item m="1" x="349"/>
        <item m="1" x="397"/>
        <item m="1" x="28"/>
        <item m="1" x="62"/>
        <item m="1" x="56"/>
        <item m="1" x="321"/>
        <item m="1" x="330"/>
        <item m="1" x="356"/>
        <item m="1" x="419"/>
        <item m="1" x="228"/>
        <item m="1" x="444"/>
        <item x="16"/>
        <item m="1" x="194"/>
        <item m="1" x="264"/>
        <item m="1" x="61"/>
        <item m="1" x="258"/>
        <item m="1" x="53"/>
        <item m="1" x="42"/>
        <item m="1" x="221"/>
        <item m="1" x="65"/>
        <item m="1" x="78"/>
        <item m="1" x="79"/>
        <item m="1" x="263"/>
        <item m="1" x="60"/>
        <item m="1" x="256"/>
        <item m="1" x="246"/>
        <item m="1" x="235"/>
        <item m="1" x="277"/>
        <item m="1" x="71"/>
        <item m="1" x="63"/>
        <item m="1" x="59"/>
        <item m="1" x="253"/>
        <item m="1" x="48"/>
        <item m="1" x="285"/>
        <item m="1" x="80"/>
        <item m="1" x="279"/>
        <item m="1" x="76"/>
        <item m="1" x="276"/>
        <item m="1" x="70"/>
        <item m="1" x="267"/>
        <item m="1" x="242"/>
        <item m="1" x="229"/>
        <item m="1" x="427"/>
        <item m="1" x="40"/>
        <item m="1" x="281"/>
        <item m="1" x="64"/>
        <item m="1" x="278"/>
        <item m="1" x="261"/>
        <item m="1" x="100"/>
        <item m="1" x="101"/>
        <item m="1" x="102"/>
        <item m="1" x="104"/>
        <item m="1" x="105"/>
        <item m="1" x="310"/>
        <item m="1" x="81"/>
        <item m="1" x="280"/>
        <item m="1" x="293"/>
        <item m="1" x="77"/>
        <item m="1" x="67"/>
        <item m="1" x="68"/>
        <item m="1" x="103"/>
        <item m="1" x="89"/>
        <item m="1" x="307"/>
        <item m="1" x="298"/>
        <item m="1" x="315"/>
        <item m="1" x="96"/>
        <item m="1" x="289"/>
        <item m="1" x="86"/>
        <item m="1" x="296"/>
        <item m="1" x="82"/>
        <item m="1" x="91"/>
        <item m="1" x="325"/>
        <item m="1" x="109"/>
        <item m="1" x="118"/>
        <item m="1" x="121"/>
        <item m="1" x="294"/>
        <item m="1" x="319"/>
        <item m="1" x="337"/>
        <item m="1" x="373"/>
        <item m="1" x="437"/>
        <item m="1" x="313"/>
        <item m="1" x="322"/>
        <item m="1" x="327"/>
        <item m="1" x="286"/>
        <item m="1" x="191"/>
        <item m="1" x="341"/>
        <item m="1" x="360"/>
        <item m="1" x="110"/>
        <item m="1" x="272"/>
        <item m="1" x="197"/>
        <item m="1" x="418"/>
        <item m="1" x="181"/>
        <item m="1" x="400"/>
        <item m="1" x="168"/>
        <item m="1" x="386"/>
        <item m="1" x="156"/>
        <item m="1" x="284"/>
        <item m="1" x="287"/>
        <item m="1" x="290"/>
        <item m="1" x="297"/>
        <item m="1" x="303"/>
        <item m="1" x="311"/>
        <item m="1" x="316"/>
        <item m="1" x="312"/>
        <item m="1" x="331"/>
        <item m="1" x="93"/>
        <item m="1" x="292"/>
        <item m="1" x="317"/>
        <item m="1" x="431"/>
        <item m="1" x="304"/>
        <item m="1" x="108"/>
        <item m="1" x="314"/>
        <item m="1" x="115"/>
        <item m="1" x="131"/>
        <item m="1" x="403"/>
        <item m="1" x="222"/>
        <item m="1" x="231"/>
        <item m="1" x="114"/>
        <item m="1" x="95"/>
        <item m="1" x="98"/>
        <item m="1" x="119"/>
        <item m="1" x="120"/>
        <item m="1" x="54"/>
        <item m="1" x="18"/>
      </items>
    </pivotField>
    <pivotField name="Descripcion Materia Prima" axis="axisRow" compact="0" outline="0" subtotalTop="0" showAll="0" defaultSubtotal="0">
      <items count="448">
        <item m="1" x="82"/>
        <item m="1" x="382"/>
        <item m="1" x="179"/>
        <item m="1" x="208"/>
        <item x="14"/>
        <item m="1" x="368"/>
        <item m="1" x="143"/>
        <item m="1" x="386"/>
        <item x="17"/>
        <item m="1" x="166"/>
        <item m="1" x="116"/>
        <item m="1" x="103"/>
        <item m="1" x="447"/>
        <item m="1" x="89"/>
        <item m="1" x="228"/>
        <item m="1" x="64"/>
        <item m="1" x="422"/>
        <item m="1" x="62"/>
        <item m="1" x="133"/>
        <item m="1" x="262"/>
        <item m="1" x="398"/>
        <item m="1" x="22"/>
        <item m="1" x="358"/>
        <item m="1" x="128"/>
        <item m="1" x="315"/>
        <item m="1" x="390"/>
        <item m="1" x="164"/>
        <item m="1" x="39"/>
        <item m="1" x="79"/>
        <item m="1" x="131"/>
        <item m="1" x="234"/>
        <item m="1" x="129"/>
        <item m="1" x="443"/>
        <item m="1" x="431"/>
        <item m="1" x="161"/>
        <item m="1" x="140"/>
        <item m="1" x="170"/>
        <item m="1" x="101"/>
        <item m="1" x="189"/>
        <item m="1" x="401"/>
        <item m="1" x="41"/>
        <item m="1" x="192"/>
        <item m="1" x="220"/>
        <item m="1" x="97"/>
        <item m="1" x="336"/>
        <item m="1" x="360"/>
        <item m="1" x="250"/>
        <item m="1" x="331"/>
        <item m="1" x="278"/>
        <item m="1" x="107"/>
        <item m="1" x="430"/>
        <item m="1" x="248"/>
        <item m="1" x="311"/>
        <item m="1" x="378"/>
        <item m="1" x="413"/>
        <item m="1" x="326"/>
        <item m="1" x="277"/>
        <item m="1" x="54"/>
        <item m="1" x="389"/>
        <item m="1" x="117"/>
        <item m="1" x="115"/>
        <item m="1" x="174"/>
        <item m="1" x="146"/>
        <item m="1" x="98"/>
        <item m="1" x="351"/>
        <item m="1" x="276"/>
        <item m="1" x="60"/>
        <item m="1" x="333"/>
        <item m="1" x="186"/>
        <item m="1" x="147"/>
        <item m="1" x="301"/>
        <item m="1" x="141"/>
        <item m="1" x="46"/>
        <item m="1" x="71"/>
        <item m="1" x="334"/>
        <item m="1" x="371"/>
        <item m="1" x="176"/>
        <item m="1" x="205"/>
        <item m="1" x="149"/>
        <item m="1" x="235"/>
        <item m="1" x="380"/>
        <item m="1" x="364"/>
        <item m="1" x="114"/>
        <item m="1" x="56"/>
        <item m="1" x="417"/>
        <item m="1" x="68"/>
        <item m="1" x="434"/>
        <item m="1" x="55"/>
        <item m="1" x="270"/>
        <item m="1" x="118"/>
        <item m="1" x="134"/>
        <item m="1" x="44"/>
        <item m="1" x="85"/>
        <item m="1" x="314"/>
        <item m="1" x="366"/>
        <item m="1" x="230"/>
        <item m="1" x="222"/>
        <item m="1" x="313"/>
        <item m="1" x="442"/>
        <item m="1" x="330"/>
        <item m="1" x="307"/>
        <item m="1" x="429"/>
        <item m="1" x="227"/>
        <item m="1" x="27"/>
        <item m="1" x="338"/>
        <item m="1" x="144"/>
        <item m="1" x="34"/>
        <item m="1" x="399"/>
        <item m="1" x="337"/>
        <item m="1" x="290"/>
        <item m="1" x="339"/>
        <item m="1" x="441"/>
        <item m="1" x="173"/>
        <item m="1" x="246"/>
        <item m="1" x="281"/>
        <item m="1" x="247"/>
        <item m="1" x="269"/>
        <item m="1" x="369"/>
        <item m="1" x="95"/>
        <item m="1" x="188"/>
        <item m="1" x="36"/>
        <item m="1" x="37"/>
        <item m="1" x="83"/>
        <item m="1" x="384"/>
        <item m="1" x="180"/>
        <item m="1" x="223"/>
        <item m="1" x="187"/>
        <item m="1" x="405"/>
        <item m="1" x="437"/>
        <item m="1" x="109"/>
        <item m="1" x="272"/>
        <item m="1" x="19"/>
        <item m="1" x="403"/>
        <item m="1" x="391"/>
        <item m="1" x="181"/>
        <item m="1" x="354"/>
        <item m="1" x="145"/>
        <item m="1" x="157"/>
        <item m="1" x="78"/>
        <item m="1" x="265"/>
        <item m="1" x="271"/>
        <item x="16"/>
        <item m="1" x="367"/>
        <item m="1" x="24"/>
        <item m="1" x="221"/>
        <item m="1" x="379"/>
        <item m="1" x="365"/>
        <item m="1" x="33"/>
        <item m="1" x="406"/>
        <item m="1" x="407"/>
        <item x="9"/>
        <item m="1" x="283"/>
        <item m="1" x="91"/>
        <item x="6"/>
        <item x="5"/>
        <item x="2"/>
        <item m="1" x="251"/>
        <item m="1" x="308"/>
        <item m="1" x="414"/>
        <item m="1" x="206"/>
        <item m="1" x="207"/>
        <item m="1" x="25"/>
        <item m="1" x="381"/>
        <item m="1" x="383"/>
        <item m="1" x="385"/>
        <item m="1" x="105"/>
        <item m="1" x="274"/>
        <item m="1" x="261"/>
        <item m="1" x="69"/>
        <item m="1" x="175"/>
        <item m="1" x="345"/>
        <item m="1" x="410"/>
        <item x="12"/>
        <item m="1" x="312"/>
        <item m="1" x="102"/>
        <item m="1" x="217"/>
        <item m="1" x="275"/>
        <item m="1" x="288"/>
        <item m="1" x="84"/>
        <item m="1" x="374"/>
        <item m="1" x="342"/>
        <item m="1" x="419"/>
        <item m="1" x="57"/>
        <item m="1" x="81"/>
        <item m="1" x="306"/>
        <item m="1" x="38"/>
        <item m="1" x="393"/>
        <item x="13"/>
        <item m="1" x="343"/>
        <item m="1" x="404"/>
        <item m="1" x="328"/>
        <item m="1" x="266"/>
        <item m="1" x="409"/>
        <item m="1" x="213"/>
        <item m="1" x="198"/>
        <item m="1" x="359"/>
        <item m="1" x="28"/>
        <item m="1" x="31"/>
        <item m="1" x="29"/>
        <item m="1" x="335"/>
        <item m="1" x="32"/>
        <item m="1" x="59"/>
        <item m="1" x="420"/>
        <item m="1" x="51"/>
        <item m="1" x="310"/>
        <item m="1" x="332"/>
        <item m="1" x="438"/>
        <item m="1" x="100"/>
        <item m="1" x="327"/>
        <item m="1" x="88"/>
        <item m="1" x="355"/>
        <item m="1" x="415"/>
        <item m="1" x="49"/>
        <item m="1" x="297"/>
        <item m="1" x="226"/>
        <item m="1" x="239"/>
        <item m="1" x="52"/>
        <item x="8"/>
        <item x="7"/>
        <item x="3"/>
        <item x="10"/>
        <item m="1" x="240"/>
        <item m="1" x="121"/>
        <item m="1" x="256"/>
        <item x="0"/>
        <item m="1" x="122"/>
        <item m="1" x="282"/>
        <item m="1" x="237"/>
        <item m="1" x="304"/>
        <item m="1" x="267"/>
        <item m="1" x="43"/>
        <item m="1" x="96"/>
        <item m="1" x="329"/>
        <item m="1" x="395"/>
        <item m="1" x="201"/>
        <item m="1" x="209"/>
        <item m="1" x="47"/>
        <item m="1" x="148"/>
        <item m="1" x="171"/>
        <item m="1" x="427"/>
        <item m="1" x="112"/>
        <item m="1" x="21"/>
        <item m="1" x="346"/>
        <item m="1" x="411"/>
        <item m="1" x="183"/>
        <item m="1" x="238"/>
        <item m="1" x="432"/>
        <item m="1" x="347"/>
        <item m="1" x="412"/>
        <item m="1" x="352"/>
        <item m="1" x="104"/>
        <item m="1" x="317"/>
        <item m="1" x="292"/>
        <item m="1" x="236"/>
        <item m="1" x="349"/>
        <item m="1" x="137"/>
        <item m="1" x="26"/>
        <item m="1" x="273"/>
        <item m="1" x="284"/>
        <item m="1" x="323"/>
        <item m="1" x="106"/>
        <item m="1" x="402"/>
        <item m="1" x="376"/>
        <item m="1" x="210"/>
        <item m="1" x="48"/>
        <item m="1" x="50"/>
        <item m="1" x="195"/>
        <item m="1" x="291"/>
        <item m="1" x="123"/>
        <item m="1" x="153"/>
        <item m="1" x="298"/>
        <item m="1" x="77"/>
        <item m="1" x="87"/>
        <item m="1" x="253"/>
        <item m="1" x="286"/>
        <item m="1" x="255"/>
        <item m="1" x="130"/>
        <item m="1" x="299"/>
        <item m="1" x="158"/>
        <item m="1" x="229"/>
        <item m="1" x="93"/>
        <item m="1" x="182"/>
        <item m="1" x="58"/>
        <item m="1" x="159"/>
        <item m="1" x="375"/>
        <item m="1" x="408"/>
        <item m="1" x="296"/>
        <item m="1" x="142"/>
        <item m="1" x="421"/>
        <item m="1" x="108"/>
        <item m="1" x="218"/>
        <item m="1" x="231"/>
        <item m="1" x="232"/>
        <item m="1" x="309"/>
        <item m="1" x="111"/>
        <item m="1" x="150"/>
        <item m="1" x="373"/>
        <item m="1" x="392"/>
        <item m="1" x="439"/>
        <item m="1" x="53"/>
        <item m="1" x="211"/>
        <item m="1" x="319"/>
        <item m="1" x="325"/>
        <item m="1" x="94"/>
        <item m="1" x="203"/>
        <item m="1" x="340"/>
        <item m="1" x="124"/>
        <item m="1" x="66"/>
        <item m="1" x="254"/>
        <item m="1" x="287"/>
        <item m="1" x="372"/>
        <item m="1" x="293"/>
        <item m="1" x="423"/>
        <item m="1" x="341"/>
        <item m="1" x="424"/>
        <item m="1" x="35"/>
        <item m="1" x="321"/>
        <item m="1" x="241"/>
        <item m="1" x="190"/>
        <item m="1" x="445"/>
        <item m="1" x="242"/>
        <item m="1" x="257"/>
        <item m="1" x="40"/>
        <item m="1" x="243"/>
        <item m="1" x="125"/>
        <item m="1" x="99"/>
        <item m="1" x="42"/>
        <item m="1" x="258"/>
        <item m="1" x="67"/>
        <item m="1" x="154"/>
        <item m="1" x="244"/>
        <item m="1" x="259"/>
        <item m="1" x="155"/>
        <item m="1" x="396"/>
        <item m="1" x="219"/>
        <item m="1" x="348"/>
        <item m="1" x="370"/>
        <item m="1" x="162"/>
        <item m="1" x="127"/>
        <item m="1" x="318"/>
        <item m="1" x="428"/>
        <item m="1" x="184"/>
        <item m="1" x="362"/>
        <item m="1" x="119"/>
        <item m="1" x="285"/>
        <item m="1" x="233"/>
        <item m="1" x="30"/>
        <item x="15"/>
        <item m="1" x="305"/>
        <item m="1" x="446"/>
        <item m="1" x="394"/>
        <item m="1" x="416"/>
        <item m="1" x="160"/>
        <item m="1" x="200"/>
        <item m="1" x="70"/>
        <item m="1" x="72"/>
        <item m="1" x="387"/>
        <item m="1" x="138"/>
        <item m="1" x="177"/>
        <item m="1" x="418"/>
        <item m="1" x="132"/>
        <item m="1" x="280"/>
        <item m="1" x="303"/>
        <item m="1" x="113"/>
        <item m="1" x="357"/>
        <item m="1" x="163"/>
        <item m="1" x="361"/>
        <item m="1" x="363"/>
        <item m="1" x="444"/>
        <item m="1" x="73"/>
        <item m="1" x="110"/>
        <item m="1" x="263"/>
        <item m="1" x="156"/>
        <item m="1" x="191"/>
        <item m="1" x="300"/>
        <item m="1" x="353"/>
        <item m="1" x="169"/>
        <item m="1" x="74"/>
        <item m="1" x="199"/>
        <item m="1" x="193"/>
        <item m="1" x="425"/>
        <item m="1" x="433"/>
        <item m="1" x="397"/>
        <item m="1" x="344"/>
        <item m="1" x="204"/>
        <item m="1" x="252"/>
        <item m="1" x="377"/>
        <item m="1" x="294"/>
        <item m="1" x="197"/>
        <item m="1" x="135"/>
        <item m="1" x="400"/>
        <item m="1" x="63"/>
        <item m="1" x="388"/>
        <item m="1" x="165"/>
        <item m="1" x="23"/>
        <item m="1" x="216"/>
        <item m="1" x="90"/>
        <item m="1" x="185"/>
        <item m="1" x="249"/>
        <item m="1" x="212"/>
        <item m="1" x="45"/>
        <item m="1" x="214"/>
        <item m="1" x="65"/>
        <item m="1" x="279"/>
        <item m="1" x="426"/>
        <item m="1" x="224"/>
        <item m="1" x="92"/>
        <item m="1" x="172"/>
        <item m="1" x="151"/>
        <item m="1" x="260"/>
        <item m="1" x="245"/>
        <item m="1" x="86"/>
        <item m="1" x="196"/>
        <item m="1" x="316"/>
        <item m="1" x="76"/>
        <item m="1" x="139"/>
        <item x="4"/>
        <item x="1"/>
        <item m="1" x="152"/>
        <item x="11"/>
        <item m="1" x="440"/>
        <item m="1" x="264"/>
        <item m="1" x="75"/>
        <item m="1" x="120"/>
        <item m="1" x="20"/>
        <item m="1" x="350"/>
        <item m="1" x="178"/>
        <item m="1" x="295"/>
        <item m="1" x="356"/>
        <item m="1" x="126"/>
        <item m="1" x="18"/>
        <item m="1" x="435"/>
        <item m="1" x="324"/>
        <item m="1" x="80"/>
        <item m="1" x="289"/>
        <item m="1" x="302"/>
        <item m="1" x="268"/>
        <item m="1" x="436"/>
        <item m="1" x="322"/>
        <item m="1" x="168"/>
        <item m="1" x="202"/>
        <item m="1" x="194"/>
        <item m="1" x="136"/>
        <item m="1" x="61"/>
        <item m="1" x="320"/>
        <item m="1" x="225"/>
        <item m="1" x="167"/>
        <item m="1" x="215"/>
      </items>
    </pivotField>
    <pivotField compact="0" outline="0" subtotalTop="0" showAll="0" defaultSubtotal="0"/>
    <pivotField compact="0" outline="0" subtotalTop="0" showAll="0" defaultSubtotal="0"/>
    <pivotField compact="0" outline="0" subtotalTop="0" showAll="0" defaultSubtotal="0"/>
    <pivotField dataField="1" compact="0" outline="0" showAll="0" defaultSubtotal="0"/>
  </pivotFields>
  <rowFields count="2">
    <field x="3"/>
    <field x="4"/>
  </rowFields>
  <rowItems count="18">
    <i>
      <x v="98"/>
      <x v="8"/>
    </i>
    <i>
      <x v="100"/>
      <x v="4"/>
    </i>
    <i>
      <x v="130"/>
      <x v="417"/>
    </i>
    <i>
      <x v="131"/>
      <x v="416"/>
    </i>
    <i>
      <x v="141"/>
      <x v="419"/>
    </i>
    <i>
      <x v="161"/>
      <x v="187"/>
    </i>
    <i>
      <x v="218"/>
      <x v="224"/>
    </i>
    <i>
      <x v="230"/>
      <x v="172"/>
    </i>
    <i>
      <x v="239"/>
      <x v="218"/>
    </i>
    <i>
      <x v="243"/>
      <x v="219"/>
    </i>
    <i>
      <x v="244"/>
      <x v="217"/>
    </i>
    <i>
      <x v="249"/>
      <x v="220"/>
    </i>
    <i>
      <x v="259"/>
      <x v="347"/>
    </i>
    <i>
      <x v="273"/>
      <x v="155"/>
    </i>
    <i>
      <x v="274"/>
      <x v="154"/>
    </i>
    <i>
      <x v="275"/>
      <x v="153"/>
    </i>
    <i>
      <x v="280"/>
      <x v="150"/>
    </i>
    <i>
      <x v="333"/>
      <x v="141"/>
    </i>
  </rowItems>
  <colItems count="1">
    <i/>
  </colItems>
  <dataFields count="1">
    <dataField name="Cantidad " fld="8" baseField="0" baseItem="0"/>
  </dataFields>
  <pivotTableStyleInfo name="PivotStyleLight1" showRowHeaders="1" showColHeaders="1" showRowStripes="0" showColStripes="0" showLastColumn="1"/>
  <filters count="1">
    <filter fld="7" type="captionGreaterThan" evalOrder="-1" id="6" stringValue1="0">
      <autoFilter ref="A1">
        <filterColumn colId="0">
          <customFilters>
            <customFilter operator="greaterThan" val="0"/>
          </customFilters>
        </filterColumn>
      </autoFilter>
    </filter>
  </filters>
</pivotTableDefinition>
</file>

<file path=xl/queryTables/queryTable1.xml><?xml version="1.0" encoding="utf-8"?>
<queryTable xmlns="http://schemas.openxmlformats.org/spreadsheetml/2006/main" name="Consulta desde DatosConsolidados" backgroundRefresh="0" connectionId="2"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2.xml><?xml version="1.0" encoding="utf-8"?>
<queryTable xmlns="http://schemas.openxmlformats.org/spreadsheetml/2006/main" name="Consulta desde Central Control Buffers" backgroundRefresh="0" connectionId="1"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3.xml><?xml version="1.0" encoding="utf-8"?>
<queryTable xmlns="http://schemas.openxmlformats.org/spreadsheetml/2006/main" name="Consulta desde ODBC RAMCAS1" backgroundRefresh="0" connectionId="4"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4.xml><?xml version="1.0" encoding="utf-8"?>
<queryTable xmlns="http://schemas.openxmlformats.org/spreadsheetml/2006/main" name="Consulta desde ODBC RAMCAS1_1" backgroundRefresh="0" connectionId="5" autoFormatId="16" applyNumberFormats="0" applyBorderFormats="0" applyFontFormats="0" applyPatternFormats="0" applyAlignmentFormats="0" applyWidthHeightFormats="0">
  <queryTableRefresh nextId="3">
    <queryTableFields count="2">
      <queryTableField id="1" name="emp_codigo" tableColumnId="1"/>
      <queryTableField id="2" name="emp_nombre" tableColumnId="2"/>
    </queryTableFields>
  </queryTableRefresh>
</queryTable>
</file>

<file path=xl/queryTables/queryTable5.xml><?xml version="1.0" encoding="utf-8"?>
<queryTable xmlns="http://schemas.openxmlformats.org/spreadsheetml/2006/main" name="Consulta desde ODBC RAMCAS1_2" backgroundRefresh="0" connectionId="6" autoFormatId="16" applyNumberFormats="0" applyBorderFormats="0" applyFontFormats="0" applyPatternFormats="0" applyAlignmentFormats="0" applyWidthHeightFormats="0">
  <queryTableRefresh nextId="11">
    <queryTableFields count="4">
      <queryTableField id="7" name="emp_codigo" tableColumnId="7"/>
      <queryTableField id="8" name="emp_nombre" tableColumnId="8"/>
      <queryTableField id="9" name="bod_codigo" tableColumnId="9"/>
      <queryTableField id="10" name="bod_nombre" tableColumnId="10"/>
    </queryTableFields>
  </queryTableRefresh>
</queryTable>
</file>

<file path=xl/queryTables/queryTable6.xml><?xml version="1.0" encoding="utf-8"?>
<queryTable xmlns="http://schemas.openxmlformats.org/spreadsheetml/2006/main" name="Consulta desde REPORTES en Access" backgroundRefresh="0" connectionId="7" autoFormatId="16" applyNumberFormats="0" applyBorderFormats="0" applyFontFormats="0" applyPatternFormats="0" applyAlignmentFormats="0" applyWidthHeightFormats="0">
  <queryTableRefresh nextId="15" unboundColumnsRight="2">
    <queryTableFields count="9">
      <queryTableField id="1" name="Cod Padre" tableColumnId="1"/>
      <queryTableField id="2" name="Descripcion Padre" tableColumnId="2"/>
      <queryTableField id="3" name="Unidad Padre" tableColumnId="3"/>
      <queryTableField id="4" name="Cod Hijo" tableColumnId="4"/>
      <queryTableField id="5" name="Descripcion Hijo" tableColumnId="5"/>
      <queryTableField id="6" name="Cantidad" tableColumnId="6"/>
      <queryTableField id="7" name="Unidad Hijo" tableColumnId="7"/>
      <queryTableField id="8" dataBound="0" tableColumnId="8"/>
      <queryTableField id="12" dataBound="0" tableColumnId="12"/>
    </queryTableFields>
  </queryTableRefresh>
</queryTable>
</file>

<file path=xl/queryTables/queryTable7.xml><?xml version="1.0" encoding="utf-8"?>
<queryTable xmlns="http://schemas.openxmlformats.org/spreadsheetml/2006/main" name="Consulta desde REPORTES en Access" backgroundRefresh="0" connectionId="8"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Grupo" tableColumnId="2"/>
    </queryTableFields>
  </queryTableRefresh>
</queryTable>
</file>

<file path=xl/queryTables/queryTable8.xml><?xml version="1.0" encoding="utf-8"?>
<queryTable xmlns="http://schemas.openxmlformats.org/spreadsheetml/2006/main" name="Consulta desde ODBC MySQL en AGROTA" backgroundRefresh="0" connectionId="3"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1" name="TABLATRANSFERENCIA" displayName="TABLATRANSFERENCIA" ref="A8:BX50" totalsRowShown="0" headerRowDxfId="183">
  <autoFilter ref="A8:BX50"/>
  <tableColumns count="76">
    <tableColumn id="1" name="CODIGO" dataDxfId="0"/>
    <tableColumn id="2" name="DESCRIPCION" dataDxfId="1"/>
    <tableColumn id="36" name="CODIGO GENERICO" dataDxfId="182"/>
    <tableColumn id="45" name="CODIGO VINCULADO" dataDxfId="181"/>
    <tableColumn id="4" name="LINEA" dataDxfId="180"/>
    <tableColumn id="29" name="SUBLINEA" dataDxfId="179"/>
    <tableColumn id="3" name="GRUPO" dataDxfId="178"/>
    <tableColumn id="22" name="FAMILIA" dataDxfId="177"/>
    <tableColumn id="23" name="SUBFAMILIA" dataDxfId="176"/>
    <tableColumn id="24" name="CATEGORIA" dataDxfId="175"/>
    <tableColumn id="25" name="TIPO" dataDxfId="174"/>
    <tableColumn id="26" name="MARCA" dataDxfId="173"/>
    <tableColumn id="27" name="MODELO" dataDxfId="172"/>
    <tableColumn id="28" name="CAT MANAGEMENT" dataDxfId="171"/>
    <tableColumn id="65" name="Estatus" dataDxfId="170"/>
    <tableColumn id="14" name="CTV" dataDxfId="169"/>
    <tableColumn id="15" name="PVP" dataDxfId="168"/>
    <tableColumn id="7" name="RENTABILIDAD" dataDxfId="167"/>
    <tableColumn id="53" name="RENTABILID PROY" dataDxfId="166"/>
    <tableColumn id="19" name="VEL EFECT" dataDxfId="165"/>
    <tableColumn id="20" name="SERVICIO" dataDxfId="164"/>
    <tableColumn id="21" name="PROVEEDOR" dataDxfId="163"/>
    <tableColumn id="39" name="PERFIL" dataDxfId="162"/>
    <tableColumn id="54" name="T REP" dataDxfId="161"/>
    <tableColumn id="55" name="F REP" dataDxfId="160"/>
    <tableColumn id="5" name="BUFFER" dataDxfId="159"/>
    <tableColumn id="75" name="INV PROVEEDOR" dataDxfId="158"/>
    <tableColumn id="31" name="INV FISICO" dataDxfId="157"/>
    <tableColumn id="6" name="CONS BUFF" dataDxfId="156"/>
    <tableColumn id="50" name="COLOR" dataDxfId="155"/>
    <tableColumn id="32" name="INV TRANSITO" dataDxfId="154"/>
    <tableColumn id="41" name="NEGOCIACIÓN" dataDxfId="153"/>
    <tableColumn id="42" name="PRODUCCIÓN" dataDxfId="152"/>
    <tableColumn id="43" name="EMBARCADO" dataDxfId="151"/>
    <tableColumn id="33" name="COMPROMETIDO" dataDxfId="150"/>
    <tableColumn id="34" name="BACKORDER" dataDxfId="149"/>
    <tableColumn id="40" name="INV PROYECTADO" dataDxfId="148"/>
    <tableColumn id="46" name="CONSUMO INV PROY" dataDxfId="147"/>
    <tableColumn id="51" name="COLOR1" dataDxfId="146"/>
    <tableColumn id="37" name="PEDIDO MIN" dataDxfId="145"/>
    <tableColumn id="38" name="PEDIDO MIN GRUPO" dataDxfId="144"/>
    <tableColumn id="30" name="UNIDAD EMPAQUE" dataDxfId="143"/>
    <tableColumn id="12" name="PEDIDO PROMEDIO" dataDxfId="142"/>
    <tableColumn id="47" name="COBERT BUFFER" dataDxfId="141"/>
    <tableColumn id="48" name="COBERT INV PROY" dataDxfId="140"/>
    <tableColumn id="49" name="COBERT PEDID MIN" dataDxfId="139"/>
    <tableColumn id="52" name="DIAS DESABASTECIM" dataDxfId="138"/>
    <tableColumn id="67" name="ULT TRANSFER INI" dataDxfId="137"/>
    <tableColumn id="68" name="ULT TRANSFER FIN" dataDxfId="136"/>
    <tableColumn id="64" name="2016-5" dataDxfId="135">
      <calculatedColumnFormula array="1">IFERROR(INDEX(Datos_Consumo[CANTIDAD],MATCH(TABLATRANSFERENCIA[[#This Row],[CODIGO]]&amp;TABLATRANSFERENCIA[[#Headers],[2016-5]],Datos_Consumo[CODIGO]&amp;Datos_Consumo[FECHA_FORMATO],0)),0)</calculatedColumnFormula>
    </tableColumn>
    <tableColumn id="63" name="2016-6" dataDxfId="134">
      <calculatedColumnFormula array="1">IFERROR(INDEX(Datos_Consumo[CANTIDAD],MATCH(TABLATRANSFERENCIA[[#This Row],[CODIGO]]&amp;TABLATRANSFERENCIA[[#Headers],[2016-6]],Datos_Consumo[CODIGO]&amp;Datos_Consumo[FECHA_FORMATO],0)),0)</calculatedColumnFormula>
    </tableColumn>
    <tableColumn id="62" name="2016-7" dataDxfId="133">
      <calculatedColumnFormula array="1">IFERROR(INDEX(Datos_Consumo[CANTIDAD],MATCH(TABLATRANSFERENCIA[[#This Row],[CODIGO]]&amp;TABLATRANSFERENCIA[[#Headers],[2016-7]],Datos_Consumo[CODIGO]&amp;Datos_Consumo[FECHA_FORMATO],0)),0)</calculatedColumnFormula>
    </tableColumn>
    <tableColumn id="61" name="2016-8" dataDxfId="132">
      <calculatedColumnFormula array="1">IFERROR(INDEX(Datos_Consumo[CANTIDAD],MATCH(TABLATRANSFERENCIA[[#This Row],[CODIGO]]&amp;TABLATRANSFERENCIA[[#Headers],[2016-8]],Datos_Consumo[CODIGO]&amp;Datos_Consumo[FECHA_FORMATO],0)),0)</calculatedColumnFormula>
    </tableColumn>
    <tableColumn id="60" name="2016-9" dataDxfId="131">
      <calculatedColumnFormula array="1">IFERROR(INDEX(Datos_Consumo[CANTIDAD],MATCH(TABLATRANSFERENCIA[[#This Row],[CODIGO]]&amp;TABLATRANSFERENCIA[[#Headers],[2016-9]],Datos_Consumo[CODIGO]&amp;Datos_Consumo[FECHA_FORMATO],0)),0)</calculatedColumnFormula>
    </tableColumn>
    <tableColumn id="59" name="Columna6" dataDxfId="130">
      <calculatedColumnFormula array="1">IFERROR(INDEX(Datos_Consumo[CANTIDAD],MATCH(TABLATRANSFERENCIA[[#This Row],[CODIGO]]&amp;TABLATRANSFERENCIA[[#Headers],[Columna6]],Datos_Consumo[CODIGO]&amp;Datos_Consumo[FECHA_FORMATO],0)),0)</calculatedColumnFormula>
    </tableColumn>
    <tableColumn id="8" name="REQUERIM" dataDxfId="4"/>
    <tableColumn id="13" name="REQ TOTAL" dataDxfId="2"/>
    <tableColumn id="76" name="PO" dataDxfId="3"/>
    <tableColumn id="66" name="EMBARQUES" dataDxfId="129"/>
    <tableColumn id="69" name="Emb1" dataDxfId="128">
      <calculatedColumnFormula>IF(RIGHT(TABLATRANSFERENCIA[[#Headers],[Emb1]],1)*1&lt;=TABLATRANSFERENCIA[[#This Row],[EMBARQUES]],IF(ISBLANK(TABLATRANSFERENCIA[[#This Row],[EMBARQUES]]),TABLATRANSFERENCIA[[#This Row],[REQUERIM]],ROUND(TABLATRANSFERENCIA[[#This Row],[REQUERIM]]/TABLATRANSFERENCIA[[#This Row],[EMBARQUES]],0)),TABLATRANSFERENCIA[[#This Row],[REQUERIM]])</calculatedColumnFormula>
    </tableColumn>
    <tableColumn id="70" name="Emb2" dataDxfId="127">
      <calculatedColumnFormula>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calculatedColumnFormula>
    </tableColumn>
    <tableColumn id="71" name="Emb3" dataDxfId="126">
      <calculatedColumnFormula>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calculatedColumnFormula>
    </tableColumn>
    <tableColumn id="72" name="Emb4" dataDxfId="125">
      <calculatedColumnFormula>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calculatedColumnFormula>
    </tableColumn>
    <tableColumn id="73" name="Emb5" dataDxfId="124">
      <calculatedColumnFormula>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calculatedColumnFormula>
    </tableColumn>
    <tableColumn id="74" name="OBSERVACIONES" dataDxfId="123"/>
    <tableColumn id="44" name="TAMAÑO RELATIVO" dataDxfId="122">
      <calculatedColumnFormula>IFERROR(TABLATRANSFERENCIA[[#This Row],[REQUERIM]]/TABLATRANSFERENCIA[[#This Row],[PEDIDO PROMEDIO]],0)</calculatedColumnFormula>
    </tableColumn>
    <tableColumn id="9" name="DESPACHO" dataDxfId="121"/>
    <tableColumn id="10" name="RECIBIDO" dataDxfId="120"/>
    <tableColumn id="11" name="TRANSITO" dataDxfId="119">
      <calculatedColumnFormula>IF(TABLATRANSFERENCIA[[#This Row],[RECIBIDO]]&lt;&gt;"",0,IF(TABLATRANSFERENCIA[[#This Row],[DESPACHO]]&lt;&gt;"",TABLATRANSFERENCIA[[#This Row],[DESPACHO]],TABLATRANSFERENCIA[[#This Row],[REQUERIM]]))</calculatedColumnFormula>
    </tableColumn>
    <tableColumn id="16" name="OBSERVACIONES DESPACHOS" dataDxfId="118"/>
    <tableColumn id="17" name="OBSERVACIONES RECEPCIONES" dataDxfId="117"/>
    <tableColumn id="18" name="TIPO TRANSF" dataDxfId="116">
      <calculatedColumnFormula>"N"</calculatedColumnFormula>
    </tableColumn>
    <tableColumn id="35" name="Error Pedid Min Grupo" dataDxfId="115">
      <calculatedColumnFormula array="1">IF(SUM(--(TABLATRANSFERENCIA[[#This Row],[CODIGO GENERICO]]=TABLATRANSFERENCIA[CODIGO GENERICO])*TABLATRANSFERENCIA[REQUERIM])&lt;TABLATRANSFERENCIA[[#This Row],[PEDIDO MIN GRUPO]],1,0)</calculatedColumnFormula>
    </tableColumn>
    <tableColumn id="56" name="Color Proyectado" dataDxfId="114">
      <calculatedColumnFormula>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calculatedColumnFormula>
    </tableColumn>
    <tableColumn id="57" name="ZONA AMARILLA" dataDxfId="113"/>
    <tableColumn id="58" name="ZONA ROJA" dataDxfId="112"/>
  </tableColumns>
  <tableStyleInfo name="TableStyleLight1" showFirstColumn="0" showLastColumn="0" showRowStripes="1" showColumnStripes="0"/>
</table>
</file>

<file path=xl/tables/table2.xml><?xml version="1.0" encoding="utf-8"?>
<table xmlns="http://schemas.openxmlformats.org/spreadsheetml/2006/main" id="15" name="XXYY" displayName="XXYY" ref="A1:BW2" totalsRowShown="0" headerRowDxfId="94">
  <autoFilter ref="A1:BW2"/>
  <tableColumns count="75">
    <tableColumn id="1" name="CODIGO" dataDxfId="93"/>
    <tableColumn id="2" name="DESCRIPCION" dataDxfId="92">
      <calculatedColumnFormula>IFERROR(INDEX(OFFSET(INDIRECT("v_buffer_hist_hoy!$A$1"),1,MATCH("pro_descripcion",INDIRECT("v_buffer_hist_hoy!$1:$1"),0)-1,100000,1),MATCH(CLEAN(TABLATRANSFERENCIA[[#This Row],[CODIGO]]),OFFSET(INDIRECT("v_buffer_hist_hoy!$A$1"),1,MATCH("buh_codigo",INDIRECT("v_buffer_hist_hoy!$1:$1"),0)-1,100000,1),0)),"")</calculatedColumnFormula>
    </tableColumn>
    <tableColumn id="36" name="CODIGO GENERICO" dataDxfId="91">
      <calculatedColumnFormula>IFERROR(INDEX(OFFSET(INDIRECT("v_buffer_hist_hoy!$A$1"),1,MATCH("buh_codigo_generico",INDIRECT("v_buffer_hist_hoy!$1:$1"),0)-1,100000,1),MATCH(CLEAN(TABLATRANSFERENCIA[[#This Row],[CODIGO]]),OFFSET(INDIRECT("v_buffer_hist_hoy!$A$1"),1,MATCH("buh_codigo",INDIRECT("v_buffer_hist_hoy!$1:$1"),0)-1,100000,1),0)),"")</calculatedColumnFormula>
    </tableColumn>
    <tableColumn id="45" name="CODIGO VINCULADO" dataDxfId="90">
      <calculatedColumnFormula>IFERROR(INDEX(OFFSET(INDIRECT("v_buffer_hist_hoy!$A$1"),1,MATCH("buh_codigo_vinculado",INDIRECT("v_buffer_hist_hoy!$1:$1"),0)-1,100000,1),MATCH(CLEAN(TABLATRANSFERENCIA[[#This Row],[CODIGO]]),OFFSET(INDIRECT("v_buffer_hist_hoy!$A$1"),1,MATCH("buh_codigo",INDIRECT("v_buffer_hist_hoy!$1:$1"),0)-1,100000,1),0)),"")</calculatedColumnFormula>
    </tableColumn>
    <tableColumn id="4" name="LINEA" dataDxfId="89">
      <calculatedColumnFormula>IFERROR(INDEX(OFFSET(INDIRECT("v_buffer_hist_hoy!$A$1"),1,MATCH("pro_linea",INDIRECT("v_buffer_hist_hoy!$1:$1"),0)-1,100000,1),MATCH(CLEAN(TABLATRANSFERENCIA[[#This Row],[CODIGO]]),OFFSET(INDIRECT("v_buffer_hist_hoy!$A$1"),1,MATCH("buh_codigo",INDIRECT("v_buffer_hist_hoy!$1:$1"),0)-1,100000,1),0)),"")</calculatedColumnFormula>
    </tableColumn>
    <tableColumn id="29" name="SUBLINEA" dataDxfId="88">
      <calculatedColumnFormula>IFERROR(INDEX(OFFSET(INDIRECT("v_buffer_hist_hoy!$A$1"),1,MATCH("pro_sublinea",INDIRECT("v_buffer_hist_hoy!$1:$1"),0)-1,100000,1),MATCH(CLEAN(TABLATRANSFERENCIA[[#This Row],[CODIGO]]),OFFSET(INDIRECT("v_buffer_hist_hoy!$A$1"),1,MATCH("buh_codigo",INDIRECT("v_buffer_hist_hoy!$1:$1"),0)-1,100000,1),0)),"")</calculatedColumnFormula>
    </tableColumn>
    <tableColumn id="3" name="GRUPO" dataDxfId="87">
      <calculatedColumnFormula>IFERROR(INDEX(OFFSET(INDIRECT("v_buffer_hist_hoy!$A$1"),1,MATCH("pro_grupo",INDIRECT("v_buffer_hist_hoy!$1:$1"),0)-1,100000,1),MATCH(CLEAN(TABLATRANSFERENCIA[[#This Row],[CODIGO]]),OFFSET(INDIRECT("v_buffer_hist_hoy!$A$1"),1,MATCH("buh_codigo",INDIRECT("v_buffer_hist_hoy!$1:$1"),0)-1,100000,1),0)),"")</calculatedColumnFormula>
    </tableColumn>
    <tableColumn id="22" name="FAMILIA" dataDxfId="86">
      <calculatedColumnFormula>IFERROR(INDEX(OFFSET(INDIRECT("v_buffer_hist_hoy!$A$1"),1,MATCH("pro_familia",INDIRECT("v_buffer_hist_hoy!$1:$1"),0)-1,100000,1),MATCH(CLEAN(TABLATRANSFERENCIA[[#This Row],[CODIGO]]),OFFSET(INDIRECT("v_buffer_hist_hoy!$A$1"),1,MATCH("buh_codigo",INDIRECT("v_buffer_hist_hoy!$1:$1"),0)-1,100000,1),0)),"")</calculatedColumnFormula>
    </tableColumn>
    <tableColumn id="23" name="SUBFAMILIA" dataDxfId="85">
      <calculatedColumnFormula>IFERROR(INDEX(OFFSET(INDIRECT("v_buffer_hist_hoy!$A$1"),1,MATCH("pro_subfamilia",INDIRECT("v_buffer_hist_hoy!$1:$1"),0)-1,100000,1),MATCH(CLEAN(TABLATRANSFERENCIA[[#This Row],[CODIGO]]),OFFSET(INDIRECT("v_buffer_hist_hoy!$A$1"),1,MATCH("buh_codigo",INDIRECT("v_buffer_hist_hoy!$1:$1"),0)-1,100000,1),0)),"")</calculatedColumnFormula>
    </tableColumn>
    <tableColumn id="24" name="CATEGORIA" dataDxfId="84">
      <calculatedColumnFormula>IFERROR(INDEX(OFFSET(INDIRECT("v_buffer_hist_hoy!$A$1"),1,MATCH("pro_categoria",INDIRECT("v_buffer_hist_hoy!$1:$1"),0)-1,100000,1),MATCH(CLEAN(TABLATRANSFERENCIA[[#This Row],[CODIGO]]),OFFSET(INDIRECT("v_buffer_hist_hoy!$A$1"),1,MATCH("buh_codigo",INDIRECT("v_buffer_hist_hoy!$1:$1"),0)-1,100000,1),0)),"")</calculatedColumnFormula>
    </tableColumn>
    <tableColumn id="25" name="TIPO" dataDxfId="83">
      <calculatedColumnFormula>IFERROR(INDEX(OFFSET(INDIRECT("v_buffer_hist_hoy!$A$1"),1,MATCH("pro_tipo",INDIRECT("v_buffer_hist_hoy!$1:$1"),0)-1,100000,1),MATCH(CLEAN(TABLATRANSFERENCIA[[#This Row],[CODIGO]]),OFFSET(INDIRECT("v_buffer_hist_hoy!$A$1"),1,MATCH("buh_codigo",INDIRECT("v_buffer_hist_hoy!$1:$1"),0)-1,100000,1),0)),"")</calculatedColumnFormula>
    </tableColumn>
    <tableColumn id="26" name="MARCA" dataDxfId="82">
      <calculatedColumnFormula>IFERROR(INDEX(OFFSET(INDIRECT("v_buffer_hist_hoy!$A$1"),1,MATCH("pro_marca",INDIRECT("v_buffer_hist_hoy!$1:$1"),0)-1,100000,1),MATCH(CLEAN(TABLATRANSFERENCIA[[#This Row],[CODIGO]]),OFFSET(INDIRECT("v_buffer_hist_hoy!$A$1"),1,MATCH("buh_codigo",INDIRECT("v_buffer_hist_hoy!$1:$1"),0)-1,100000,1),0)),"")</calculatedColumnFormula>
    </tableColumn>
    <tableColumn id="27" name="MODELO" dataDxfId="81">
      <calculatedColumnFormula>IFERROR(INDEX(OFFSET(INDIRECT("v_buffer_hist_hoy!$A$1"),1,MATCH("pro_modelo",INDIRECT("v_buffer_hist_hoy!$1:$1"),0)-1,100000,1),MATCH(CLEAN(TABLATRANSFERENCIA[[#This Row],[CODIGO]]),OFFSET(INDIRECT("v_buffer_hist_hoy!$A$1"),1,MATCH("buh_codigo",INDIRECT("v_buffer_hist_hoy!$1:$1"),0)-1,100000,1),0)),"")</calculatedColumnFormula>
    </tableColumn>
    <tableColumn id="28" name="CAT MANAGEMENT" dataDxfId="80">
      <calculatedColumnFormula>IFERROR(INDEX(OFFSET(INDIRECT("v_buffer_hist_hoy!$A$1"),1,MATCH("pro_cat_management",INDIRECT("v_buffer_hist_hoy!$1:$1"),0)-1,100000,1),MATCH(CLEAN(TABLATRANSFERENCIA[[#This Row],[CODIGO]]),OFFSET(INDIRECT("v_buffer_hist_hoy!$A$1"),1,MATCH("buh_codigo",INDIRECT("v_buffer_hist_hoy!$1:$1"),0)-1,100000,1),0)),"")</calculatedColumnFormula>
    </tableColumn>
    <tableColumn id="65" name="Estatus" dataDxfId="79">
      <calculatedColumnFormula>IFERROR(INDEX(OFFSET(INDIRECT("v_buffer_hist_hoy!$A$1"),1,MATCH("buh_estatus",INDIRECT("v_buffer_hist_hoy!$1:$1"),0)-1,100000,1),MATCH(CLEAN(TABLATRANSFERENCIA[[#This Row],[CODIGO]]),OFFSET(INDIRECT("v_buffer_hist_hoy!$A$1"),1,MATCH("buh_codigo",INDIRECT("v_buffer_hist_hoy!$1:$1"),0)-1,100000,1),0)),"")</calculatedColumnFormula>
    </tableColumn>
    <tableColumn id="14" name="CTV" dataDxfId="78">
      <calculatedColumnFormula>IFERROR(INDEX(OFFSET(INDIRECT("v_buffer_hist_hoy!$A$1"),1,MATCH("buh_ctv",INDIRECT("v_buffer_hist_hoy!$1:$1"),0)-1,100000,1),MATCH(CLEAN(TABLATRANSFERENCIA[[#This Row],[CODIGO]]),OFFSET(INDIRECT("v_buffer_hist_hoy!$A$1"),1,MATCH("buh_codigo",INDIRECT("v_buffer_hist_hoy!$1:$1"),0)-1,100000,1),0)),"")</calculatedColumnFormula>
    </tableColumn>
    <tableColumn id="15" name="PVP" dataDxfId="77">
      <calculatedColumnFormula>IFERROR(INDEX(OFFSET(INDIRECT("v_buffer_hist_hoy!$A$1"),1,MATCH("buh_pv",INDIRECT("v_buffer_hist_hoy!$1:$1"),0)-1,100000,1),MATCH(CLEAN(TABLATRANSFERENCIA[[#This Row],[CODIGO]]),OFFSET(INDIRECT("v_buffer_hist_hoy!$A$1"),1,MATCH("buh_codigo",INDIRECT("v_buffer_hist_hoy!$1:$1"),0)-1,100000,1),0)),"")</calculatedColumnFormula>
    </tableColumn>
    <tableColumn id="7" name="RENTABILIDAD" dataDxfId="76">
      <calculatedColumnFormula>IFERROR(INDEX(OFFSET(INDIRECT("v_buffer_hist_hoy!$A$1"),1,MATCH("buh_roi_pasado",INDIRECT("v_buffer_hist_hoy!$1:$1"),0)-1,100000,1),MATCH(CLEAN(TABLATRANSFERENCIA[[#This Row],[CODIGO]]),OFFSET(INDIRECT("v_buffer_hist_hoy!$A$1"),1,MATCH("buh_codigo",INDIRECT("v_buffer_hist_hoy!$1:$1"),0)-1,100000,1),0)),"")</calculatedColumnFormula>
    </tableColumn>
    <tableColumn id="53" name="RENTABILID PROY" dataDxfId="75">
      <calculatedColumnFormula>IFERROR(INDEX(OFFSET(INDIRECT("v_buffer_hist_hoy!$A$1"),1,MATCH("buh_roi_proyectado",INDIRECT("v_buffer_hist_hoy!$1:$1"),0)-1,100000,1),MATCH(CLEAN(TABLATRANSFERENCIA[[#This Row],[CODIGO]]),OFFSET(INDIRECT("v_buffer_hist_hoy!$A$1"),1,MATCH("buh_codigo",INDIRECT("v_buffer_hist_hoy!$1:$1"),0)-1,100000,1),0)),"")</calculatedColumnFormula>
    </tableColumn>
    <tableColumn id="19" name="VEL EFECT" dataDxfId="74">
      <calculatedColumnFormula>IFERROR(INDEX(OFFSET(INDIRECT("v_buffer_hist_hoy!$A$1"),1,MATCH("buh_velocity",INDIRECT("v_buffer_hist_hoy!$1:$1"),0)-1,100000,1),MATCH(CLEAN(TABLATRANSFERENCIA[[#This Row],[CODIGO]]),OFFSET(INDIRECT("v_buffer_hist_hoy!$A$1"),1,MATCH("buh_codigo",INDIRECT("v_buffer_hist_hoy!$1:$1"),0)-1,100000,1),0)),"")</calculatedColumnFormula>
    </tableColumn>
    <tableColumn id="20" name="SERVICIO" dataDxfId="73">
      <calculatedColumnFormula>IFERROR(INDEX(OFFSET(INDIRECT("v_buffer_hist_hoy!$A$1"),1,MATCH("buh_nivel_servicio",INDIRECT("v_buffer_hist_hoy!$1:$1"),0)-1,100000,1),MATCH(CLEAN(TABLATRANSFERENCIA[[#This Row],[CODIGO]]),OFFSET(INDIRECT("v_buffer_hist_hoy!$A$1"),1,MATCH("buh_codigo",INDIRECT("v_buffer_hist_hoy!$1:$1"),0)-1,100000,1),0)),"")</calculatedColumnFormula>
    </tableColumn>
    <tableColumn id="21" name="PROVEEDOR" dataDxfId="72">
      <calculatedColumnFormula>IFERROR(INDEX(OFFSET(INDIRECT("v_buffer_hist_hoy!$A$1"),1,MATCH("pro_nombre",INDIRECT("v_buffer_hist_hoy!$1:$1"),0)-1,100000,1),MATCH(CLEAN(TABLATRANSFERENCIA[[#This Row],[CODIGO]]),OFFSET(INDIRECT("v_buffer_hist_hoy!$A$1"),1,MATCH("buh_codigo",INDIRECT("v_buffer_hist_hoy!$1:$1"),0)-1,100000,1),0)),"")</calculatedColumnFormula>
    </tableColumn>
    <tableColumn id="39" name="PERFIL" dataDxfId="71">
      <calculatedColumnFormula>IFERROR(INDEX(OFFSET(INDIRECT("v_buffer_hist_hoy!$A$1"),1,MATCH("pre_nombre",INDIRECT("v_buffer_hist_hoy!$1:$1"),0)-1,100000,1),MATCH(CLEAN(TABLATRANSFERENCIA[[#This Row],[CODIGO]]),OFFSET(INDIRECT("v_buffer_hist_hoy!$A$1"),1,MATCH("buh_codigo",INDIRECT("v_buffer_hist_hoy!$1:$1"),0)-1,100000,1),0)),"")</calculatedColumnFormula>
    </tableColumn>
    <tableColumn id="54" name="T REP" dataDxfId="70">
      <calculatedColumnFormula>IFERROR(INDEX(OFFSET(INDIRECT("v_buffer_hist_hoy!$A$1"),1,MATCH("buh_tiempo_suministro",INDIRECT("v_buffer_hist_hoy!$1:$1"),0)-1,100000,1),MATCH(CLEAN(TABLATRANSFERENCIA[[#This Row],[CODIGO]]),OFFSET(INDIRECT("v_buffer_hist_hoy!$A$1"),1,MATCH("buh_codigo",INDIRECT("v_buffer_hist_hoy!$1:$1"),0)-1,100000,1),0)),"")</calculatedColumnFormula>
    </tableColumn>
    <tableColumn id="55" name="F REP" dataDxfId="69">
      <calculatedColumnFormula>IFERROR(INDEX(OFFSET(INDIRECT("v_buffer_hist_hoy!$A$1"),1,MATCH("buh_frecuencia_reposicion",INDIRECT("v_buffer_hist_hoy!$1:$1"),0)-1,100000,1),MATCH(CLEAN(TABLATRANSFERENCIA[[#This Row],[CODIGO]]),OFFSET(INDIRECT("v_buffer_hist_hoy!$A$1"),1,MATCH("buh_codigo",INDIRECT("v_buffer_hist_hoy!$1:$1"),0)-1,100000,1),0)),"")</calculatedColumnFormula>
    </tableColumn>
    <tableColumn id="5" name="BUFFER" dataDxfId="68">
      <calculatedColumnFormula>IFERROR(INDEX(OFFSET(INDIRECT("v_buffer_hist_hoy!$A$1"),1,MATCH("buh_buffer_actual",INDIRECT("v_buffer_hist_hoy!$1:$1"),0)-1,100000,1),MATCH(CLEAN(TABLATRANSFERENCIA[[#This Row],[CODIGO]]),OFFSET(INDIRECT("v_buffer_hist_hoy!$A$1"),1,MATCH("buh_codigo",INDIRECT("v_buffer_hist_hoy!$1:$1"),0)-1,100000,1),0)),"")</calculatedColumnFormula>
    </tableColumn>
    <tableColumn id="75" name="INV PROVEEDOR" dataDxfId="67">
      <calculatedColumnFormula>IFERROR(INDEX(OFFSET(INDIRECT("v_buffer_hist_hoy!$A$1"),1,MATCH("buh_inventario_proveedor",INDIRECT("v_buffer_hist_hoy!$1:$1"),0)-1,100000,1),MATCH(CLEAN(TABLATRANSFERENCIA[[#This Row],[CODIGO]]),OFFSET(INDIRECT("v_buffer_hist_hoy!$A$1"),1,MATCH("buh_codigo",INDIRECT("v_buffer_hist_hoy!$1:$1"),0)-1,100000,1),0)),"")</calculatedColumnFormula>
    </tableColumn>
    <tableColumn id="31" name="INV FISICO" dataDxfId="66">
      <calculatedColumnFormula>IFERROR(INDEX(OFFSET(INDIRECT("v_buffer_hist_hoy!$A$1"),1,MATCH("buh_inventario_fisico",INDIRECT("v_buffer_hist_hoy!$1:$1"),0)-1,100000,1),MATCH(CLEAN(TABLATRANSFERENCIA[[#This Row],[CODIGO]]),OFFSET(INDIRECT("v_buffer_hist_hoy!$A$1"),1,MATCH("buh_codigo",INDIRECT("v_buffer_hist_hoy!$1:$1"),0)-1,100000,1),0)),"")</calculatedColumnFormula>
    </tableColumn>
    <tableColumn id="6" name="CONS BUFF" dataDxfId="65">
      <calculatedColumnFormula>IFERROR(INDEX(OFFSET(INDIRECT("v_buffer_hist_hoy!$A$1"),1,MATCH("buh_estado_inventario_fisico",INDIRECT("v_buffer_hist_hoy!$1:$1"),0)-1,100000,1),MATCH(CLEAN(TABLATRANSFERENCIA[[#This Row],[CODIGO]]),OFFSET(INDIRECT("v_buffer_hist_hoy!$A$1"),1,MATCH("buh_codigo",INDIRECT("v_buffer_hist_hoy!$1:$1"),0)-1,100000,1),0)),"")</calculatedColumnFormula>
    </tableColumn>
    <tableColumn id="50" name="COLOR" dataDxfId="64">
      <calculatedColumnFormula>IFERROR(INDEX(OFFSET(INDIRECT("v_buffer_hist_hoy!$A$1"),1,MATCH("buh_color_inventario_fisico",INDIRECT("v_buffer_hist_hoy!$1:$1"),0)-1,100000,1),MATCH(CLEAN(TABLATRANSFERENCIA[[#This Row],[CODIGO]]),OFFSET(INDIRECT("v_buffer_hist_hoy!$A$1"),1,MATCH("buh_codigo",INDIRECT("v_buffer_hist_hoy!$1:$1"),0)-1,100000,1),0)),"")</calculatedColumnFormula>
    </tableColumn>
    <tableColumn id="32" name="INV TRANSITO" dataDxfId="63">
      <calculatedColumnFormula>IFERROR(INDEX(OFFSET(INDIRECT("v_buffer_hist_hoy!$A$1"),1,MATCH("buh_transito",INDIRECT("v_buffer_hist_hoy!$1:$1"),0)-1,100000,1),MATCH(CLEAN(TABLATRANSFERENCIA[[#This Row],[CODIGO]]),OFFSET(INDIRECT("v_buffer_hist_hoy!$A$1"),1,MATCH("buh_codigo",INDIRECT("v_buffer_hist_hoy!$1:$1"),0)-1,100000,1),0)),"")</calculatedColumnFormula>
    </tableColumn>
    <tableColumn id="41" name="NEGOCIACIÓN" dataDxfId="62">
      <calculatedColumnFormula>IFERROR(INDEX(OFFSET(INDIRECT("v_buffer_hist_hoy!$A$1"),1,MATCH("buh_negociacion",INDIRECT("v_buffer_hist_hoy!$1:$1"),0)-1,100000,1),MATCH(CLEAN(TABLATRANSFERENCIA[[#This Row],[CODIGO]]),OFFSET(INDIRECT("v_buffer_hist_hoy!$A$1"),1,MATCH("buh_codigo",INDIRECT("v_buffer_hist_hoy!$1:$1"),0)-1,100000,1),0)),"")</calculatedColumnFormula>
    </tableColumn>
    <tableColumn id="42" name="PRODUCCIÓN" dataDxfId="61">
      <calculatedColumnFormula>IFERROR(INDEX(OFFSET(INDIRECT("v_buffer_hist_hoy!$A$1"),1,MATCH("buh_produccion",INDIRECT("v_buffer_hist_hoy!$1:$1"),0)-1,100000,1),MATCH(CLEAN(TABLATRANSFERENCIA[[#This Row],[CODIGO]]),OFFSET(INDIRECT("v_buffer_hist_hoy!$A$1"),1,MATCH("buh_codigo",INDIRECT("v_buffer_hist_hoy!$1:$1"),0)-1,100000,1),0)),"")</calculatedColumnFormula>
    </tableColumn>
    <tableColumn id="43" name="EMBARCADO" dataDxfId="60">
      <calculatedColumnFormula>IFERROR(INDEX(OFFSET(INDIRECT("v_buffer_hist_hoy!$A$1"),1,MATCH("buh_embarcado",INDIRECT("v_buffer_hist_hoy!$1:$1"),0)-1,100000,1),MATCH(CLEAN(TABLATRANSFERENCIA[[#This Row],[CODIGO]]),OFFSET(INDIRECT("v_buffer_hist_hoy!$A$1"),1,MATCH("buh_codigo",INDIRECT("v_buffer_hist_hoy!$1:$1"),0)-1,100000,1),0)),"")</calculatedColumnFormula>
    </tableColumn>
    <tableColumn id="33" name="COMPROMETIDO" dataDxfId="59">
      <calculatedColumnFormula>IFERROR(INDEX(OFFSET(INDIRECT("v_buffer_hist_hoy!$A$1"),1,MATCH("buh_comprometido",INDIRECT("v_buffer_hist_hoy!$1:$1"),0)-1,100000,1),MATCH(CLEAN(TABLATRANSFERENCIA[[#This Row],[CODIGO]]),OFFSET(INDIRECT("v_buffer_hist_hoy!$A$1"),1,MATCH("buh_codigo",INDIRECT("v_buffer_hist_hoy!$1:$1"),0)-1,100000,1),0)),"")</calculatedColumnFormula>
    </tableColumn>
    <tableColumn id="34" name="BACKORDER" dataDxfId="58">
      <calculatedColumnFormula>IFERROR(INDEX(OFFSET(INDIRECT("v_buffer_hist_hoy!$A$1"),1,MATCH("buh_backorder",INDIRECT("v_buffer_hist_hoy!$1:$1"),0)-1,100000,1),MATCH(CLEAN(TABLATRANSFERENCIA[[#This Row],[CODIGO]]),OFFSET(INDIRECT("v_buffer_hist_hoy!$A$1"),1,MATCH("buh_codigo",INDIRECT("v_buffer_hist_hoy!$1:$1"),0)-1,100000,1),0)),"")</calculatedColumnFormula>
    </tableColumn>
    <tableColumn id="40" name="INV PROYECTADO" dataDxfId="57">
      <calculatedColumnFormula>IFERROR(INDEX(OFFSET(INDIRECT("v_buffer_hist_hoy!$A$1"),1,MATCH("buh_inventario_proyectado",INDIRECT("v_buffer_hist_hoy!$1:$1"),0)-1,100000,1),MATCH(CLEAN(TABLATRANSFERENCIA[[#This Row],[CODIGO]]),OFFSET(INDIRECT("v_buffer_hist_hoy!$A$1"),1,MATCH("buh_codigo",INDIRECT("v_buffer_hist_hoy!$1:$1"),0)-1,100000,1),0)),"")</calculatedColumnFormula>
    </tableColumn>
    <tableColumn id="46" name="CONSUMO INV PROY" dataDxfId="56">
      <calculatedColumnFormula>IFERROR(INDEX(OFFSET(INDIRECT("v_buffer_hist_hoy!$A$1"),1,MATCH("buh_estado_inventario_proyectado",INDIRECT("v_buffer_hist_hoy!$1:$1"),0)-1,100000,1),MATCH(CLEAN(TABLATRANSFERENCIA[[#This Row],[CODIGO]]),OFFSET(INDIRECT("v_buffer_hist_hoy!$A$1"),1,MATCH("buh_codigo",INDIRECT("v_buffer_hist_hoy!$1:$1"),0)-1,100000,1),0)),"")</calculatedColumnFormula>
    </tableColumn>
    <tableColumn id="51" name="COLOR1" dataDxfId="55">
      <calculatedColumnFormula>IFERROR(INDEX(OFFSET(INDIRECT("v_buffer_hist_hoy!$A$1"),1,MATCH("buh_color_inventario_proyectado",INDIRECT("v_buffer_hist_hoy!$1:$1"),0)-1,100000,1),MATCH(CLEAN(TABLATRANSFERENCIA[[#This Row],[CODIGO]]),OFFSET(INDIRECT("v_buffer_hist_hoy!$A$1"),1,MATCH("buh_codigo",INDIRECT("v_buffer_hist_hoy!$1:$1"),0)-1,100000,1),0)),"")</calculatedColumnFormula>
    </tableColumn>
    <tableColumn id="37" name="PEDIDO MIN" dataDxfId="54">
      <calculatedColumnFormula>IFERROR(INDEX(OFFSET(INDIRECT("v_buffer_hist_hoy!$A$1"),1,MATCH("buh_pedido_minimo",INDIRECT("v_buffer_hist_hoy!$1:$1"),0)-1,100000,1),MATCH(CLEAN(TABLATRANSFERENCIA[[#This Row],[CODIGO]]),OFFSET(INDIRECT("v_buffer_hist_hoy!$A$1"),1,MATCH("buh_codigo",INDIRECT("v_buffer_hist_hoy!$1:$1"),0)-1,100000,1),0)),"")</calculatedColumnFormula>
    </tableColumn>
    <tableColumn id="38" name="PEDIDO MIN GRUPO" dataDxfId="53">
      <calculatedColumnFormula>IFERROR(INDEX(OFFSET(INDIRECT("v_buffer_hist_hoy!$A$1"),1,MATCH("buh_pedido_minimo_grupo",INDIRECT("v_buffer_hist_hoy!$1:$1"),0)-1,100000,1),MATCH(CLEAN(TABLATRANSFERENCIA[[#This Row],[CODIGO]]),OFFSET(INDIRECT("v_buffer_hist_hoy!$A$1"),1,MATCH("buh_codigo",INDIRECT("v_buffer_hist_hoy!$1:$1"),0)-1,100000,1),0)),"")</calculatedColumnFormula>
    </tableColumn>
    <tableColumn id="30" name="UNIDAD EMPAQUE" dataDxfId="52">
      <calculatedColumnFormula>IFERROR(INDEX(OFFSET(INDIRECT("v_buffer_hist_hoy!$A$1"),1,MATCH("buh_unidad_empaque",INDIRECT("v_buffer_hist_hoy!$1:$1"),0)-1,100000,1),MATCH(CLEAN(TABLATRANSFERENCIA[[#This Row],[CODIGO]]),OFFSET(INDIRECT("v_buffer_hist_hoy!$A$1"),1,MATCH("buh_codigo",INDIRECT("v_buffer_hist_hoy!$1:$1"),0)-1,100000,1),0)),"")</calculatedColumnFormula>
    </tableColumn>
    <tableColumn id="12" name="PEDIDO PROMEDIO" dataDxfId="51">
      <calculatedColumnFormula>IFERROR(INDEX(OFFSET(INDIRECT("v_buffer_hist_hoy!$A$1"),1,MATCH("buh_pedido_promedio",INDIRECT("v_buffer_hist_hoy!$1:$1"),0)-1,100000,1),MATCH(CLEAN(TABLATRANSFERENCIA[[#This Row],[CODIGO]]),OFFSET(INDIRECT("v_buffer_hist_hoy!$A$1"),1,MATCH("buh_codigo",INDIRECT("v_buffer_hist_hoy!$1:$1"),0)-1,100000,1),0)),"")</calculatedColumnFormula>
    </tableColumn>
    <tableColumn id="47" name="COBERT BUFFER" dataDxfId="50">
      <calculatedColumnFormula>IFERROR(INDEX(OFFSET(INDIRECT("v_buffer_hist_hoy!$A$1"),1,MATCH("buh_cobertura_buffer",INDIRECT("v_buffer_hist_hoy!$1:$1"),0)-1,100000,1),MATCH(CLEAN(TABLATRANSFERENCIA[[#This Row],[CODIGO]]),OFFSET(INDIRECT("v_buffer_hist_hoy!$A$1"),1,MATCH("buh_codigo",INDIRECT("v_buffer_hist_hoy!$1:$1"),0)-1,100000,1),0)),"")</calculatedColumnFormula>
    </tableColumn>
    <tableColumn id="48" name="COBERT INV PROY" dataDxfId="49">
      <calculatedColumnFormula>IFERROR(INDEX(OFFSET(INDIRECT("v_buffer_hist_hoy!$A$1"),1,MATCH("buh_cobertura_inventario_proyectado",INDIRECT("v_buffer_hist_hoy!$1:$1"),0)-1,100000,1),MATCH(CLEAN(TABLATRANSFERENCIA[[#This Row],[CODIGO]]),OFFSET(INDIRECT("v_buffer_hist_hoy!$A$1"),1,MATCH("buh_codigo",INDIRECT("v_buffer_hist_hoy!$1:$1"),0)-1,100000,1),0)),"")</calculatedColumnFormula>
    </tableColumn>
    <tableColumn id="49" name="COBERT PEDID MIN" dataDxfId="48">
      <calculatedColumnFormula>IFERROR(INDEX(OFFSET(INDIRECT("v_buffer_hist_hoy!$A$1"),1,MATCH("buh_cobertura_pedido_minimo",INDIRECT("v_buffer_hist_hoy!$1:$1"),0)-1,100000,1),MATCH(CLEAN(TABLATRANSFERENCIA[[#This Row],[CODIGO]]),OFFSET(INDIRECT("v_buffer_hist_hoy!$A$1"),1,MATCH("buh_codigo",INDIRECT("v_buffer_hist_hoy!$1:$1"),0)-1,100000,1),0)),"")</calculatedColumnFormula>
    </tableColumn>
    <tableColumn id="52" name="DIAS DESABASTECIM" dataDxfId="47">
      <calculatedColumnFormula>IFERROR(INDEX(OFFSET(INDIRECT("v_buffer_hist_hoy!$A$1"),1,MATCH("buh_dias_desabastecimiento",INDIRECT("v_buffer_hist_hoy!$1:$1"),0)-1,100000,1),MATCH(CLEAN(TABLATRANSFERENCIA[[#This Row],[CODIGO]]),OFFSET(INDIRECT("v_buffer_hist_hoy!$A$1"),1,MATCH("buh_codigo",INDIRECT("v_buffer_hist_hoy!$1:$1"),0)-1,100000,1),0)),"")</calculatedColumnFormula>
    </tableColumn>
    <tableColumn id="67" name="ULT TRANSFER INI" dataDxfId="46">
      <calculatedColumnFormula>IFERROR(INDEX(OFFSET(INDIRECT("v_buffer_hist_hoy!$A$1"),1,MATCH("buh_ultima_transferencia_ini",INDIRECT("v_buffer_hist_hoy!$1:$1"),0)-1,100000,1),MATCH(CLEAN(TABLATRANSFERENCIA[[#This Row],[CODIGO]]),OFFSET(INDIRECT("v_buffer_hist_hoy!$A$1"),1,MATCH("buh_codigo",INDIRECT("v_buffer_hist_hoy!$1:$1"),0)-1,100000,1),0)),"")</calculatedColumnFormula>
    </tableColumn>
    <tableColumn id="68" name="ULT TRANSFER FIN" dataDxfId="45">
      <calculatedColumnFormula>IFERROR(INDEX(OFFSET(INDIRECT("v_buffer_hist_hoy!$A$1"),1,MATCH("buh_ultima_transferencia_fin",INDIRECT("v_buffer_hist_hoy!$1:$1"),0)-1,100000,1),MATCH(CLEAN(TABLATRANSFERENCIA[[#This Row],[CODIGO]]),OFFSET(INDIRECT("v_buffer_hist_hoy!$A$1"),1,MATCH("buh_codigo",INDIRECT("v_buffer_hist_hoy!$1:$1"),0)-1,100000,1),0)),"")</calculatedColumnFormula>
    </tableColumn>
    <tableColumn id="64" name="2016-5" dataDxfId="44">
      <calculatedColumnFormula array="1">IFERROR(INDEX(Datos_Consumo[CANTIDAD],MATCH(XXYY[[#This Row],[CODIGO]]&amp;XXYY[[#Headers],[2016-5]],Datos_Consumo[CODIGO]&amp;Datos_Consumo[FECHA_FORMATO],0)),0)</calculatedColumnFormula>
    </tableColumn>
    <tableColumn id="63" name="2016-6" dataDxfId="43">
      <calculatedColumnFormula array="1">IFERROR(INDEX(Datos_Consumo[CANTIDAD],MATCH(XXYY[[#This Row],[CODIGO]]&amp;XXYY[[#Headers],[2016-6]],Datos_Consumo[CODIGO]&amp;Datos_Consumo[FECHA_FORMATO],0)),0)</calculatedColumnFormula>
    </tableColumn>
    <tableColumn id="62" name="Columna3" dataDxfId="42">
      <calculatedColumnFormula array="1">IFERROR(INDEX(Datos_Consumo[CANTIDAD],MATCH(XXYY[[#This Row],[CODIGO]]&amp;XXYY[[#Headers],[Columna3]],Datos_Consumo[CODIGO]&amp;Datos_Consumo[FECHA_FORMATO],0)),0)</calculatedColumnFormula>
    </tableColumn>
    <tableColumn id="61" name="Columna4" dataDxfId="41">
      <calculatedColumnFormula array="1">IFERROR(INDEX(Datos_Consumo[CANTIDAD],MATCH(XXYY[[#This Row],[CODIGO]]&amp;XXYY[[#Headers],[Columna4]],Datos_Consumo[CODIGO]&amp;Datos_Consumo[FECHA_FORMATO],0)),0)</calculatedColumnFormula>
    </tableColumn>
    <tableColumn id="60" name="Columna5" dataDxfId="40">
      <calculatedColumnFormula array="1">IFERROR(INDEX(Datos_Consumo[CANTIDAD],MATCH(XXYY[[#This Row],[CODIGO]]&amp;XXYY[[#Headers],[Columna5]],Datos_Consumo[CODIGO]&amp;Datos_Consumo[FECHA_FORMATO],0)),0)</calculatedColumnFormula>
    </tableColumn>
    <tableColumn id="59" name="Columna6" dataDxfId="39">
      <calculatedColumnFormula array="1">IFERROR(INDEX(Datos_Consumo[CANTIDAD],MATCH(XXYY[[#This Row],[CODIGO]]&amp;XXYY[[#Headers],[Columna6]],Datos_Consumo[CODIGO]&amp;Datos_Consumo[FECHA_FORMATO],0)),0)</calculatedColumnFormula>
    </tableColumn>
    <tableColumn id="8" name="REQUERIM" dataDxfId="38"/>
    <tableColumn id="13" name="REQ TOTAL" dataDxfId="37"/>
    <tableColumn id="66" name="EMBARQUES" dataDxfId="36"/>
    <tableColumn id="69" name="Emb1" dataDxfId="35">
      <calculatedColumnFormula>IF(RIGHT(XXYY[[#Headers],[Emb1]],1)*1&lt;=XXYY[[#This Row],[EMBARQUES]],IF(ISBLANK(XXYY[[#This Row],[EMBARQUES]]),XXYY[[#This Row],[REQUERIM]],ROUND(XXYY[[#This Row],[REQUERIM]]/XXYY[[#This Row],[EMBARQUES]],0)),XXYY[[#This Row],[REQUERIM]])</calculatedColumnFormula>
    </tableColumn>
    <tableColumn id="70" name="Emb2" dataDxfId="34">
      <calculatedColumnFormula>IF(RIGHT(XXYY[[#Headers],[Emb2]],1)*1&lt;XXYY[[#This Row],[EMBARQUES]],ROUND(XXYY[[#This Row],[REQUERIM]]/XXYY[[#This Row],[EMBARQUES]],0),IF(RIGHT(XXYY[[#Headers],[Emb2]],1)*1=XXYY[[#This Row],[EMBARQUES]],XXYY[[#This Row],[REQUERIM]]-SUM(XXYY[[#This Row],[Emb1]]),0))</calculatedColumnFormula>
    </tableColumn>
    <tableColumn id="71" name="Emb3" dataDxfId="33">
      <calculatedColumnFormula>IF(RIGHT(XXYY[[#Headers],[Emb3]],1)*1&lt;XXYY[[#This Row],[EMBARQUES]],ROUND(XXYY[[#This Row],[REQUERIM]]/XXYY[[#This Row],[EMBARQUES]],0),IF(RIGHT(XXYY[[#Headers],[Emb3]],1)*1=XXYY[[#This Row],[EMBARQUES]],XXYY[[#This Row],[REQUERIM]]-SUM(XXYY[[#This Row],[Emb1]:[Emb2]]),0))</calculatedColumnFormula>
    </tableColumn>
    <tableColumn id="72" name="Emb4" dataDxfId="32">
      <calculatedColumnFormula>IF(RIGHT(XXYY[[#Headers],[Emb4]],1)*1&lt;XXYY[[#This Row],[EMBARQUES]],ROUND(XXYY[[#This Row],[REQUERIM]]/XXYY[[#This Row],[EMBARQUES]],0),IF(RIGHT(XXYY[[#Headers],[Emb4]],1)*1=XXYY[[#This Row],[EMBARQUES]],XXYY[[#This Row],[REQUERIM]]-SUM(XXYY[[#This Row],[Emb1]:[Emb3]]),0))</calculatedColumnFormula>
    </tableColumn>
    <tableColumn id="73" name="Emb5" dataDxfId="31">
      <calculatedColumnFormula>IF(RIGHT(XXYY[[#Headers],[Emb5]],1)*1&lt;XXYY[[#This Row],[EMBARQUES]],ROUND(XXYY[[#This Row],[REQUERIM]]/XXYY[[#This Row],[EMBARQUES]],0),IF(RIGHT(XXYY[[#Headers],[Emb5]],1)*1=XXYY[[#This Row],[EMBARQUES]],XXYY[[#This Row],[REQUERIM]]-SUM(XXYY[[#This Row],[Emb1]:[Emb4]]),0))</calculatedColumnFormula>
    </tableColumn>
    <tableColumn id="74" name="OBSERVACIONES" dataDxfId="30"/>
    <tableColumn id="44" name="TAMAÑO RELATIVO" dataDxfId="29">
      <calculatedColumnFormula>IFERROR(XXYY[[#This Row],[REQUERIM]]/XXYY[[#This Row],[PEDIDO PROMEDIO]],0)</calculatedColumnFormula>
    </tableColumn>
    <tableColumn id="9" name="DESPACHO" dataDxfId="28"/>
    <tableColumn id="10" name="RECIBIDO" dataDxfId="27"/>
    <tableColumn id="11" name="TRANSITO" dataDxfId="26">
      <calculatedColumnFormula>IF(XXYY[[#This Row],[RECIBIDO]]&lt;&gt;"",0,IF(XXYY[[#This Row],[DESPACHO]]&lt;&gt;"",XXYY[[#This Row],[DESPACHO]],XXYY[[#This Row],[REQUERIM]]))</calculatedColumnFormula>
    </tableColumn>
    <tableColumn id="16" name="OBSERVACIONES DESPACHOS" dataDxfId="25"/>
    <tableColumn id="17" name="OBSERVACIONES RECEPCIONES" dataDxfId="24"/>
    <tableColumn id="18" name="TIPO TRANSF" dataDxfId="23">
      <calculatedColumnFormula>"N"</calculatedColumnFormula>
    </tableColumn>
    <tableColumn id="35" name="Error Pedid Min Grupo" dataDxfId="22">
      <calculatedColumnFormula array="1">IF(SUM(--(XXYY[[#This Row],[CODIGO GENERICO]]=XXYY[CODIGO GENERICO])*XXYY[REQUERIM])&lt;XXYY[[#This Row],[PEDIDO MIN GRUPO]],1,0)</calculatedColumnFormula>
    </tableColumn>
    <tableColumn id="56" name="Color Proyectado" dataDxfId="21">
      <calculatedColumnFormula>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calculatedColumnFormula>
    </tableColumn>
    <tableColumn id="57" name="ZONA AMARILLA" dataDxfId="20">
      <calculatedColumnFormula>IFERROR(INDEX(OFFSET(INDIRECT("v_buffer_hist_hoy!$A$1"),1,MATCH("buh_zona_amarilla",INDIRECT("v_buffer_hist_hoy!$1:$1"),0)-1,100000,1),MATCH(CLEAN(TABLATRANSFERENCIA[[#This Row],[CODIGO]]),OFFSET(INDIRECT("v_buffer_hist_hoy!$A$1"),1,MATCH("buh_codigo",INDIRECT("v_buffer_hist_hoy!$1:$1"),0)-1,100000,1),0)),"")</calculatedColumnFormula>
    </tableColumn>
    <tableColumn id="58" name="ZONA ROJA" dataDxfId="19">
      <calculatedColumnFormula>IFERROR(INDEX(OFFSET(INDIRECT("v_buffer_hist_hoy!$A$1"),1,MATCH("buh_zona_roja",INDIRECT("v_buffer_hist_hoy!$1:$1"),0)-1,100000,1),MATCH(CLEAN(TABLATRANSFERENCIA[[#This Row],[CODIGO]]),OFFSET(INDIRECT("v_buffer_hist_hoy!$A$1"),1,MATCH("buh_codigo",INDIRECT("v_buffer_hist_hoy!$1:$1"),0)-1,100000,1),0)),"")</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9" name="Tabla_Datos_Codigo" displayName="Tabla_Datos_Codigo" ref="A1:E2" tableType="queryTable" insertRow="1"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18"/>
  </tableColumns>
  <tableStyleInfo name="TableStyleMedium9" showFirstColumn="0" showLastColumn="0" showRowStripes="1" showColumnStripes="0"/>
</table>
</file>

<file path=xl/tables/table4.xml><?xml version="1.0" encoding="utf-8"?>
<table xmlns="http://schemas.openxmlformats.org/spreadsheetml/2006/main" id="10" name="Tabla_Path_Codigo11" displayName="Tabla_Path_Codigo11"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5.xml><?xml version="1.0" encoding="utf-8"?>
<table xmlns="http://schemas.openxmlformats.org/spreadsheetml/2006/main" id="11"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17"/>
    <tableColumn id="7" uniqueName="7" name="PATH" queryTableFieldId="7" dataDxfId="16"/>
    <tableColumn id="5" uniqueName="5" name="COMPLETO" queryTableFieldId="5" dataDxfId="15">
      <calculatedColumnFormula>Tabla_Path_Codigo_Nueva[PATH]&amp;"\"&amp;Tabla_Path_Codigo_Nueva[ARCHIVO]</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3" name="tbl_Datos_Empresa" displayName="tbl_Datos_Empresa" ref="Q1:R3" tableType="queryTable" totalsRowShown="0">
  <autoFilter ref="Q1:R3"/>
  <tableColumns count="2">
    <tableColumn id="1" uniqueName="1" name="emp_codigo" queryTableFieldId="1"/>
    <tableColumn id="2" uniqueName="2" name="emp_nombre" queryTableFieldId="2"/>
  </tableColumns>
  <tableStyleInfo name="TableStyleMedium3" showFirstColumn="0" showLastColumn="0" showRowStripes="1" showColumnStripes="0"/>
</table>
</file>

<file path=xl/tables/table7.xml><?xml version="1.0" encoding="utf-8"?>
<table xmlns="http://schemas.openxmlformats.org/spreadsheetml/2006/main" id="12" name="tbl_Datos_Bodega" displayName="tbl_Datos_Bodega" ref="T1:W111" tableType="queryTable" totalsRowShown="0">
  <autoFilter ref="T1:W111"/>
  <tableColumns count="4">
    <tableColumn id="7" uniqueName="7" name="emp_codigo" queryTableFieldId="7"/>
    <tableColumn id="8" uniqueName="8" name="emp_nombre" queryTableFieldId="8"/>
    <tableColumn id="9" uniqueName="9" name="bod_codigo" queryTableFieldId="9"/>
    <tableColumn id="10" uniqueName="10" name="bod_nombre" queryTableFieldId="10"/>
  </tableColumns>
  <tableStyleInfo name="TableStyleMedium13" showFirstColumn="0" showLastColumn="0" showRowStripes="1" showColumnStripes="0"/>
</table>
</file>

<file path=xl/tables/table8.xml><?xml version="1.0" encoding="utf-8"?>
<table xmlns="http://schemas.openxmlformats.org/spreadsheetml/2006/main" id="2" name="Tabla_CubicajeAgrota" displayName="Tabla_CubicajeAgrota" ref="A1:C2" insertRow="1" totalsRowShown="0">
  <autoFilter ref="A1:C2"/>
  <tableColumns count="3">
    <tableColumn id="1" name="CODIGO"/>
    <tableColumn id="2" name="VOL"/>
    <tableColumn id="3" name="CANTIDAD" dataDxfId="14"/>
  </tableColumns>
  <tableStyleInfo name="TableStyleMedium9" showFirstColumn="0" showLastColumn="0" showRowStripes="1" showColumnStripes="0"/>
</table>
</file>

<file path=xl/tables/table9.xml><?xml version="1.0" encoding="utf-8"?>
<table xmlns="http://schemas.openxmlformats.org/spreadsheetml/2006/main" id="5" name="Tabla_Recetas" displayName="Tabla_Recetas" ref="A1:I24" tableType="queryTable" totalsRowShown="0">
  <autoFilter ref="A1:I24"/>
  <tableColumns count="9">
    <tableColumn id="1" uniqueName="1" name="Cod Padre" queryTableFieldId="1"/>
    <tableColumn id="2" uniqueName="2" name="Descripcion Padre" queryTableFieldId="2"/>
    <tableColumn id="3" uniqueName="3" name="Unidad Padre" queryTableFieldId="3"/>
    <tableColumn id="4" uniqueName="4" name="Cod Hijo" queryTableFieldId="4"/>
    <tableColumn id="5" uniqueName="5" name="Descripcion Hijo" queryTableFieldId="5"/>
    <tableColumn id="6" uniqueName="6" name="Cantidad" queryTableFieldId="6"/>
    <tableColumn id="7" uniqueName="7" name="Unidad Hijo" queryTableFieldId="7"/>
    <tableColumn id="8" uniqueName="8" name="ExistePadre" queryTableFieldId="8" dataDxfId="13">
      <calculatedColumnFormula>IFERROR(MATCH(Tabla_Recetas[[#This Row],[Cod Padre]],TABLATRANSFERENCIA[CODIGO],0),0)</calculatedColumnFormula>
    </tableColumn>
    <tableColumn id="12" uniqueName="12" name="Cantidad Requerida" queryTableFieldId="12" dataDxfId="12">
      <calculatedColumnFormula>IF(Tabla_Recetas[[#This Row],[ExistePadre]]=0,0,IFERROR(INDEX(TABLATRANSFERENCIA[REQUERIM],Tabla_Recetas[[#This Row],[ExistePadre]],1),0))*Tabla_Recetas[[#This Row],[Cantidad]]</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6" name="Tabla_MPyPT" displayName="Tabla_MPyPT" ref="A1:B745" tableType="queryTable" totalsRowShown="0">
  <autoFilter ref="A1:B745"/>
  <tableColumns count="2">
    <tableColumn id="1" uniqueName="1" name="CodigoVentaproducto" queryTableFieldId="1"/>
    <tableColumn id="2" uniqueName="2" name="NombreGrupo" queryTableFieldId="2"/>
  </tableColumns>
  <tableStyleInfo name="TableStyleMedium9" showFirstColumn="0" showLastColumn="0" showRowStripes="1" showColumnStripes="0"/>
</table>
</file>

<file path=xl/tables/table11.xml><?xml version="1.0" encoding="utf-8"?>
<table xmlns="http://schemas.openxmlformats.org/spreadsheetml/2006/main" id="7" name="Tabla_Causas" displayName="Tabla_Causas" ref="A1:A4" tableType="queryTable" totalsRowShown="0">
  <autoFilter ref="A1:A4"/>
  <tableColumns count="1">
    <tableColumn id="1" uniqueName="1" name="Causa" queryTableFieldId="1"/>
  </tableColumns>
  <tableStyleInfo name="TableStyleMedium9" showFirstColumn="0" showLastColumn="0" showRowStripes="1" showColumnStripes="0"/>
</table>
</file>

<file path=xl/tables/table12.xml><?xml version="1.0" encoding="utf-8"?>
<table xmlns="http://schemas.openxmlformats.org/spreadsheetml/2006/main" id="8" name="Tabla_Impresion_Requerimientos" displayName="Tabla_Impresion_Requerimientos" ref="A5:D6" insertRow="1" totalsRowShown="0" headerRowDxfId="11">
  <autoFilter ref="A5:D6"/>
  <tableColumns count="4">
    <tableColumn id="1" name="CÓDIGO"/>
    <tableColumn id="2" name="DESCRIPCIÓN"/>
    <tableColumn id="3" name="CANTIDAD" dataDxfId="10"/>
    <tableColumn id="4" name="CUMPLIMIENTO"/>
  </tableColumns>
  <tableStyleInfo name="TableStyleLight15" showFirstColumn="0" showLastColumn="0" showRowStripes="0" showColumnStripes="0"/>
</table>
</file>

<file path=xl/tables/table13.xml><?xml version="1.0" encoding="utf-8"?>
<table xmlns="http://schemas.openxmlformats.org/spreadsheetml/2006/main" id="4" name="Consolidados" displayName="Consolidados" ref="A1:DF2" insertRow="1" totalsRowShown="0">
  <autoFilter ref="A1:DF2"/>
  <tableColumns count="110">
    <tableColumn id="1" name="datos_consolidados_id"/>
    <tableColumn id="2" name="con_empresa"/>
    <tableColumn id="3" name="con_archivo"/>
    <tableColumn id="4" name="con_bodega"/>
    <tableColumn id="5" name="con_proveedor"/>
    <tableColumn id="6" name="con_perfil"/>
    <tableColumn id="7" name="con_codigo"/>
    <tableColumn id="8" name="con_codigo_generico"/>
    <tableColumn id="9" name="con_codigo_vinculado"/>
    <tableColumn id="10" name="con_nuevo_buffer_sugerido"/>
    <tableColumn id="11" name="con_nuevo_buffer_real"/>
    <tableColumn id="12" name="con_observaciones"/>
    <tableColumn id="13" name="con_tipo"/>
    <tableColumn id="14" name="con_ctv"/>
    <tableColumn id="15" name="con_pv"/>
    <tableColumn id="16" name="con_pedido_minimo"/>
    <tableColumn id="17" name="con_pedido_minimo_grupo"/>
    <tableColumn id="18" name="con_unidad_empaque"/>
    <tableColumn id="19" name="con_porcentaje_atencion"/>
    <tableColumn id="20" name="con_inventario_proveedor"/>
    <tableColumn id="21" name="con_buffer"/>
    <tableColumn id="22" name="con_inventario_fisico"/>
    <tableColumn id="23" name="con_color"/>
    <tableColumn id="24" name="con_estado_buffer"/>
    <tableColumn id="25" name="con_transito"/>
    <tableColumn id="26" name="con_negociacion"/>
    <tableColumn id="27" name="con_produccion"/>
    <tableColumn id="28" name="con_embarcado"/>
    <tableColumn id="29" name="con_comprometido"/>
    <tableColumn id="30" name="con_backorder"/>
    <tableColumn id="31" name="con_inventario_proyectado"/>
    <tableColumn id="32" name="con_pedido_calculado"/>
    <tableColumn id="33" name="con_pedido_real"/>
    <tableColumn id="34" name="con_pedido_promedio"/>
    <tableColumn id="35" name="con_tdd"/>
    <tableColumn id="36" name="con_idd"/>
    <tableColumn id="37" name="con_rentabilidad"/>
    <tableColumn id="38" name="con_velocity"/>
    <tableColumn id="39" name="con_nivel_servicio"/>
    <tableColumn id="40" name="con_ultimo_cambio"/>
    <tableColumn id="41" name="con_tipo_compra"/>
    <tableColumn id="42" name="con_consumo"/>
    <tableColumn id="43" name="con_ped_prom"/>
    <tableColumn id="44" name="con_fin"/>
    <tableColumn id="45" name="con_gdb"/>
    <tableColumn id="46" name="con_cam"/>
    <tableColumn id="47" name="con_comportamiento"/>
    <tableColumn id="48" name="con_consumo1"/>
    <tableColumn id="49" name="con_buffer_calculado"/>
    <tableColumn id="50" name="con_cobertura_buffer"/>
    <tableColumn id="51" name="con_cobertura_inventario_proyectado"/>
    <tableColumn id="52" name="con_cobertura_pedido_minimo"/>
    <tableColumn id="53" name="con_dias_desabastecimiento"/>
    <tableColumn id="54" name="con_buffer_minimo"/>
    <tableColumn id="55" name="con_buffer_maximo"/>
    <tableColumn id="56" name="con_impacto_faltante"/>
    <tableColumn id="57" name="con_zona_amarilla"/>
    <tableColumn id="58" name="con_zona_roja"/>
    <tableColumn id="59" name="con_color1"/>
    <tableColumn id="60" name="con_ultimo_buffer"/>
    <tableColumn id="61" name="con_buffer_anterior_estacion"/>
    <tableColumn id="62" name="con_buffer_estacional"/>
    <tableColumn id="63" name="con_estado_buffer_proyectado"/>
    <tableColumn id="64" name="con_calendario_estacional"/>
    <tableColumn id="65" name="con_accion_estacional"/>
    <tableColumn id="66" name="con_etapa_estacional"/>
    <tableColumn id="67" name="con_rentabilidad_proyectada"/>
    <tableColumn id="68" name="con_inicio_horizonte"/>
    <tableColumn id="69" name="con_fin_horizonte"/>
    <tableColumn id="70" name="con_variabilidad"/>
    <tableColumn id="71" name="con_rojo_acumulado"/>
    <tableColumn id="72" name="con_negro"/>
    <tableColumn id="73" name="con_rojo"/>
    <tableColumn id="74" name="con_amarillo"/>
    <tableColumn id="75" name="con_verde"/>
    <tableColumn id="76" name="con_lila"/>
    <tableColumn id="77" name="con_ingresos"/>
    <tableColumn id="78" name="con_egresos"/>
    <tableColumn id="105" name="con_pospone_alerta_buf"/>
    <tableColumn id="106" name="con_pospone_alerta_red"/>
    <tableColumn id="107" name="con_pospone_alerta_gdb"/>
    <tableColumn id="108" name="con_estatus" dataDxfId="9"/>
    <tableColumn id="109" name="con_ultima_transferencia_ini" dataDxfId="8"/>
    <tableColumn id="110" name="con_ultima_transferencia_fin" dataDxfId="7"/>
    <tableColumn id="79" name="pro_grupo"/>
    <tableColumn id="80" name="emp_nombre"/>
    <tableColumn id="81" name="bod_nombre"/>
    <tableColumn id="82" name="pro_nombre"/>
    <tableColumn id="83" name="pro_linea"/>
    <tableColumn id="84" name="pro_sublinea"/>
    <tableColumn id="85" name="pro_modelo"/>
    <tableColumn id="86" name="pro_familia"/>
    <tableColumn id="87" name="pro_subfamilia"/>
    <tableColumn id="88" name="pro_categoria"/>
    <tableColumn id="89" name="pro_tipo"/>
    <tableColumn id="90" name="pro_marca"/>
    <tableColumn id="91" name="pro_cat_management"/>
    <tableColumn id="92" name="pro_catpropia1"/>
    <tableColumn id="93" name="pro_catpropia2"/>
    <tableColumn id="94" name="pro_catpropia3"/>
    <tableColumn id="95" name="pro_catpropia4"/>
    <tableColumn id="96" name="pro_catpropia5"/>
    <tableColumn id="97" name="pro_precio"/>
    <tableColumn id="98" name="pro_costo"/>
    <tableColumn id="99" name="pre_nombre"/>
    <tableColumn id="100" name="pro_descripcion"/>
    <tableColumn id="101" name="pro_codigogenerico"/>
    <tableColumn id="102" name="pro_codigovinculado"/>
    <tableColumn id="103" name="pre_tiemposuministro"/>
    <tableColumn id="104" name="pre_frecuenciareposicion"/>
  </tableColumns>
  <tableStyleInfo name="TableStyleMedium9" showFirstColumn="0" showLastColumn="0" showRowStripes="1" showColumnStripes="0"/>
</table>
</file>

<file path=xl/tables/table14.xml><?xml version="1.0" encoding="utf-8"?>
<table xmlns="http://schemas.openxmlformats.org/spreadsheetml/2006/main" id="13" name="Datos_Consumo" displayName="Datos_Consumo" ref="A1:D1053" totalsRowShown="0">
  <autoFilter ref="A1:D1053"/>
  <tableColumns count="4">
    <tableColumn id="1" name="CODIGO"/>
    <tableColumn id="2" name="CANTIDAD"/>
    <tableColumn id="3" name="FECHA"/>
    <tableColumn id="4" name="FECHA_FORMATO" dataDxfId="6">
      <calculatedColumnFormula>YEAR(Datos_Consumo[[#This Row],[FECHA]])&amp;"-"&amp;MONTH(Datos_Consumo[[#This Row],[FECHA]])</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14" name="Fecha_Consumo" displayName="Fecha_Consumo" ref="F1:G6" totalsRowShown="0">
  <autoFilter ref="F1:G6"/>
  <tableColumns count="2">
    <tableColumn id="1" name="FECHAS_CONSUMO"/>
    <tableColumn id="2" name="FECHA_FORMATO" dataDxfId="5">
      <calculatedColumnFormula>YEAR(Fecha_Consumo[[#This Row],[FECHAS_CONSUMO]])&amp;"-"&amp;MONTH(Fecha_Consumo[[#This Row],[FECHAS_CONSUMO]])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comments" Target="../comments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table" Target="../tables/table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20" Type="http://schemas.openxmlformats.org/officeDocument/2006/relationships/control" Target="../activeX/activeX9.xml"/><Relationship Id="rId41" Type="http://schemas.openxmlformats.org/officeDocument/2006/relationships/image" Target="../media/image19.emf"/></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image" Target="../media/image21.emf"/><Relationship Id="rId5" Type="http://schemas.openxmlformats.org/officeDocument/2006/relationships/control" Target="../activeX/activeX21.xml"/><Relationship Id="rId4"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4.vml"/><Relationship Id="rId7" Type="http://schemas.openxmlformats.org/officeDocument/2006/relationships/image" Target="../media/image23.emf"/><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ntrol" Target="../activeX/activeX23.xml"/><Relationship Id="rId5" Type="http://schemas.openxmlformats.org/officeDocument/2006/relationships/image" Target="../media/image22.emf"/><Relationship Id="rId4" Type="http://schemas.openxmlformats.org/officeDocument/2006/relationships/control" Target="../activeX/activeX22.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BX50"/>
  <sheetViews>
    <sheetView showGridLines="0" tabSelected="1" zoomScale="80" zoomScaleNormal="80" workbookViewId="0">
      <pane xSplit="11" ySplit="8" topLeftCell="L9" activePane="bottomRight" state="frozen"/>
      <selection pane="topRight" activeCell="L1" sqref="L1"/>
      <selection pane="bottomLeft" activeCell="A9" sqref="A9"/>
      <selection pane="bottomRight" activeCell="A8" sqref="A8"/>
    </sheetView>
  </sheetViews>
  <sheetFormatPr baseColWidth="10" defaultRowHeight="15" x14ac:dyDescent="0.25"/>
  <cols>
    <col min="1" max="1" width="19.5703125" customWidth="1"/>
    <col min="2" max="2" width="46.140625" customWidth="1"/>
    <col min="3" max="3" width="21" customWidth="1"/>
    <col min="4" max="4" width="17.42578125" customWidth="1"/>
    <col min="5" max="11" width="20.7109375" hidden="1" customWidth="1"/>
    <col min="12" max="12" width="20.7109375" customWidth="1"/>
    <col min="13" max="14" width="20.7109375" hidden="1" customWidth="1"/>
    <col min="15" max="20" width="10.7109375" hidden="1" customWidth="1"/>
    <col min="21" max="21" width="15.140625" hidden="1" customWidth="1"/>
    <col min="22" max="23" width="25.7109375" hidden="1" customWidth="1"/>
    <col min="24" max="25" width="12" hidden="1" customWidth="1"/>
    <col min="26" max="26" width="16.42578125" customWidth="1"/>
    <col min="27" max="27" width="16.42578125" hidden="1" customWidth="1"/>
    <col min="28" max="28" width="11.42578125" customWidth="1"/>
    <col min="29" max="30" width="13.28515625" hidden="1" customWidth="1"/>
    <col min="31" max="31" width="11.42578125" customWidth="1"/>
    <col min="32" max="34" width="11.42578125" hidden="1" customWidth="1"/>
    <col min="35" max="35" width="11.42578125" customWidth="1"/>
    <col min="36" max="36" width="13.42578125" customWidth="1"/>
    <col min="37" max="37" width="13.140625" customWidth="1"/>
    <col min="38" max="38" width="15.28515625" hidden="1" customWidth="1"/>
    <col min="39" max="39" width="14.85546875" hidden="1" customWidth="1"/>
    <col min="40" max="40" width="11.42578125" customWidth="1"/>
    <col min="41" max="41" width="13.5703125" customWidth="1"/>
    <col min="42" max="42" width="11.42578125" customWidth="1"/>
    <col min="43" max="43" width="13.140625" customWidth="1"/>
    <col min="44" max="49" width="13.140625" hidden="1" customWidth="1"/>
    <col min="50" max="53" width="13.140625" customWidth="1"/>
    <col min="54" max="57" width="15.7109375" customWidth="1"/>
    <col min="58" max="64" width="15.7109375" hidden="1" customWidth="1"/>
    <col min="65" max="65" width="30" hidden="1" customWidth="1"/>
    <col min="66" max="66" width="11.42578125" hidden="1" customWidth="1"/>
    <col min="67" max="67" width="16" hidden="1" customWidth="1"/>
    <col min="68" max="68" width="17.7109375" hidden="1" customWidth="1"/>
    <col min="69" max="69" width="16" hidden="1" customWidth="1"/>
    <col min="70" max="70" width="31" hidden="1" customWidth="1"/>
    <col min="71" max="71" width="33.7109375" hidden="1" customWidth="1"/>
    <col min="72" max="76" width="11.42578125" hidden="1" customWidth="1"/>
  </cols>
  <sheetData>
    <row r="1" spans="1:76" ht="51.75" customHeight="1" x14ac:dyDescent="0.3">
      <c r="A1" s="35"/>
      <c r="B1" s="36"/>
      <c r="C1" s="36"/>
      <c r="D1" s="36"/>
      <c r="E1" s="36"/>
      <c r="F1" s="36"/>
      <c r="G1" s="36"/>
      <c r="H1" s="36"/>
      <c r="I1" s="36"/>
      <c r="J1" s="36"/>
      <c r="K1" s="36"/>
      <c r="L1" s="36"/>
      <c r="M1" s="36"/>
      <c r="N1" s="36"/>
      <c r="O1" s="36"/>
      <c r="P1" s="36"/>
      <c r="Q1" s="36"/>
      <c r="R1" s="38"/>
      <c r="S1" s="38"/>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row>
    <row r="2" spans="1:76" x14ac:dyDescent="0.25">
      <c r="A2" s="17" t="s">
        <v>12</v>
      </c>
      <c r="B2" s="18">
        <v>9</v>
      </c>
      <c r="C2" s="19" t="s">
        <v>0</v>
      </c>
      <c r="D2" s="20">
        <v>42657</v>
      </c>
      <c r="E2" s="37"/>
      <c r="F2" s="37"/>
      <c r="G2" s="37"/>
      <c r="H2" s="37"/>
      <c r="I2" s="37"/>
      <c r="J2" s="37"/>
      <c r="K2" s="37"/>
      <c r="L2" s="37"/>
      <c r="M2" s="37"/>
      <c r="N2" s="37"/>
      <c r="O2" s="37"/>
      <c r="P2" s="37"/>
      <c r="Q2" s="37"/>
      <c r="R2" s="37"/>
      <c r="S2" s="37"/>
      <c r="T2" s="37"/>
      <c r="U2" s="37"/>
      <c r="V2" s="37"/>
      <c r="W2" s="37"/>
      <c r="X2" s="37"/>
      <c r="Y2" s="37"/>
      <c r="Z2" s="37"/>
      <c r="AA2" s="37"/>
      <c r="AB2" s="37"/>
      <c r="AC2" s="37"/>
      <c r="AD2" s="37"/>
      <c r="AE2" s="37"/>
      <c r="AF2" s="37"/>
      <c r="AG2" s="37"/>
      <c r="AH2" s="37"/>
      <c r="AI2" s="37"/>
      <c r="AJ2" s="37"/>
      <c r="AK2" s="37"/>
      <c r="AL2" s="37"/>
      <c r="AM2" s="37"/>
      <c r="AN2" s="37"/>
      <c r="AO2" s="37"/>
      <c r="AP2" s="37"/>
      <c r="AQ2" s="37"/>
      <c r="AR2" s="37"/>
      <c r="AS2" s="37"/>
      <c r="AT2" s="37"/>
      <c r="AU2" s="37"/>
      <c r="AV2" s="37"/>
      <c r="AW2" s="37"/>
      <c r="AX2" s="37"/>
      <c r="AY2" s="37"/>
      <c r="AZ2" s="37"/>
      <c r="BA2" s="37"/>
      <c r="BB2" s="37"/>
      <c r="BC2" s="37"/>
      <c r="BD2" s="37"/>
      <c r="BE2" s="37"/>
      <c r="BF2" s="37"/>
      <c r="BG2" s="37"/>
      <c r="BH2" s="37"/>
      <c r="BI2" s="37"/>
      <c r="BJ2" s="37"/>
      <c r="BK2" s="37"/>
      <c r="BL2" s="37"/>
      <c r="BM2" s="37"/>
      <c r="BN2" s="37"/>
      <c r="BO2" s="37"/>
      <c r="BP2" s="37"/>
      <c r="BQ2" s="37"/>
      <c r="BR2" s="37"/>
      <c r="BS2" s="37"/>
      <c r="BT2" s="37"/>
      <c r="BU2" s="37"/>
      <c r="BV2" s="37"/>
    </row>
    <row r="3" spans="1:76" x14ac:dyDescent="0.25">
      <c r="A3" s="21" t="s">
        <v>2</v>
      </c>
      <c r="B3" s="22" t="s">
        <v>1724</v>
      </c>
      <c r="C3" s="23" t="s">
        <v>1</v>
      </c>
      <c r="D3" s="24"/>
      <c r="E3" s="37"/>
      <c r="F3" s="37"/>
      <c r="G3" s="37"/>
      <c r="H3" s="37"/>
      <c r="I3" s="37"/>
      <c r="J3" s="37"/>
      <c r="K3" s="37"/>
      <c r="L3" s="37"/>
      <c r="M3" s="37"/>
      <c r="N3" s="37"/>
      <c r="O3" s="37"/>
      <c r="P3" s="37"/>
      <c r="Q3" s="37"/>
      <c r="R3" s="37"/>
      <c r="S3" s="37"/>
      <c r="T3" s="37"/>
      <c r="U3" s="37"/>
      <c r="V3" s="37"/>
      <c r="W3" s="37"/>
      <c r="X3" s="37"/>
      <c r="Y3" s="37"/>
      <c r="Z3" s="37"/>
      <c r="AA3" s="37"/>
      <c r="AB3" s="37"/>
      <c r="AC3" s="37"/>
      <c r="AD3" s="37"/>
      <c r="AE3" s="37"/>
      <c r="AF3" s="37"/>
      <c r="AG3" s="37"/>
      <c r="AH3" s="37"/>
      <c r="AI3" s="37"/>
      <c r="AJ3" s="37"/>
      <c r="AK3" s="37"/>
      <c r="AL3" s="37"/>
      <c r="AM3" s="37"/>
      <c r="AN3" s="37"/>
      <c r="AO3" s="37"/>
      <c r="AP3" s="37"/>
      <c r="AQ3" s="37"/>
      <c r="AR3" s="37"/>
      <c r="AS3" s="37"/>
      <c r="AT3" s="37"/>
      <c r="AU3" s="37"/>
      <c r="AV3" s="37"/>
      <c r="AW3" s="37"/>
      <c r="AX3" s="37"/>
      <c r="AY3" s="37"/>
      <c r="AZ3" s="37"/>
      <c r="BA3" s="37"/>
      <c r="BB3" s="37"/>
      <c r="BC3" s="37"/>
      <c r="BD3" s="37"/>
      <c r="BE3" s="37"/>
      <c r="BF3" s="37"/>
      <c r="BG3" s="37"/>
      <c r="BH3" s="37"/>
      <c r="BI3" s="37"/>
      <c r="BJ3" s="37"/>
      <c r="BK3" s="37"/>
      <c r="BL3" s="37"/>
      <c r="BM3" s="37"/>
      <c r="BN3" s="37"/>
      <c r="BO3" s="37"/>
      <c r="BP3" s="37"/>
      <c r="BQ3" s="37"/>
      <c r="BR3" s="37"/>
      <c r="BS3" s="37"/>
      <c r="BT3" s="37"/>
      <c r="BU3" s="37"/>
      <c r="BV3" s="37"/>
    </row>
    <row r="4" spans="1:76" x14ac:dyDescent="0.25">
      <c r="A4" s="21" t="s">
        <v>3</v>
      </c>
      <c r="B4" s="25" t="s">
        <v>1377</v>
      </c>
      <c r="C4" s="26"/>
      <c r="D4" s="27"/>
      <c r="E4" s="37"/>
      <c r="F4" s="37"/>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c r="BU4" s="37"/>
      <c r="BV4" s="37"/>
    </row>
    <row r="5" spans="1:76" x14ac:dyDescent="0.25">
      <c r="A5" s="21" t="s">
        <v>2467</v>
      </c>
      <c r="B5" s="28"/>
      <c r="C5" s="23" t="s">
        <v>23</v>
      </c>
      <c r="D5" s="29">
        <f>IFERROR(SUMPRODUCT(TABLATRANSFERENCIA[CTV],TABLATRANSFERENCIA[TRANSITO]),"")</f>
        <v>31067.850000000006</v>
      </c>
      <c r="E5" s="37"/>
      <c r="F5" s="37"/>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c r="BT5" s="37"/>
      <c r="BU5" s="37"/>
      <c r="BV5" s="37"/>
    </row>
    <row r="6" spans="1:76" ht="17.25" x14ac:dyDescent="0.25">
      <c r="A6" s="21" t="s">
        <v>24</v>
      </c>
      <c r="B6" s="24">
        <v>42657</v>
      </c>
      <c r="C6" s="23" t="s">
        <v>25</v>
      </c>
      <c r="D6" s="30">
        <f>IFERROR(SUMPRODUCT(Tabla_CubicajeAgrota[VOL],Tabla_CubicajeAgrota[CANTIDAD]),0)</f>
        <v>0</v>
      </c>
      <c r="E6" s="37" t="s">
        <v>29</v>
      </c>
      <c r="F6" s="37"/>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c r="BT6" s="37"/>
      <c r="BU6" s="37"/>
      <c r="BV6" s="37"/>
    </row>
    <row r="7" spans="1:76" x14ac:dyDescent="0.25">
      <c r="A7" s="31" t="s">
        <v>837</v>
      </c>
      <c r="B7" s="32"/>
      <c r="C7" s="33"/>
      <c r="D7" s="34"/>
      <c r="E7" s="37"/>
      <c r="F7" s="37"/>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c r="BT7" s="37"/>
      <c r="BU7" s="37"/>
      <c r="BV7" s="37"/>
    </row>
    <row r="8" spans="1:76" ht="45.75" customHeight="1" x14ac:dyDescent="0.25">
      <c r="A8" s="48" t="s">
        <v>26</v>
      </c>
      <c r="B8" s="48" t="s">
        <v>851</v>
      </c>
      <c r="C8" s="48" t="s">
        <v>909</v>
      </c>
      <c r="D8" s="48" t="s">
        <v>1020</v>
      </c>
      <c r="E8" s="48" t="s">
        <v>892</v>
      </c>
      <c r="F8" s="48" t="s">
        <v>903</v>
      </c>
      <c r="G8" s="48" t="s">
        <v>891</v>
      </c>
      <c r="H8" s="48" t="s">
        <v>884</v>
      </c>
      <c r="I8" s="48" t="s">
        <v>885</v>
      </c>
      <c r="J8" s="48" t="s">
        <v>886</v>
      </c>
      <c r="K8" s="48" t="s">
        <v>887</v>
      </c>
      <c r="L8" s="48" t="s">
        <v>888</v>
      </c>
      <c r="M8" s="48" t="s">
        <v>889</v>
      </c>
      <c r="N8" s="48" t="s">
        <v>890</v>
      </c>
      <c r="O8" s="43" t="s">
        <v>1038</v>
      </c>
      <c r="P8" s="43" t="s">
        <v>18</v>
      </c>
      <c r="Q8" s="43" t="s">
        <v>19</v>
      </c>
      <c r="R8" s="43" t="s">
        <v>10</v>
      </c>
      <c r="S8" s="43" t="s">
        <v>980</v>
      </c>
      <c r="T8" s="43" t="s">
        <v>37</v>
      </c>
      <c r="U8" s="43" t="s">
        <v>38</v>
      </c>
      <c r="V8" s="43" t="s">
        <v>844</v>
      </c>
      <c r="W8" s="43" t="s">
        <v>908</v>
      </c>
      <c r="X8" s="43" t="s">
        <v>1027</v>
      </c>
      <c r="Y8" s="43" t="s">
        <v>1028</v>
      </c>
      <c r="Z8" s="45" t="s">
        <v>8</v>
      </c>
      <c r="AA8" s="45" t="s">
        <v>1155</v>
      </c>
      <c r="AB8" s="45" t="s">
        <v>904</v>
      </c>
      <c r="AC8" s="45" t="s">
        <v>9</v>
      </c>
      <c r="AD8" s="45" t="s">
        <v>977</v>
      </c>
      <c r="AE8" s="45" t="s">
        <v>907</v>
      </c>
      <c r="AF8" s="45" t="s">
        <v>916</v>
      </c>
      <c r="AG8" s="45" t="s">
        <v>917</v>
      </c>
      <c r="AH8" s="45" t="s">
        <v>918</v>
      </c>
      <c r="AI8" s="45" t="s">
        <v>905</v>
      </c>
      <c r="AJ8" s="45" t="s">
        <v>906</v>
      </c>
      <c r="AK8" s="45" t="s">
        <v>913</v>
      </c>
      <c r="AL8" s="45" t="s">
        <v>973</v>
      </c>
      <c r="AM8" s="45" t="s">
        <v>978</v>
      </c>
      <c r="AN8" s="45" t="s">
        <v>910</v>
      </c>
      <c r="AO8" s="45" t="s">
        <v>911</v>
      </c>
      <c r="AP8" s="45" t="s">
        <v>914</v>
      </c>
      <c r="AQ8" s="44" t="s">
        <v>912</v>
      </c>
      <c r="AR8" s="45" t="s">
        <v>974</v>
      </c>
      <c r="AS8" s="45" t="s">
        <v>975</v>
      </c>
      <c r="AT8" s="45" t="s">
        <v>976</v>
      </c>
      <c r="AU8" s="45" t="s">
        <v>979</v>
      </c>
      <c r="AV8" s="44" t="s">
        <v>1039</v>
      </c>
      <c r="AW8" s="44" t="s">
        <v>1040</v>
      </c>
      <c r="AX8" s="52" t="s">
        <v>1715</v>
      </c>
      <c r="AY8" s="52" t="s">
        <v>1716</v>
      </c>
      <c r="AZ8" s="52" t="s">
        <v>2463</v>
      </c>
      <c r="BA8" s="52" t="s">
        <v>2464</v>
      </c>
      <c r="BB8" s="52" t="s">
        <v>2465</v>
      </c>
      <c r="BC8" s="52" t="s">
        <v>1723</v>
      </c>
      <c r="BD8" s="44" t="s">
        <v>11</v>
      </c>
      <c r="BE8" s="44" t="s">
        <v>17</v>
      </c>
      <c r="BF8" s="44" t="s">
        <v>2468</v>
      </c>
      <c r="BG8" s="58" t="s">
        <v>1044</v>
      </c>
      <c r="BH8" s="57" t="s">
        <v>1045</v>
      </c>
      <c r="BI8" s="57" t="s">
        <v>1046</v>
      </c>
      <c r="BJ8" s="57" t="s">
        <v>1047</v>
      </c>
      <c r="BK8" s="57" t="s">
        <v>1048</v>
      </c>
      <c r="BL8" s="57" t="s">
        <v>1049</v>
      </c>
      <c r="BM8" s="44" t="s">
        <v>1050</v>
      </c>
      <c r="BN8" s="45" t="s">
        <v>919</v>
      </c>
      <c r="BO8" s="44" t="s">
        <v>13</v>
      </c>
      <c r="BP8" s="44" t="s">
        <v>14</v>
      </c>
      <c r="BQ8" s="40" t="s">
        <v>15</v>
      </c>
      <c r="BR8" s="39" t="s">
        <v>20</v>
      </c>
      <c r="BS8" s="39" t="s">
        <v>21</v>
      </c>
      <c r="BT8" s="39" t="s">
        <v>22</v>
      </c>
      <c r="BU8" s="42" t="s">
        <v>915</v>
      </c>
      <c r="BV8" s="42" t="s">
        <v>1032</v>
      </c>
      <c r="BW8" s="42" t="s">
        <v>1033</v>
      </c>
      <c r="BX8" s="42" t="s">
        <v>1034</v>
      </c>
    </row>
    <row r="9" spans="1:76" x14ac:dyDescent="0.25">
      <c r="A9" s="54" t="s">
        <v>1379</v>
      </c>
      <c r="B9" s="59" t="s">
        <v>1745</v>
      </c>
      <c r="C9" s="3" t="s">
        <v>1144</v>
      </c>
      <c r="D9" s="3" t="s">
        <v>1144</v>
      </c>
      <c r="E9" s="3">
        <v>0</v>
      </c>
      <c r="F9" s="3">
        <v>0</v>
      </c>
      <c r="G9" s="3">
        <v>0</v>
      </c>
      <c r="H9" s="3">
        <v>0</v>
      </c>
      <c r="I9" s="3" t="s">
        <v>1744</v>
      </c>
      <c r="J9" s="3">
        <v>0</v>
      </c>
      <c r="K9" s="3">
        <v>0</v>
      </c>
      <c r="L9" s="3" t="s">
        <v>1724</v>
      </c>
      <c r="M9" s="3">
        <v>0</v>
      </c>
      <c r="N9" s="3">
        <v>0</v>
      </c>
      <c r="O9" s="5" t="s">
        <v>1144</v>
      </c>
      <c r="P9" s="5">
        <v>6.46</v>
      </c>
      <c r="Q9" s="5">
        <v>71.27</v>
      </c>
      <c r="R9" s="46">
        <v>0</v>
      </c>
      <c r="S9" s="46">
        <v>120.39</v>
      </c>
      <c r="T9" s="46">
        <v>0</v>
      </c>
      <c r="U9" s="46">
        <v>1</v>
      </c>
      <c r="V9" s="49" t="s">
        <v>1724</v>
      </c>
      <c r="W9" s="49" t="s">
        <v>1742</v>
      </c>
      <c r="X9" s="51">
        <v>2</v>
      </c>
      <c r="Y9" s="51">
        <v>2</v>
      </c>
      <c r="Z9" s="51">
        <v>3</v>
      </c>
      <c r="AA9" s="51">
        <v>1000000000</v>
      </c>
      <c r="AB9" s="6">
        <v>0</v>
      </c>
      <c r="AC9" s="4">
        <v>1</v>
      </c>
      <c r="AD9" s="6" t="s">
        <v>838</v>
      </c>
      <c r="AE9" s="6">
        <v>0</v>
      </c>
      <c r="AF9" s="6">
        <v>0</v>
      </c>
      <c r="AG9" s="6">
        <v>0</v>
      </c>
      <c r="AH9" s="6">
        <v>0</v>
      </c>
      <c r="AI9" s="6">
        <v>0</v>
      </c>
      <c r="AJ9" s="6">
        <v>0</v>
      </c>
      <c r="AK9" s="6">
        <v>0</v>
      </c>
      <c r="AL9" s="4">
        <v>1</v>
      </c>
      <c r="AM9" s="6" t="s">
        <v>838</v>
      </c>
      <c r="AN9" s="6">
        <v>0</v>
      </c>
      <c r="AO9" s="6">
        <v>0</v>
      </c>
      <c r="AP9" s="6">
        <v>3</v>
      </c>
      <c r="AQ9" s="6">
        <v>2</v>
      </c>
      <c r="AR9" s="6">
        <v>0</v>
      </c>
      <c r="AS9" s="6">
        <v>0</v>
      </c>
      <c r="AT9" s="6">
        <v>0</v>
      </c>
      <c r="AU9" s="6">
        <v>20</v>
      </c>
      <c r="AV9" s="62">
        <v>0</v>
      </c>
      <c r="AW9" s="62">
        <v>0</v>
      </c>
      <c r="AX9" s="6">
        <f t="array" ref="AX9">IFERROR(INDEX(Datos_Consumo[CANTIDAD],MATCH(TABLATRANSFERENCIA[[#This Row],[CODIGO]]&amp;TABLATRANSFERENCIA[[#Headers],[2016-5]],Datos_Consumo[CODIGO]&amp;Datos_Consumo[FECHA_FORMATO],0)),0)</f>
        <v>0</v>
      </c>
      <c r="AY9" s="6">
        <f t="array" ref="AY9">IFERROR(INDEX(Datos_Consumo[CANTIDAD],MATCH(TABLATRANSFERENCIA[[#This Row],[CODIGO]]&amp;TABLATRANSFERENCIA[[#Headers],[2016-6]],Datos_Consumo[CODIGO]&amp;Datos_Consumo[FECHA_FORMATO],0)),0)</f>
        <v>0</v>
      </c>
      <c r="AZ9" s="6">
        <f t="array" ref="AZ9">IFERROR(INDEX(Datos_Consumo[CANTIDAD],MATCH(TABLATRANSFERENCIA[[#This Row],[CODIGO]]&amp;TABLATRANSFERENCIA[[#Headers],[2016-7]],Datos_Consumo[CODIGO]&amp;Datos_Consumo[FECHA_FORMATO],0)),0)</f>
        <v>0</v>
      </c>
      <c r="BA9" s="6">
        <f t="array" ref="BA9">IFERROR(INDEX(Datos_Consumo[CANTIDAD],MATCH(TABLATRANSFERENCIA[[#This Row],[CODIGO]]&amp;TABLATRANSFERENCIA[[#Headers],[2016-8]],Datos_Consumo[CODIGO]&amp;Datos_Consumo[FECHA_FORMATO],0)),0)</f>
        <v>0</v>
      </c>
      <c r="BB9" s="6">
        <f t="array" ref="BB9">IFERROR(INDEX(Datos_Consumo[CANTIDAD],MATCH(TABLATRANSFERENCIA[[#This Row],[CODIGO]]&amp;TABLATRANSFERENCIA[[#Headers],[2016-9]],Datos_Consumo[CODIGO]&amp;Datos_Consumo[FECHA_FORMATO],0)),0)</f>
        <v>0</v>
      </c>
      <c r="BC9" s="6">
        <f t="array" ref="BC9">IFERROR(INDEX(Datos_Consumo[CANTIDAD],MATCH(TABLATRANSFERENCIA[[#This Row],[CODIGO]]&amp;TABLATRANSFERENCIA[[#Headers],[Columna6]],Datos_Consumo[CODIGO]&amp;Datos_Consumo[FECHA_FORMATO],0)),0)</f>
        <v>0</v>
      </c>
      <c r="BD9" s="50">
        <v>3</v>
      </c>
      <c r="BE9" s="55">
        <v>3</v>
      </c>
      <c r="BF9" s="50" t="s">
        <v>2469</v>
      </c>
      <c r="BG9" s="51"/>
      <c r="BH9" s="51">
        <f>IF(RIGHT(TABLATRANSFERENCIA[[#Headers],[Emb1]],1)*1&lt;=TABLATRANSFERENCIA[[#This Row],[EMBARQUES]],IF(ISBLANK(TABLATRANSFERENCIA[[#This Row],[EMBARQUES]]),TABLATRANSFERENCIA[[#This Row],[REQUERIM]],ROUND(TABLATRANSFERENCIA[[#This Row],[REQUERIM]]/TABLATRANSFERENCIA[[#This Row],[EMBARQUES]],0)),TABLATRANSFERENCIA[[#This Row],[REQUERIM]])</f>
        <v>3</v>
      </c>
      <c r="BI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9" s="51"/>
      <c r="BN9" s="46">
        <f>IFERROR(TABLATRANSFERENCIA[[#This Row],[REQUERIM]]/TABLATRANSFERENCIA[[#This Row],[PEDIDO PROMEDIO]],0)</f>
        <v>1.5</v>
      </c>
      <c r="BO9" s="51"/>
      <c r="BP9" s="60"/>
      <c r="BQ9" s="3">
        <f>IF(TABLATRANSFERENCIA[[#This Row],[RECIBIDO]]&lt;&gt;"",0,IF(TABLATRANSFERENCIA[[#This Row],[DESPACHO]]&lt;&gt;"",TABLATRANSFERENCIA[[#This Row],[DESPACHO]],TABLATRANSFERENCIA[[#This Row],[REQUERIM]]))</f>
        <v>3</v>
      </c>
      <c r="BR9" s="50"/>
      <c r="BS9" s="50"/>
      <c r="BT9" s="50" t="str">
        <f>"N"</f>
        <v>N</v>
      </c>
      <c r="BU9" s="51">
        <f t="array" ref="BU9">IF(SUM(--(TABLATRANSFERENCIA[[#This Row],[CODIGO GENERICO]]=TABLATRANSFERENCIA[CODIGO GENERICO])*TABLATRANSFERENCIA[REQUERIM])&lt;TABLATRANSFERENCIA[[#This Row],[PEDIDO MIN GRUPO]],1,0)</f>
        <v>0</v>
      </c>
      <c r="BV9"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9" s="51">
        <v>2</v>
      </c>
      <c r="BX9" s="51">
        <v>1</v>
      </c>
    </row>
    <row r="10" spans="1:76" x14ac:dyDescent="0.25">
      <c r="A10" s="54" t="s">
        <v>1725</v>
      </c>
      <c r="B10" s="3" t="s">
        <v>1769</v>
      </c>
      <c r="C10" s="3" t="s">
        <v>1144</v>
      </c>
      <c r="D10" s="3" t="s">
        <v>1144</v>
      </c>
      <c r="E10" s="3">
        <v>0</v>
      </c>
      <c r="F10" s="3">
        <v>0</v>
      </c>
      <c r="G10" s="3">
        <v>0</v>
      </c>
      <c r="H10" s="3">
        <v>0</v>
      </c>
      <c r="I10" s="3" t="s">
        <v>1762</v>
      </c>
      <c r="J10" s="3">
        <v>0</v>
      </c>
      <c r="K10" s="3">
        <v>0</v>
      </c>
      <c r="L10" s="3" t="s">
        <v>1724</v>
      </c>
      <c r="M10" s="3">
        <v>0</v>
      </c>
      <c r="N10" s="3">
        <v>0</v>
      </c>
      <c r="O10" s="5" t="s">
        <v>1144</v>
      </c>
      <c r="P10" s="5">
        <v>116.33</v>
      </c>
      <c r="Q10" s="5">
        <v>361.16</v>
      </c>
      <c r="R10" s="46">
        <v>0</v>
      </c>
      <c r="S10" s="46">
        <v>25.26</v>
      </c>
      <c r="T10" s="46">
        <v>0</v>
      </c>
      <c r="U10" s="46">
        <v>1</v>
      </c>
      <c r="V10" s="49" t="s">
        <v>1724</v>
      </c>
      <c r="W10" s="49" t="s">
        <v>1742</v>
      </c>
      <c r="X10" s="51">
        <v>2</v>
      </c>
      <c r="Y10" s="51">
        <v>2</v>
      </c>
      <c r="Z10" s="6">
        <v>5</v>
      </c>
      <c r="AA10" s="6">
        <v>1000000000</v>
      </c>
      <c r="AB10" s="6">
        <v>4</v>
      </c>
      <c r="AC10" s="4">
        <v>0.2</v>
      </c>
      <c r="AD10" s="6" t="s">
        <v>1148</v>
      </c>
      <c r="AE10" s="6">
        <v>0</v>
      </c>
      <c r="AF10" s="6">
        <v>0</v>
      </c>
      <c r="AG10" s="6">
        <v>0</v>
      </c>
      <c r="AH10" s="6">
        <v>0</v>
      </c>
      <c r="AI10" s="6">
        <v>0</v>
      </c>
      <c r="AJ10" s="6">
        <v>0</v>
      </c>
      <c r="AK10" s="6">
        <v>4</v>
      </c>
      <c r="AL10" s="4">
        <v>0.2</v>
      </c>
      <c r="AM10" s="6" t="s">
        <v>1148</v>
      </c>
      <c r="AN10" s="6">
        <v>0</v>
      </c>
      <c r="AO10" s="6">
        <v>0</v>
      </c>
      <c r="AP10" s="6">
        <v>0</v>
      </c>
      <c r="AQ10" s="6">
        <v>3</v>
      </c>
      <c r="AR10" s="6">
        <v>0</v>
      </c>
      <c r="AS10" s="6">
        <v>0</v>
      </c>
      <c r="AT10" s="6">
        <v>0</v>
      </c>
      <c r="AU10" s="6">
        <v>0</v>
      </c>
      <c r="AV10" s="62">
        <v>0</v>
      </c>
      <c r="AW10" s="62">
        <v>0</v>
      </c>
      <c r="AX10" s="6">
        <f t="array" ref="AX10">IFERROR(INDEX(Datos_Consumo[CANTIDAD],MATCH(TABLATRANSFERENCIA[[#This Row],[CODIGO]]&amp;TABLATRANSFERENCIA[[#Headers],[2016-5]],Datos_Consumo[CODIGO]&amp;Datos_Consumo[FECHA_FORMATO],0)),0)</f>
        <v>0</v>
      </c>
      <c r="AY10" s="6">
        <f t="array" ref="AY10">IFERROR(INDEX(Datos_Consumo[CANTIDAD],MATCH(TABLATRANSFERENCIA[[#This Row],[CODIGO]]&amp;TABLATRANSFERENCIA[[#Headers],[2016-6]],Datos_Consumo[CODIGO]&amp;Datos_Consumo[FECHA_FORMATO],0)),0)</f>
        <v>0</v>
      </c>
      <c r="AZ10" s="6">
        <f t="array" ref="AZ10">IFERROR(INDEX(Datos_Consumo[CANTIDAD],MATCH(TABLATRANSFERENCIA[[#This Row],[CODIGO]]&amp;TABLATRANSFERENCIA[[#Headers],[2016-7]],Datos_Consumo[CODIGO]&amp;Datos_Consumo[FECHA_FORMATO],0)),0)</f>
        <v>0</v>
      </c>
      <c r="BA10" s="6">
        <f t="array" ref="BA10">IFERROR(INDEX(Datos_Consumo[CANTIDAD],MATCH(TABLATRANSFERENCIA[[#This Row],[CODIGO]]&amp;TABLATRANSFERENCIA[[#Headers],[2016-8]],Datos_Consumo[CODIGO]&amp;Datos_Consumo[FECHA_FORMATO],0)),0)</f>
        <v>0</v>
      </c>
      <c r="BB10" s="6">
        <f t="array" ref="BB10">IFERROR(INDEX(Datos_Consumo[CANTIDAD],MATCH(TABLATRANSFERENCIA[[#This Row],[CODIGO]]&amp;TABLATRANSFERENCIA[[#Headers],[2016-9]],Datos_Consumo[CODIGO]&amp;Datos_Consumo[FECHA_FORMATO],0)),0)</f>
        <v>0</v>
      </c>
      <c r="BC10" s="6">
        <f t="array" ref="BC10">IFERROR(INDEX(Datos_Consumo[CANTIDAD],MATCH(TABLATRANSFERENCIA[[#This Row],[CODIGO]]&amp;TABLATRANSFERENCIA[[#Headers],[Columna6]],Datos_Consumo[CODIGO]&amp;Datos_Consumo[FECHA_FORMATO],0)),0)</f>
        <v>0</v>
      </c>
      <c r="BD10" s="50">
        <v>1</v>
      </c>
      <c r="BE10" s="55">
        <v>1</v>
      </c>
      <c r="BF10" s="50" t="s">
        <v>2469</v>
      </c>
      <c r="BG10" s="51"/>
      <c r="BH10"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1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0" s="51"/>
      <c r="BN10" s="46">
        <f>IFERROR(TABLATRANSFERENCIA[[#This Row],[REQUERIM]]/TABLATRANSFERENCIA[[#This Row],[PEDIDO PROMEDIO]],0)</f>
        <v>0.33333333333333331</v>
      </c>
      <c r="BO10" s="51"/>
      <c r="BP10" s="63"/>
      <c r="BQ10" s="3">
        <f>IF(TABLATRANSFERENCIA[[#This Row],[RECIBIDO]]&lt;&gt;"",0,IF(TABLATRANSFERENCIA[[#This Row],[DESPACHO]]&lt;&gt;"",TABLATRANSFERENCIA[[#This Row],[DESPACHO]],TABLATRANSFERENCIA[[#This Row],[REQUERIM]]))</f>
        <v>1</v>
      </c>
      <c r="BR10" s="50"/>
      <c r="BS10" s="50"/>
      <c r="BT10" s="50" t="str">
        <f t="shared" ref="BT10:BT50" si="0">"N"</f>
        <v>N</v>
      </c>
      <c r="BU10" s="51">
        <f t="array" ref="BU10">IF(SUM(--(TABLATRANSFERENCIA[[#This Row],[CODIGO GENERICO]]=TABLATRANSFERENCIA[CODIGO GENERICO])*TABLATRANSFERENCIA[REQUERIM])&lt;TABLATRANSFERENCIA[[#This Row],[PEDIDO MIN GRUPO]],1,0)</f>
        <v>0</v>
      </c>
      <c r="BV10"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10" s="51">
        <v>3</v>
      </c>
      <c r="BX10" s="51">
        <v>2</v>
      </c>
    </row>
    <row r="11" spans="1:76" x14ac:dyDescent="0.25">
      <c r="A11" s="54" t="s">
        <v>1458</v>
      </c>
      <c r="B11" s="3" t="s">
        <v>1784</v>
      </c>
      <c r="C11" s="3" t="s">
        <v>1144</v>
      </c>
      <c r="D11" s="3" t="s">
        <v>1144</v>
      </c>
      <c r="E11" s="3">
        <v>0</v>
      </c>
      <c r="F11" s="3">
        <v>0</v>
      </c>
      <c r="G11" s="3">
        <v>0</v>
      </c>
      <c r="H11" s="3">
        <v>0</v>
      </c>
      <c r="I11" s="3" t="s">
        <v>1783</v>
      </c>
      <c r="J11" s="3">
        <v>0</v>
      </c>
      <c r="K11" s="3">
        <v>0</v>
      </c>
      <c r="L11" s="3" t="s">
        <v>1724</v>
      </c>
      <c r="M11" s="3">
        <v>0</v>
      </c>
      <c r="N11" s="3">
        <v>0</v>
      </c>
      <c r="O11" s="5" t="s">
        <v>1144</v>
      </c>
      <c r="P11" s="5">
        <v>738.79</v>
      </c>
      <c r="Q11" s="5">
        <v>1637.27</v>
      </c>
      <c r="R11" s="46">
        <v>0</v>
      </c>
      <c r="S11" s="46">
        <v>14.59</v>
      </c>
      <c r="T11" s="46">
        <v>0</v>
      </c>
      <c r="U11" s="46">
        <v>1</v>
      </c>
      <c r="V11" s="49" t="s">
        <v>1724</v>
      </c>
      <c r="W11" s="49" t="s">
        <v>1742</v>
      </c>
      <c r="X11" s="51">
        <v>2</v>
      </c>
      <c r="Y11" s="51">
        <v>2</v>
      </c>
      <c r="Z11" s="6">
        <v>3</v>
      </c>
      <c r="AA11" s="6">
        <v>1000000000</v>
      </c>
      <c r="AB11" s="6">
        <v>1</v>
      </c>
      <c r="AC11" s="4">
        <v>0.67</v>
      </c>
      <c r="AD11" s="6" t="s">
        <v>1146</v>
      </c>
      <c r="AE11" s="6">
        <v>0</v>
      </c>
      <c r="AF11" s="6">
        <v>0</v>
      </c>
      <c r="AG11" s="6">
        <v>0</v>
      </c>
      <c r="AH11" s="6">
        <v>0</v>
      </c>
      <c r="AI11" s="6">
        <v>0</v>
      </c>
      <c r="AJ11" s="6">
        <v>0</v>
      </c>
      <c r="AK11" s="6">
        <v>1</v>
      </c>
      <c r="AL11" s="4">
        <v>0.67</v>
      </c>
      <c r="AM11" s="6" t="s">
        <v>1146</v>
      </c>
      <c r="AN11" s="6">
        <v>0</v>
      </c>
      <c r="AO11" s="6">
        <v>0</v>
      </c>
      <c r="AP11" s="6">
        <v>0</v>
      </c>
      <c r="AQ11" s="6">
        <v>2</v>
      </c>
      <c r="AR11" s="6">
        <v>6.25</v>
      </c>
      <c r="AS11" s="6">
        <v>2.08</v>
      </c>
      <c r="AT11" s="6">
        <v>0</v>
      </c>
      <c r="AU11" s="6">
        <v>0</v>
      </c>
      <c r="AV11" s="62">
        <v>0</v>
      </c>
      <c r="AW11" s="62">
        <v>0</v>
      </c>
      <c r="AX11" s="6">
        <f t="array" ref="AX11">IFERROR(INDEX(Datos_Consumo[CANTIDAD],MATCH(TABLATRANSFERENCIA[[#This Row],[CODIGO]]&amp;TABLATRANSFERENCIA[[#Headers],[2016-5]],Datos_Consumo[CODIGO]&amp;Datos_Consumo[FECHA_FORMATO],0)),0)</f>
        <v>1</v>
      </c>
      <c r="AY11" s="6">
        <f t="array" ref="AY11">IFERROR(INDEX(Datos_Consumo[CANTIDAD],MATCH(TABLATRANSFERENCIA[[#This Row],[CODIGO]]&amp;TABLATRANSFERENCIA[[#Headers],[2016-6]],Datos_Consumo[CODIGO]&amp;Datos_Consumo[FECHA_FORMATO],0)),0)</f>
        <v>1</v>
      </c>
      <c r="AZ11" s="6">
        <f t="array" ref="AZ11">IFERROR(INDEX(Datos_Consumo[CANTIDAD],MATCH(TABLATRANSFERENCIA[[#This Row],[CODIGO]]&amp;TABLATRANSFERENCIA[[#Headers],[2016-7]],Datos_Consumo[CODIGO]&amp;Datos_Consumo[FECHA_FORMATO],0)),0)</f>
        <v>0</v>
      </c>
      <c r="BA11" s="6">
        <f t="array" ref="BA11">IFERROR(INDEX(Datos_Consumo[CANTIDAD],MATCH(TABLATRANSFERENCIA[[#This Row],[CODIGO]]&amp;TABLATRANSFERENCIA[[#Headers],[2016-8]],Datos_Consumo[CODIGO]&amp;Datos_Consumo[FECHA_FORMATO],0)),0)</f>
        <v>1</v>
      </c>
      <c r="BB11" s="6">
        <f t="array" ref="BB11">IFERROR(INDEX(Datos_Consumo[CANTIDAD],MATCH(TABLATRANSFERENCIA[[#This Row],[CODIGO]]&amp;TABLATRANSFERENCIA[[#Headers],[2016-9]],Datos_Consumo[CODIGO]&amp;Datos_Consumo[FECHA_FORMATO],0)),0)</f>
        <v>0</v>
      </c>
      <c r="BC11" s="6">
        <f t="array" ref="BC11">IFERROR(INDEX(Datos_Consumo[CANTIDAD],MATCH(TABLATRANSFERENCIA[[#This Row],[CODIGO]]&amp;TABLATRANSFERENCIA[[#Headers],[Columna6]],Datos_Consumo[CODIGO]&amp;Datos_Consumo[FECHA_FORMATO],0)),0)</f>
        <v>0</v>
      </c>
      <c r="BD11" s="50">
        <v>2</v>
      </c>
      <c r="BE11" s="55">
        <v>2</v>
      </c>
      <c r="BF11" s="50" t="s">
        <v>2469</v>
      </c>
      <c r="BG11" s="51"/>
      <c r="BH11" s="51">
        <f>IF(RIGHT(TABLATRANSFERENCIA[[#Headers],[Emb1]],1)*1&lt;=TABLATRANSFERENCIA[[#This Row],[EMBARQUES]],IF(ISBLANK(TABLATRANSFERENCIA[[#This Row],[EMBARQUES]]),TABLATRANSFERENCIA[[#This Row],[REQUERIM]],ROUND(TABLATRANSFERENCIA[[#This Row],[REQUERIM]]/TABLATRANSFERENCIA[[#This Row],[EMBARQUES]],0)),TABLATRANSFERENCIA[[#This Row],[REQUERIM]])</f>
        <v>2</v>
      </c>
      <c r="BI1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1" s="51"/>
      <c r="BN11" s="46">
        <f>IFERROR(TABLATRANSFERENCIA[[#This Row],[REQUERIM]]/TABLATRANSFERENCIA[[#This Row],[PEDIDO PROMEDIO]],0)</f>
        <v>1</v>
      </c>
      <c r="BO11" s="51"/>
      <c r="BP11" s="63"/>
      <c r="BQ11" s="3">
        <f>IF(TABLATRANSFERENCIA[[#This Row],[RECIBIDO]]&lt;&gt;"",0,IF(TABLATRANSFERENCIA[[#This Row],[DESPACHO]]&lt;&gt;"",TABLATRANSFERENCIA[[#This Row],[DESPACHO]],TABLATRANSFERENCIA[[#This Row],[REQUERIM]]))</f>
        <v>2</v>
      </c>
      <c r="BR11" s="50"/>
      <c r="BS11" s="50"/>
      <c r="BT11" s="50" t="str">
        <f t="shared" si="0"/>
        <v>N</v>
      </c>
      <c r="BU11" s="51">
        <f t="array" ref="BU11">IF(SUM(--(TABLATRANSFERENCIA[[#This Row],[CODIGO GENERICO]]=TABLATRANSFERENCIA[CODIGO GENERICO])*TABLATRANSFERENCIA[REQUERIM])&lt;TABLATRANSFERENCIA[[#This Row],[PEDIDO MIN GRUPO]],1,0)</f>
        <v>0</v>
      </c>
      <c r="BV11"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11" s="51">
        <v>2</v>
      </c>
      <c r="BX11" s="51">
        <v>1</v>
      </c>
    </row>
    <row r="12" spans="1:76" x14ac:dyDescent="0.25">
      <c r="A12" s="54" t="s">
        <v>1726</v>
      </c>
      <c r="B12" s="3" t="s">
        <v>1786</v>
      </c>
      <c r="C12" s="3" t="s">
        <v>1144</v>
      </c>
      <c r="D12" s="3" t="s">
        <v>1144</v>
      </c>
      <c r="E12" s="3">
        <v>0</v>
      </c>
      <c r="F12" s="3">
        <v>0</v>
      </c>
      <c r="G12" s="3">
        <v>0</v>
      </c>
      <c r="H12" s="3">
        <v>0</v>
      </c>
      <c r="I12" s="3" t="s">
        <v>1783</v>
      </c>
      <c r="J12" s="3">
        <v>0</v>
      </c>
      <c r="K12" s="3">
        <v>0</v>
      </c>
      <c r="L12" s="3" t="s">
        <v>1724</v>
      </c>
      <c r="M12" s="3">
        <v>0</v>
      </c>
      <c r="N12" s="3">
        <v>0</v>
      </c>
      <c r="O12" s="5" t="s">
        <v>1144</v>
      </c>
      <c r="P12" s="5">
        <v>712.41</v>
      </c>
      <c r="Q12" s="5">
        <v>1637.27</v>
      </c>
      <c r="R12" s="46">
        <v>0</v>
      </c>
      <c r="S12" s="46">
        <v>15.58</v>
      </c>
      <c r="T12" s="46">
        <v>0</v>
      </c>
      <c r="U12" s="46">
        <v>1</v>
      </c>
      <c r="V12" s="49" t="s">
        <v>1724</v>
      </c>
      <c r="W12" s="49" t="s">
        <v>1742</v>
      </c>
      <c r="X12" s="51">
        <v>2</v>
      </c>
      <c r="Y12" s="51">
        <v>2</v>
      </c>
      <c r="Z12" s="6">
        <v>1</v>
      </c>
      <c r="AA12" s="6">
        <v>1000000000</v>
      </c>
      <c r="AB12" s="6">
        <v>0</v>
      </c>
      <c r="AC12" s="4">
        <v>1</v>
      </c>
      <c r="AD12" s="6" t="s">
        <v>838</v>
      </c>
      <c r="AE12" s="6">
        <v>0</v>
      </c>
      <c r="AF12" s="6">
        <v>0</v>
      </c>
      <c r="AG12" s="6">
        <v>0</v>
      </c>
      <c r="AH12" s="6">
        <v>0</v>
      </c>
      <c r="AI12" s="6">
        <v>0</v>
      </c>
      <c r="AJ12" s="6">
        <v>0</v>
      </c>
      <c r="AK12" s="6">
        <v>0</v>
      </c>
      <c r="AL12" s="4">
        <v>1</v>
      </c>
      <c r="AM12" s="6" t="s">
        <v>838</v>
      </c>
      <c r="AN12" s="6">
        <v>0</v>
      </c>
      <c r="AO12" s="6">
        <v>0</v>
      </c>
      <c r="AP12" s="6">
        <v>0</v>
      </c>
      <c r="AQ12" s="6">
        <v>1</v>
      </c>
      <c r="AR12" s="6">
        <v>0</v>
      </c>
      <c r="AS12" s="6">
        <v>0</v>
      </c>
      <c r="AT12" s="6">
        <v>0</v>
      </c>
      <c r="AU12" s="6">
        <v>20</v>
      </c>
      <c r="AV12" s="62">
        <v>0</v>
      </c>
      <c r="AW12" s="62">
        <v>0</v>
      </c>
      <c r="AX12" s="6">
        <f t="array" ref="AX12">IFERROR(INDEX(Datos_Consumo[CANTIDAD],MATCH(TABLATRANSFERENCIA[[#This Row],[CODIGO]]&amp;TABLATRANSFERENCIA[[#Headers],[2016-5]],Datos_Consumo[CODIGO]&amp;Datos_Consumo[FECHA_FORMATO],0)),0)</f>
        <v>0</v>
      </c>
      <c r="AY12" s="6">
        <f t="array" ref="AY12">IFERROR(INDEX(Datos_Consumo[CANTIDAD],MATCH(TABLATRANSFERENCIA[[#This Row],[CODIGO]]&amp;TABLATRANSFERENCIA[[#Headers],[2016-6]],Datos_Consumo[CODIGO]&amp;Datos_Consumo[FECHA_FORMATO],0)),0)</f>
        <v>0</v>
      </c>
      <c r="AZ12" s="6">
        <f t="array" ref="AZ12">IFERROR(INDEX(Datos_Consumo[CANTIDAD],MATCH(TABLATRANSFERENCIA[[#This Row],[CODIGO]]&amp;TABLATRANSFERENCIA[[#Headers],[2016-7]],Datos_Consumo[CODIGO]&amp;Datos_Consumo[FECHA_FORMATO],0)),0)</f>
        <v>0</v>
      </c>
      <c r="BA12" s="6">
        <f t="array" ref="BA12">IFERROR(INDEX(Datos_Consumo[CANTIDAD],MATCH(TABLATRANSFERENCIA[[#This Row],[CODIGO]]&amp;TABLATRANSFERENCIA[[#Headers],[2016-8]],Datos_Consumo[CODIGO]&amp;Datos_Consumo[FECHA_FORMATO],0)),0)</f>
        <v>0</v>
      </c>
      <c r="BB12" s="6">
        <f t="array" ref="BB12">IFERROR(INDEX(Datos_Consumo[CANTIDAD],MATCH(TABLATRANSFERENCIA[[#This Row],[CODIGO]]&amp;TABLATRANSFERENCIA[[#Headers],[2016-9]],Datos_Consumo[CODIGO]&amp;Datos_Consumo[FECHA_FORMATO],0)),0)</f>
        <v>0</v>
      </c>
      <c r="BC12" s="6">
        <f t="array" ref="BC12">IFERROR(INDEX(Datos_Consumo[CANTIDAD],MATCH(TABLATRANSFERENCIA[[#This Row],[CODIGO]]&amp;TABLATRANSFERENCIA[[#Headers],[Columna6]],Datos_Consumo[CODIGO]&amp;Datos_Consumo[FECHA_FORMATO],0)),0)</f>
        <v>0</v>
      </c>
      <c r="BD12" s="50">
        <v>1</v>
      </c>
      <c r="BE12" s="55">
        <v>1</v>
      </c>
      <c r="BF12" s="50" t="s">
        <v>2469</v>
      </c>
      <c r="BG12" s="51"/>
      <c r="BH12"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1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2" s="51"/>
      <c r="BN12" s="46">
        <f>IFERROR(TABLATRANSFERENCIA[[#This Row],[REQUERIM]]/TABLATRANSFERENCIA[[#This Row],[PEDIDO PROMEDIO]],0)</f>
        <v>1</v>
      </c>
      <c r="BO12" s="51"/>
      <c r="BP12" s="63"/>
      <c r="BQ12" s="3">
        <f>IF(TABLATRANSFERENCIA[[#This Row],[RECIBIDO]]&lt;&gt;"",0,IF(TABLATRANSFERENCIA[[#This Row],[DESPACHO]]&lt;&gt;"",TABLATRANSFERENCIA[[#This Row],[DESPACHO]],TABLATRANSFERENCIA[[#This Row],[REQUERIM]]))</f>
        <v>1</v>
      </c>
      <c r="BR12" s="50"/>
      <c r="BS12" s="50"/>
      <c r="BT12" s="50" t="str">
        <f t="shared" si="0"/>
        <v>N</v>
      </c>
      <c r="BU12" s="51">
        <f t="array" ref="BU12">IF(SUM(--(TABLATRANSFERENCIA[[#This Row],[CODIGO GENERICO]]=TABLATRANSFERENCIA[CODIGO GENERICO])*TABLATRANSFERENCIA[REQUERIM])&lt;TABLATRANSFERENCIA[[#This Row],[PEDIDO MIN GRUPO]],1,0)</f>
        <v>0</v>
      </c>
      <c r="BV12"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W12" s="51">
        <v>1</v>
      </c>
      <c r="BX12" s="51">
        <v>0.5</v>
      </c>
    </row>
    <row r="13" spans="1:76" x14ac:dyDescent="0.25">
      <c r="A13" s="54" t="s">
        <v>1727</v>
      </c>
      <c r="B13" s="3" t="s">
        <v>1787</v>
      </c>
      <c r="C13" s="3" t="s">
        <v>1144</v>
      </c>
      <c r="D13" s="3" t="s">
        <v>1144</v>
      </c>
      <c r="E13" s="3">
        <v>0</v>
      </c>
      <c r="F13" s="3">
        <v>0</v>
      </c>
      <c r="G13" s="3">
        <v>0</v>
      </c>
      <c r="H13" s="3">
        <v>0</v>
      </c>
      <c r="I13" s="3" t="s">
        <v>1783</v>
      </c>
      <c r="J13" s="3">
        <v>0</v>
      </c>
      <c r="K13" s="3">
        <v>0</v>
      </c>
      <c r="L13" s="3" t="s">
        <v>1724</v>
      </c>
      <c r="M13" s="3">
        <v>0</v>
      </c>
      <c r="N13" s="3">
        <v>0</v>
      </c>
      <c r="O13" s="5" t="s">
        <v>1144</v>
      </c>
      <c r="P13" s="5">
        <v>749.27</v>
      </c>
      <c r="Q13" s="5">
        <v>1637.27</v>
      </c>
      <c r="R13" s="46">
        <v>0</v>
      </c>
      <c r="S13" s="46">
        <v>14.22</v>
      </c>
      <c r="T13" s="46">
        <v>0</v>
      </c>
      <c r="U13" s="46">
        <v>1</v>
      </c>
      <c r="V13" s="49" t="s">
        <v>1724</v>
      </c>
      <c r="W13" s="49" t="s">
        <v>1742</v>
      </c>
      <c r="X13" s="51">
        <v>2</v>
      </c>
      <c r="Y13" s="51">
        <v>2</v>
      </c>
      <c r="Z13" s="6">
        <v>1</v>
      </c>
      <c r="AA13" s="6">
        <v>1000000000</v>
      </c>
      <c r="AB13" s="6">
        <v>0</v>
      </c>
      <c r="AC13" s="4">
        <v>1</v>
      </c>
      <c r="AD13" s="6" t="s">
        <v>838</v>
      </c>
      <c r="AE13" s="6">
        <v>0</v>
      </c>
      <c r="AF13" s="6">
        <v>0</v>
      </c>
      <c r="AG13" s="6">
        <v>0</v>
      </c>
      <c r="AH13" s="6">
        <v>0</v>
      </c>
      <c r="AI13" s="6">
        <v>0</v>
      </c>
      <c r="AJ13" s="6">
        <v>0</v>
      </c>
      <c r="AK13" s="6">
        <v>0</v>
      </c>
      <c r="AL13" s="4">
        <v>1</v>
      </c>
      <c r="AM13" s="6" t="s">
        <v>838</v>
      </c>
      <c r="AN13" s="6">
        <v>0</v>
      </c>
      <c r="AO13" s="6">
        <v>0</v>
      </c>
      <c r="AP13" s="6">
        <v>0</v>
      </c>
      <c r="AQ13" s="6">
        <v>1</v>
      </c>
      <c r="AR13" s="6">
        <v>0</v>
      </c>
      <c r="AS13" s="6">
        <v>0</v>
      </c>
      <c r="AT13" s="6">
        <v>0</v>
      </c>
      <c r="AU13" s="6">
        <v>20</v>
      </c>
      <c r="AV13" s="62">
        <v>0</v>
      </c>
      <c r="AW13" s="62">
        <v>0</v>
      </c>
      <c r="AX13" s="6">
        <f t="array" ref="AX13">IFERROR(INDEX(Datos_Consumo[CANTIDAD],MATCH(TABLATRANSFERENCIA[[#This Row],[CODIGO]]&amp;TABLATRANSFERENCIA[[#Headers],[2016-5]],Datos_Consumo[CODIGO]&amp;Datos_Consumo[FECHA_FORMATO],0)),0)</f>
        <v>0</v>
      </c>
      <c r="AY13" s="6">
        <f t="array" ref="AY13">IFERROR(INDEX(Datos_Consumo[CANTIDAD],MATCH(TABLATRANSFERENCIA[[#This Row],[CODIGO]]&amp;TABLATRANSFERENCIA[[#Headers],[2016-6]],Datos_Consumo[CODIGO]&amp;Datos_Consumo[FECHA_FORMATO],0)),0)</f>
        <v>0</v>
      </c>
      <c r="AZ13" s="6">
        <f t="array" ref="AZ13">IFERROR(INDEX(Datos_Consumo[CANTIDAD],MATCH(TABLATRANSFERENCIA[[#This Row],[CODIGO]]&amp;TABLATRANSFERENCIA[[#Headers],[2016-7]],Datos_Consumo[CODIGO]&amp;Datos_Consumo[FECHA_FORMATO],0)),0)</f>
        <v>0</v>
      </c>
      <c r="BA13" s="6">
        <f t="array" ref="BA13">IFERROR(INDEX(Datos_Consumo[CANTIDAD],MATCH(TABLATRANSFERENCIA[[#This Row],[CODIGO]]&amp;TABLATRANSFERENCIA[[#Headers],[2016-8]],Datos_Consumo[CODIGO]&amp;Datos_Consumo[FECHA_FORMATO],0)),0)</f>
        <v>0</v>
      </c>
      <c r="BB13" s="6">
        <f t="array" ref="BB13">IFERROR(INDEX(Datos_Consumo[CANTIDAD],MATCH(TABLATRANSFERENCIA[[#This Row],[CODIGO]]&amp;TABLATRANSFERENCIA[[#Headers],[2016-9]],Datos_Consumo[CODIGO]&amp;Datos_Consumo[FECHA_FORMATO],0)),0)</f>
        <v>0</v>
      </c>
      <c r="BC13" s="6">
        <f t="array" ref="BC13">IFERROR(INDEX(Datos_Consumo[CANTIDAD],MATCH(TABLATRANSFERENCIA[[#This Row],[CODIGO]]&amp;TABLATRANSFERENCIA[[#Headers],[Columna6]],Datos_Consumo[CODIGO]&amp;Datos_Consumo[FECHA_FORMATO],0)),0)</f>
        <v>0</v>
      </c>
      <c r="BD13" s="50">
        <v>1</v>
      </c>
      <c r="BE13" s="55">
        <v>1</v>
      </c>
      <c r="BF13" s="50" t="s">
        <v>2469</v>
      </c>
      <c r="BG13" s="51"/>
      <c r="BH13"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1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3" s="51"/>
      <c r="BN13" s="46">
        <f>IFERROR(TABLATRANSFERENCIA[[#This Row],[REQUERIM]]/TABLATRANSFERENCIA[[#This Row],[PEDIDO PROMEDIO]],0)</f>
        <v>1</v>
      </c>
      <c r="BO13" s="51"/>
      <c r="BP13" s="63"/>
      <c r="BQ13" s="3">
        <f>IF(TABLATRANSFERENCIA[[#This Row],[RECIBIDO]]&lt;&gt;"",0,IF(TABLATRANSFERENCIA[[#This Row],[DESPACHO]]&lt;&gt;"",TABLATRANSFERENCIA[[#This Row],[DESPACHO]],TABLATRANSFERENCIA[[#This Row],[REQUERIM]]))</f>
        <v>1</v>
      </c>
      <c r="BR13" s="50"/>
      <c r="BS13" s="50"/>
      <c r="BT13" s="50" t="str">
        <f t="shared" si="0"/>
        <v>N</v>
      </c>
      <c r="BU13" s="51">
        <f t="array" ref="BU13">IF(SUM(--(TABLATRANSFERENCIA[[#This Row],[CODIGO GENERICO]]=TABLATRANSFERENCIA[CODIGO GENERICO])*TABLATRANSFERENCIA[REQUERIM])&lt;TABLATRANSFERENCIA[[#This Row],[PEDIDO MIN GRUPO]],1,0)</f>
        <v>0</v>
      </c>
      <c r="BV13"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W13" s="51">
        <v>1</v>
      </c>
      <c r="BX13" s="51">
        <v>0.5</v>
      </c>
    </row>
    <row r="14" spans="1:76" x14ac:dyDescent="0.25">
      <c r="A14" s="54" t="s">
        <v>1384</v>
      </c>
      <c r="B14" s="3" t="s">
        <v>1817</v>
      </c>
      <c r="C14" s="3" t="s">
        <v>1144</v>
      </c>
      <c r="D14" s="3" t="s">
        <v>1144</v>
      </c>
      <c r="E14" s="3">
        <v>0</v>
      </c>
      <c r="F14" s="3">
        <v>0</v>
      </c>
      <c r="G14" s="3">
        <v>0</v>
      </c>
      <c r="H14" s="3">
        <v>0</v>
      </c>
      <c r="I14" s="3" t="s">
        <v>1783</v>
      </c>
      <c r="J14" s="3">
        <v>0</v>
      </c>
      <c r="K14" s="3">
        <v>0</v>
      </c>
      <c r="L14" s="3" t="s">
        <v>1724</v>
      </c>
      <c r="M14" s="3">
        <v>0</v>
      </c>
      <c r="N14" s="3">
        <v>0</v>
      </c>
      <c r="O14" s="5" t="s">
        <v>1144</v>
      </c>
      <c r="P14" s="5">
        <v>760.94</v>
      </c>
      <c r="Q14" s="5">
        <v>1637.27</v>
      </c>
      <c r="R14" s="46">
        <v>0</v>
      </c>
      <c r="S14" s="46">
        <v>13.82</v>
      </c>
      <c r="T14" s="46">
        <v>0</v>
      </c>
      <c r="U14" s="46">
        <v>1</v>
      </c>
      <c r="V14" s="49" t="s">
        <v>1724</v>
      </c>
      <c r="W14" s="49" t="s">
        <v>1742</v>
      </c>
      <c r="X14" s="51">
        <v>2</v>
      </c>
      <c r="Y14" s="51">
        <v>2</v>
      </c>
      <c r="Z14" s="6">
        <v>3</v>
      </c>
      <c r="AA14" s="6">
        <v>1000000000</v>
      </c>
      <c r="AB14" s="6">
        <v>1</v>
      </c>
      <c r="AC14" s="4">
        <v>0.67</v>
      </c>
      <c r="AD14" s="6" t="s">
        <v>1146</v>
      </c>
      <c r="AE14" s="6">
        <v>0</v>
      </c>
      <c r="AF14" s="6">
        <v>0</v>
      </c>
      <c r="AG14" s="6">
        <v>0</v>
      </c>
      <c r="AH14" s="6">
        <v>0</v>
      </c>
      <c r="AI14" s="6">
        <v>0</v>
      </c>
      <c r="AJ14" s="6">
        <v>0</v>
      </c>
      <c r="AK14" s="6">
        <v>1</v>
      </c>
      <c r="AL14" s="4">
        <v>0.67</v>
      </c>
      <c r="AM14" s="6" t="s">
        <v>1146</v>
      </c>
      <c r="AN14" s="6">
        <v>0</v>
      </c>
      <c r="AO14" s="6">
        <v>0</v>
      </c>
      <c r="AP14" s="6">
        <v>0</v>
      </c>
      <c r="AQ14" s="6">
        <v>2</v>
      </c>
      <c r="AR14" s="6">
        <v>4.6900000000000004</v>
      </c>
      <c r="AS14" s="6">
        <v>1.56</v>
      </c>
      <c r="AT14" s="6">
        <v>0</v>
      </c>
      <c r="AU14" s="6">
        <v>0</v>
      </c>
      <c r="AV14" s="62">
        <v>0</v>
      </c>
      <c r="AW14" s="62">
        <v>0</v>
      </c>
      <c r="AX14" s="6">
        <f t="array" ref="AX14">IFERROR(INDEX(Datos_Consumo[CANTIDAD],MATCH(TABLATRANSFERENCIA[[#This Row],[CODIGO]]&amp;TABLATRANSFERENCIA[[#Headers],[2016-5]],Datos_Consumo[CODIGO]&amp;Datos_Consumo[FECHA_FORMATO],0)),0)</f>
        <v>1</v>
      </c>
      <c r="AY14" s="6">
        <f t="array" ref="AY14">IFERROR(INDEX(Datos_Consumo[CANTIDAD],MATCH(TABLATRANSFERENCIA[[#This Row],[CODIGO]]&amp;TABLATRANSFERENCIA[[#Headers],[2016-6]],Datos_Consumo[CODIGO]&amp;Datos_Consumo[FECHA_FORMATO],0)),0)</f>
        <v>0</v>
      </c>
      <c r="AZ14" s="6">
        <f t="array" ref="AZ14">IFERROR(INDEX(Datos_Consumo[CANTIDAD],MATCH(TABLATRANSFERENCIA[[#This Row],[CODIGO]]&amp;TABLATRANSFERENCIA[[#Headers],[2016-7]],Datos_Consumo[CODIGO]&amp;Datos_Consumo[FECHA_FORMATO],0)),0)</f>
        <v>0</v>
      </c>
      <c r="BA14" s="6">
        <f t="array" ref="BA14">IFERROR(INDEX(Datos_Consumo[CANTIDAD],MATCH(TABLATRANSFERENCIA[[#This Row],[CODIGO]]&amp;TABLATRANSFERENCIA[[#Headers],[2016-8]],Datos_Consumo[CODIGO]&amp;Datos_Consumo[FECHA_FORMATO],0)),0)</f>
        <v>1</v>
      </c>
      <c r="BB14" s="6">
        <f t="array" ref="BB14">IFERROR(INDEX(Datos_Consumo[CANTIDAD],MATCH(TABLATRANSFERENCIA[[#This Row],[CODIGO]]&amp;TABLATRANSFERENCIA[[#Headers],[2016-9]],Datos_Consumo[CODIGO]&amp;Datos_Consumo[FECHA_FORMATO],0)),0)</f>
        <v>0</v>
      </c>
      <c r="BC14" s="6">
        <f t="array" ref="BC14">IFERROR(INDEX(Datos_Consumo[CANTIDAD],MATCH(TABLATRANSFERENCIA[[#This Row],[CODIGO]]&amp;TABLATRANSFERENCIA[[#Headers],[Columna6]],Datos_Consumo[CODIGO]&amp;Datos_Consumo[FECHA_FORMATO],0)),0)</f>
        <v>0</v>
      </c>
      <c r="BD14" s="50">
        <v>2</v>
      </c>
      <c r="BE14" s="55">
        <v>2</v>
      </c>
      <c r="BF14" s="50" t="s">
        <v>2469</v>
      </c>
      <c r="BG14" s="51"/>
      <c r="BH14" s="51">
        <f>IF(RIGHT(TABLATRANSFERENCIA[[#Headers],[Emb1]],1)*1&lt;=TABLATRANSFERENCIA[[#This Row],[EMBARQUES]],IF(ISBLANK(TABLATRANSFERENCIA[[#This Row],[EMBARQUES]]),TABLATRANSFERENCIA[[#This Row],[REQUERIM]],ROUND(TABLATRANSFERENCIA[[#This Row],[REQUERIM]]/TABLATRANSFERENCIA[[#This Row],[EMBARQUES]],0)),TABLATRANSFERENCIA[[#This Row],[REQUERIM]])</f>
        <v>2</v>
      </c>
      <c r="BI1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4" s="51"/>
      <c r="BN14" s="46">
        <f>IFERROR(TABLATRANSFERENCIA[[#This Row],[REQUERIM]]/TABLATRANSFERENCIA[[#This Row],[PEDIDO PROMEDIO]],0)</f>
        <v>1</v>
      </c>
      <c r="BO14" s="51"/>
      <c r="BP14" s="63"/>
      <c r="BQ14" s="3">
        <f>IF(TABLATRANSFERENCIA[[#This Row],[RECIBIDO]]&lt;&gt;"",0,IF(TABLATRANSFERENCIA[[#This Row],[DESPACHO]]&lt;&gt;"",TABLATRANSFERENCIA[[#This Row],[DESPACHO]],TABLATRANSFERENCIA[[#This Row],[REQUERIM]]))</f>
        <v>2</v>
      </c>
      <c r="BR14" s="50"/>
      <c r="BS14" s="50"/>
      <c r="BT14" s="50" t="str">
        <f t="shared" si="0"/>
        <v>N</v>
      </c>
      <c r="BU14" s="51">
        <f t="array" ref="BU14">IF(SUM(--(TABLATRANSFERENCIA[[#This Row],[CODIGO GENERICO]]=TABLATRANSFERENCIA[CODIGO GENERICO])*TABLATRANSFERENCIA[REQUERIM])&lt;TABLATRANSFERENCIA[[#This Row],[PEDIDO MIN GRUPO]],1,0)</f>
        <v>0</v>
      </c>
      <c r="BV14"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14" s="51">
        <v>2</v>
      </c>
      <c r="BX14" s="51">
        <v>1</v>
      </c>
    </row>
    <row r="15" spans="1:76" x14ac:dyDescent="0.25">
      <c r="A15" s="54" t="s">
        <v>1819</v>
      </c>
      <c r="B15" s="3" t="s">
        <v>1820</v>
      </c>
      <c r="C15" s="3" t="s">
        <v>1144</v>
      </c>
      <c r="D15" s="3" t="s">
        <v>1144</v>
      </c>
      <c r="E15" s="3">
        <v>0</v>
      </c>
      <c r="F15" s="3">
        <v>0</v>
      </c>
      <c r="G15" s="3">
        <v>0</v>
      </c>
      <c r="H15" s="3">
        <v>0</v>
      </c>
      <c r="I15" s="3" t="s">
        <v>1783</v>
      </c>
      <c r="J15" s="3">
        <v>0</v>
      </c>
      <c r="K15" s="3">
        <v>0</v>
      </c>
      <c r="L15" s="3" t="s">
        <v>1724</v>
      </c>
      <c r="M15" s="3">
        <v>0</v>
      </c>
      <c r="N15" s="3">
        <v>0</v>
      </c>
      <c r="O15" s="5" t="s">
        <v>1144</v>
      </c>
      <c r="P15" s="5">
        <v>734.06</v>
      </c>
      <c r="Q15" s="5">
        <v>1637.27</v>
      </c>
      <c r="R15" s="46">
        <v>0</v>
      </c>
      <c r="S15" s="46">
        <v>14.77</v>
      </c>
      <c r="T15" s="46">
        <v>0</v>
      </c>
      <c r="U15" s="46">
        <v>1</v>
      </c>
      <c r="V15" s="49" t="s">
        <v>1724</v>
      </c>
      <c r="W15" s="49" t="s">
        <v>1742</v>
      </c>
      <c r="X15" s="51">
        <v>2</v>
      </c>
      <c r="Y15" s="51">
        <v>2</v>
      </c>
      <c r="Z15" s="6">
        <v>3</v>
      </c>
      <c r="AA15" s="6">
        <v>1000000000</v>
      </c>
      <c r="AB15" s="6">
        <v>2</v>
      </c>
      <c r="AC15" s="4">
        <v>0.33</v>
      </c>
      <c r="AD15" s="6" t="s">
        <v>1145</v>
      </c>
      <c r="AE15" s="6">
        <v>0</v>
      </c>
      <c r="AF15" s="6">
        <v>0</v>
      </c>
      <c r="AG15" s="6">
        <v>0</v>
      </c>
      <c r="AH15" s="6">
        <v>0</v>
      </c>
      <c r="AI15" s="6">
        <v>0</v>
      </c>
      <c r="AJ15" s="6">
        <v>0</v>
      </c>
      <c r="AK15" s="6">
        <v>2</v>
      </c>
      <c r="AL15" s="4">
        <v>0.33</v>
      </c>
      <c r="AM15" s="6" t="s">
        <v>1145</v>
      </c>
      <c r="AN15" s="6">
        <v>0</v>
      </c>
      <c r="AO15" s="6">
        <v>0</v>
      </c>
      <c r="AP15" s="6">
        <v>0</v>
      </c>
      <c r="AQ15" s="6">
        <v>2</v>
      </c>
      <c r="AR15" s="6">
        <v>18.75</v>
      </c>
      <c r="AS15" s="6">
        <v>12.5</v>
      </c>
      <c r="AT15" s="6">
        <v>0</v>
      </c>
      <c r="AU15" s="6">
        <v>0</v>
      </c>
      <c r="AV15" s="62">
        <v>0</v>
      </c>
      <c r="AW15" s="62">
        <v>0</v>
      </c>
      <c r="AX15" s="6">
        <f t="array" ref="AX15">IFERROR(INDEX(Datos_Consumo[CANTIDAD],MATCH(TABLATRANSFERENCIA[[#This Row],[CODIGO]]&amp;TABLATRANSFERENCIA[[#Headers],[2016-5]],Datos_Consumo[CODIGO]&amp;Datos_Consumo[FECHA_FORMATO],0)),0)</f>
        <v>0</v>
      </c>
      <c r="AY15" s="6">
        <f t="array" ref="AY15">IFERROR(INDEX(Datos_Consumo[CANTIDAD],MATCH(TABLATRANSFERENCIA[[#This Row],[CODIGO]]&amp;TABLATRANSFERENCIA[[#Headers],[2016-6]],Datos_Consumo[CODIGO]&amp;Datos_Consumo[FECHA_FORMATO],0)),0)</f>
        <v>0</v>
      </c>
      <c r="AZ15" s="6">
        <f t="array" ref="AZ15">IFERROR(INDEX(Datos_Consumo[CANTIDAD],MATCH(TABLATRANSFERENCIA[[#This Row],[CODIGO]]&amp;TABLATRANSFERENCIA[[#Headers],[2016-7]],Datos_Consumo[CODIGO]&amp;Datos_Consumo[FECHA_FORMATO],0)),0)</f>
        <v>1</v>
      </c>
      <c r="BA15" s="6">
        <f t="array" ref="BA15">IFERROR(INDEX(Datos_Consumo[CANTIDAD],MATCH(TABLATRANSFERENCIA[[#This Row],[CODIGO]]&amp;TABLATRANSFERENCIA[[#Headers],[2016-8]],Datos_Consumo[CODIGO]&amp;Datos_Consumo[FECHA_FORMATO],0)),0)</f>
        <v>0</v>
      </c>
      <c r="BB15" s="6">
        <f t="array" ref="BB15">IFERROR(INDEX(Datos_Consumo[CANTIDAD],MATCH(TABLATRANSFERENCIA[[#This Row],[CODIGO]]&amp;TABLATRANSFERENCIA[[#Headers],[2016-9]],Datos_Consumo[CODIGO]&amp;Datos_Consumo[FECHA_FORMATO],0)),0)</f>
        <v>0</v>
      </c>
      <c r="BC15" s="6">
        <f t="array" ref="BC15">IFERROR(INDEX(Datos_Consumo[CANTIDAD],MATCH(TABLATRANSFERENCIA[[#This Row],[CODIGO]]&amp;TABLATRANSFERENCIA[[#Headers],[Columna6]],Datos_Consumo[CODIGO]&amp;Datos_Consumo[FECHA_FORMATO],0)),0)</f>
        <v>0</v>
      </c>
      <c r="BD15" s="50">
        <v>1</v>
      </c>
      <c r="BE15" s="55">
        <v>1</v>
      </c>
      <c r="BF15" s="50" t="s">
        <v>2469</v>
      </c>
      <c r="BG15" s="51"/>
      <c r="BH15"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1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5" s="51"/>
      <c r="BN15" s="46">
        <f>IFERROR(TABLATRANSFERENCIA[[#This Row],[REQUERIM]]/TABLATRANSFERENCIA[[#This Row],[PEDIDO PROMEDIO]],0)</f>
        <v>0.5</v>
      </c>
      <c r="BO15" s="51"/>
      <c r="BP15" s="63"/>
      <c r="BQ15" s="3">
        <f>IF(TABLATRANSFERENCIA[[#This Row],[RECIBIDO]]&lt;&gt;"",0,IF(TABLATRANSFERENCIA[[#This Row],[DESPACHO]]&lt;&gt;"",TABLATRANSFERENCIA[[#This Row],[DESPACHO]],TABLATRANSFERENCIA[[#This Row],[REQUERIM]]))</f>
        <v>1</v>
      </c>
      <c r="BR15" s="50"/>
      <c r="BS15" s="50"/>
      <c r="BT15" s="50" t="str">
        <f t="shared" si="0"/>
        <v>N</v>
      </c>
      <c r="BU15" s="51">
        <f t="array" ref="BU15">IF(SUM(--(TABLATRANSFERENCIA[[#This Row],[CODIGO GENERICO]]=TABLATRANSFERENCIA[CODIGO GENERICO])*TABLATRANSFERENCIA[REQUERIM])&lt;TABLATRANSFERENCIA[[#This Row],[PEDIDO MIN GRUPO]],1,0)</f>
        <v>0</v>
      </c>
      <c r="BV15"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15" s="51">
        <v>2</v>
      </c>
      <c r="BX15" s="51">
        <v>1</v>
      </c>
    </row>
    <row r="16" spans="1:76" x14ac:dyDescent="0.25">
      <c r="A16" s="54" t="s">
        <v>1387</v>
      </c>
      <c r="B16" s="3" t="s">
        <v>1823</v>
      </c>
      <c r="C16" s="3" t="s">
        <v>1144</v>
      </c>
      <c r="D16" s="3" t="s">
        <v>1144</v>
      </c>
      <c r="E16" s="3">
        <v>0</v>
      </c>
      <c r="F16" s="3">
        <v>0</v>
      </c>
      <c r="G16" s="3">
        <v>0</v>
      </c>
      <c r="H16" s="3">
        <v>0</v>
      </c>
      <c r="I16" s="3" t="s">
        <v>1794</v>
      </c>
      <c r="J16" s="3">
        <v>0</v>
      </c>
      <c r="K16" s="3">
        <v>0</v>
      </c>
      <c r="L16" s="3" t="s">
        <v>1724</v>
      </c>
      <c r="M16" s="3">
        <v>0</v>
      </c>
      <c r="N16" s="3">
        <v>0</v>
      </c>
      <c r="O16" s="5" t="s">
        <v>1144</v>
      </c>
      <c r="P16" s="5">
        <v>1091.1500000000001</v>
      </c>
      <c r="Q16" s="5">
        <v>2032.14</v>
      </c>
      <c r="R16" s="46">
        <v>0</v>
      </c>
      <c r="S16" s="46">
        <v>10.35</v>
      </c>
      <c r="T16" s="46">
        <v>0</v>
      </c>
      <c r="U16" s="46">
        <v>1</v>
      </c>
      <c r="V16" s="49" t="s">
        <v>1724</v>
      </c>
      <c r="W16" s="49" t="s">
        <v>1742</v>
      </c>
      <c r="X16" s="51">
        <v>2</v>
      </c>
      <c r="Y16" s="51">
        <v>2</v>
      </c>
      <c r="Z16" s="6">
        <v>3</v>
      </c>
      <c r="AA16" s="6">
        <v>1000000000</v>
      </c>
      <c r="AB16" s="6">
        <v>2</v>
      </c>
      <c r="AC16" s="4">
        <v>0.33</v>
      </c>
      <c r="AD16" s="6" t="s">
        <v>1145</v>
      </c>
      <c r="AE16" s="6">
        <v>0</v>
      </c>
      <c r="AF16" s="6">
        <v>0</v>
      </c>
      <c r="AG16" s="6">
        <v>0</v>
      </c>
      <c r="AH16" s="6">
        <v>0</v>
      </c>
      <c r="AI16" s="6">
        <v>0</v>
      </c>
      <c r="AJ16" s="6">
        <v>0</v>
      </c>
      <c r="AK16" s="6">
        <v>2</v>
      </c>
      <c r="AL16" s="4">
        <v>0.33</v>
      </c>
      <c r="AM16" s="6" t="s">
        <v>1145</v>
      </c>
      <c r="AN16" s="6">
        <v>0</v>
      </c>
      <c r="AO16" s="6">
        <v>0</v>
      </c>
      <c r="AP16" s="6">
        <v>0</v>
      </c>
      <c r="AQ16" s="6">
        <v>2</v>
      </c>
      <c r="AR16" s="6">
        <v>18.75</v>
      </c>
      <c r="AS16" s="6">
        <v>12.5</v>
      </c>
      <c r="AT16" s="6">
        <v>0</v>
      </c>
      <c r="AU16" s="6">
        <v>0</v>
      </c>
      <c r="AV16" s="62">
        <v>0</v>
      </c>
      <c r="AW16" s="62">
        <v>0</v>
      </c>
      <c r="AX16" s="6">
        <f t="array" ref="AX16">IFERROR(INDEX(Datos_Consumo[CANTIDAD],MATCH(TABLATRANSFERENCIA[[#This Row],[CODIGO]]&amp;TABLATRANSFERENCIA[[#Headers],[2016-5]],Datos_Consumo[CODIGO]&amp;Datos_Consumo[FECHA_FORMATO],0)),0)</f>
        <v>0</v>
      </c>
      <c r="AY16" s="6">
        <f t="array" ref="AY16">IFERROR(INDEX(Datos_Consumo[CANTIDAD],MATCH(TABLATRANSFERENCIA[[#This Row],[CODIGO]]&amp;TABLATRANSFERENCIA[[#Headers],[2016-6]],Datos_Consumo[CODIGO]&amp;Datos_Consumo[FECHA_FORMATO],0)),0)</f>
        <v>1</v>
      </c>
      <c r="AZ16" s="6">
        <f t="array" ref="AZ16">IFERROR(INDEX(Datos_Consumo[CANTIDAD],MATCH(TABLATRANSFERENCIA[[#This Row],[CODIGO]]&amp;TABLATRANSFERENCIA[[#Headers],[2016-7]],Datos_Consumo[CODIGO]&amp;Datos_Consumo[FECHA_FORMATO],0)),0)</f>
        <v>0</v>
      </c>
      <c r="BA16" s="6">
        <f t="array" ref="BA16">IFERROR(INDEX(Datos_Consumo[CANTIDAD],MATCH(TABLATRANSFERENCIA[[#This Row],[CODIGO]]&amp;TABLATRANSFERENCIA[[#Headers],[2016-8]],Datos_Consumo[CODIGO]&amp;Datos_Consumo[FECHA_FORMATO],0)),0)</f>
        <v>0</v>
      </c>
      <c r="BB16" s="6">
        <f t="array" ref="BB16">IFERROR(INDEX(Datos_Consumo[CANTIDAD],MATCH(TABLATRANSFERENCIA[[#This Row],[CODIGO]]&amp;TABLATRANSFERENCIA[[#Headers],[2016-9]],Datos_Consumo[CODIGO]&amp;Datos_Consumo[FECHA_FORMATO],0)),0)</f>
        <v>0</v>
      </c>
      <c r="BC16" s="6">
        <f t="array" ref="BC16">IFERROR(INDEX(Datos_Consumo[CANTIDAD],MATCH(TABLATRANSFERENCIA[[#This Row],[CODIGO]]&amp;TABLATRANSFERENCIA[[#Headers],[Columna6]],Datos_Consumo[CODIGO]&amp;Datos_Consumo[FECHA_FORMATO],0)),0)</f>
        <v>0</v>
      </c>
      <c r="BD16" s="50">
        <v>1</v>
      </c>
      <c r="BE16" s="55">
        <v>1</v>
      </c>
      <c r="BF16" s="50" t="s">
        <v>2469</v>
      </c>
      <c r="BG16" s="51"/>
      <c r="BH16"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1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6" s="51"/>
      <c r="BN16" s="46">
        <f>IFERROR(TABLATRANSFERENCIA[[#This Row],[REQUERIM]]/TABLATRANSFERENCIA[[#This Row],[PEDIDO PROMEDIO]],0)</f>
        <v>0.5</v>
      </c>
      <c r="BO16" s="51"/>
      <c r="BP16" s="63"/>
      <c r="BQ16" s="3">
        <f>IF(TABLATRANSFERENCIA[[#This Row],[RECIBIDO]]&lt;&gt;"",0,IF(TABLATRANSFERENCIA[[#This Row],[DESPACHO]]&lt;&gt;"",TABLATRANSFERENCIA[[#This Row],[DESPACHO]],TABLATRANSFERENCIA[[#This Row],[REQUERIM]]))</f>
        <v>1</v>
      </c>
      <c r="BR16" s="50"/>
      <c r="BS16" s="50"/>
      <c r="BT16" s="50" t="str">
        <f t="shared" si="0"/>
        <v>N</v>
      </c>
      <c r="BU16" s="51">
        <f t="array" ref="BU16">IF(SUM(--(TABLATRANSFERENCIA[[#This Row],[CODIGO GENERICO]]=TABLATRANSFERENCIA[CODIGO GENERICO])*TABLATRANSFERENCIA[REQUERIM])&lt;TABLATRANSFERENCIA[[#This Row],[PEDIDO MIN GRUPO]],1,0)</f>
        <v>0</v>
      </c>
      <c r="BV16"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16" s="51">
        <v>2</v>
      </c>
      <c r="BX16" s="51">
        <v>1</v>
      </c>
    </row>
    <row r="17" spans="1:76" x14ac:dyDescent="0.25">
      <c r="A17" s="54" t="s">
        <v>1388</v>
      </c>
      <c r="B17" s="3" t="s">
        <v>1823</v>
      </c>
      <c r="C17" s="3" t="s">
        <v>1144</v>
      </c>
      <c r="D17" s="3" t="s">
        <v>1144</v>
      </c>
      <c r="E17" s="3">
        <v>0</v>
      </c>
      <c r="F17" s="3">
        <v>0</v>
      </c>
      <c r="G17" s="3">
        <v>0</v>
      </c>
      <c r="H17" s="3">
        <v>0</v>
      </c>
      <c r="I17" s="3" t="s">
        <v>1794</v>
      </c>
      <c r="J17" s="3">
        <v>0</v>
      </c>
      <c r="K17" s="3">
        <v>0</v>
      </c>
      <c r="L17" s="3" t="s">
        <v>1724</v>
      </c>
      <c r="M17" s="3">
        <v>0</v>
      </c>
      <c r="N17" s="3">
        <v>0</v>
      </c>
      <c r="O17" s="5" t="s">
        <v>1144</v>
      </c>
      <c r="P17" s="5">
        <v>1109.06</v>
      </c>
      <c r="Q17" s="5">
        <v>2032.14</v>
      </c>
      <c r="R17" s="46">
        <v>0</v>
      </c>
      <c r="S17" s="46">
        <v>9.99</v>
      </c>
      <c r="T17" s="46">
        <v>0</v>
      </c>
      <c r="U17" s="46">
        <v>1</v>
      </c>
      <c r="V17" s="49" t="s">
        <v>1724</v>
      </c>
      <c r="W17" s="49" t="s">
        <v>1742</v>
      </c>
      <c r="X17" s="51">
        <v>2</v>
      </c>
      <c r="Y17" s="51">
        <v>2</v>
      </c>
      <c r="Z17" s="6">
        <v>3</v>
      </c>
      <c r="AA17" s="6">
        <v>1000000000</v>
      </c>
      <c r="AB17" s="6">
        <v>2</v>
      </c>
      <c r="AC17" s="4">
        <v>0.33</v>
      </c>
      <c r="AD17" s="6" t="s">
        <v>1145</v>
      </c>
      <c r="AE17" s="6">
        <v>0</v>
      </c>
      <c r="AF17" s="6">
        <v>0</v>
      </c>
      <c r="AG17" s="6">
        <v>0</v>
      </c>
      <c r="AH17" s="6">
        <v>0</v>
      </c>
      <c r="AI17" s="6">
        <v>0</v>
      </c>
      <c r="AJ17" s="6">
        <v>0</v>
      </c>
      <c r="AK17" s="6">
        <v>2</v>
      </c>
      <c r="AL17" s="4">
        <v>0.33</v>
      </c>
      <c r="AM17" s="6" t="s">
        <v>1145</v>
      </c>
      <c r="AN17" s="6">
        <v>0</v>
      </c>
      <c r="AO17" s="6">
        <v>0</v>
      </c>
      <c r="AP17" s="6">
        <v>0</v>
      </c>
      <c r="AQ17" s="6">
        <v>2</v>
      </c>
      <c r="AR17" s="6">
        <v>18.75</v>
      </c>
      <c r="AS17" s="6">
        <v>12.5</v>
      </c>
      <c r="AT17" s="6">
        <v>0</v>
      </c>
      <c r="AU17" s="6">
        <v>0</v>
      </c>
      <c r="AV17" s="62">
        <v>0</v>
      </c>
      <c r="AW17" s="62">
        <v>0</v>
      </c>
      <c r="AX17" s="6">
        <f t="array" ref="AX17">IFERROR(INDEX(Datos_Consumo[CANTIDAD],MATCH(TABLATRANSFERENCIA[[#This Row],[CODIGO]]&amp;TABLATRANSFERENCIA[[#Headers],[2016-5]],Datos_Consumo[CODIGO]&amp;Datos_Consumo[FECHA_FORMATO],0)),0)</f>
        <v>1</v>
      </c>
      <c r="AY17" s="6">
        <f t="array" ref="AY17">IFERROR(INDEX(Datos_Consumo[CANTIDAD],MATCH(TABLATRANSFERENCIA[[#This Row],[CODIGO]]&amp;TABLATRANSFERENCIA[[#Headers],[2016-6]],Datos_Consumo[CODIGO]&amp;Datos_Consumo[FECHA_FORMATO],0)),0)</f>
        <v>0</v>
      </c>
      <c r="AZ17" s="6">
        <f t="array" ref="AZ17">IFERROR(INDEX(Datos_Consumo[CANTIDAD],MATCH(TABLATRANSFERENCIA[[#This Row],[CODIGO]]&amp;TABLATRANSFERENCIA[[#Headers],[2016-7]],Datos_Consumo[CODIGO]&amp;Datos_Consumo[FECHA_FORMATO],0)),0)</f>
        <v>0</v>
      </c>
      <c r="BA17" s="6">
        <f t="array" ref="BA17">IFERROR(INDEX(Datos_Consumo[CANTIDAD],MATCH(TABLATRANSFERENCIA[[#This Row],[CODIGO]]&amp;TABLATRANSFERENCIA[[#Headers],[2016-8]],Datos_Consumo[CODIGO]&amp;Datos_Consumo[FECHA_FORMATO],0)),0)</f>
        <v>0</v>
      </c>
      <c r="BB17" s="6">
        <f t="array" ref="BB17">IFERROR(INDEX(Datos_Consumo[CANTIDAD],MATCH(TABLATRANSFERENCIA[[#This Row],[CODIGO]]&amp;TABLATRANSFERENCIA[[#Headers],[2016-9]],Datos_Consumo[CODIGO]&amp;Datos_Consumo[FECHA_FORMATO],0)),0)</f>
        <v>0</v>
      </c>
      <c r="BC17" s="6">
        <f t="array" ref="BC17">IFERROR(INDEX(Datos_Consumo[CANTIDAD],MATCH(TABLATRANSFERENCIA[[#This Row],[CODIGO]]&amp;TABLATRANSFERENCIA[[#Headers],[Columna6]],Datos_Consumo[CODIGO]&amp;Datos_Consumo[FECHA_FORMATO],0)),0)</f>
        <v>0</v>
      </c>
      <c r="BD17" s="50">
        <v>1</v>
      </c>
      <c r="BE17" s="55">
        <v>1</v>
      </c>
      <c r="BF17" s="50" t="s">
        <v>2469</v>
      </c>
      <c r="BG17" s="51"/>
      <c r="BH17"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1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7" s="51"/>
      <c r="BN17" s="46">
        <f>IFERROR(TABLATRANSFERENCIA[[#This Row],[REQUERIM]]/TABLATRANSFERENCIA[[#This Row],[PEDIDO PROMEDIO]],0)</f>
        <v>0.5</v>
      </c>
      <c r="BO17" s="51"/>
      <c r="BP17" s="63"/>
      <c r="BQ17" s="3">
        <f>IF(TABLATRANSFERENCIA[[#This Row],[RECIBIDO]]&lt;&gt;"",0,IF(TABLATRANSFERENCIA[[#This Row],[DESPACHO]]&lt;&gt;"",TABLATRANSFERENCIA[[#This Row],[DESPACHO]],TABLATRANSFERENCIA[[#This Row],[REQUERIM]]))</f>
        <v>1</v>
      </c>
      <c r="BR17" s="50"/>
      <c r="BS17" s="50"/>
      <c r="BT17" s="50" t="str">
        <f t="shared" si="0"/>
        <v>N</v>
      </c>
      <c r="BU17" s="51">
        <f t="array" ref="BU17">IF(SUM(--(TABLATRANSFERENCIA[[#This Row],[CODIGO GENERICO]]=TABLATRANSFERENCIA[CODIGO GENERICO])*TABLATRANSFERENCIA[REQUERIM])&lt;TABLATRANSFERENCIA[[#This Row],[PEDIDO MIN GRUPO]],1,0)</f>
        <v>0</v>
      </c>
      <c r="BV17"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17" s="51">
        <v>2</v>
      </c>
      <c r="BX17" s="51">
        <v>1</v>
      </c>
    </row>
    <row r="18" spans="1:76" x14ac:dyDescent="0.25">
      <c r="A18" s="54" t="s">
        <v>1389</v>
      </c>
      <c r="B18" s="3" t="s">
        <v>1823</v>
      </c>
      <c r="C18" s="3" t="s">
        <v>1144</v>
      </c>
      <c r="D18" s="3" t="s">
        <v>1144</v>
      </c>
      <c r="E18" s="3">
        <v>0</v>
      </c>
      <c r="F18" s="3">
        <v>0</v>
      </c>
      <c r="G18" s="3">
        <v>0</v>
      </c>
      <c r="H18" s="3">
        <v>0</v>
      </c>
      <c r="I18" s="3" t="s">
        <v>1794</v>
      </c>
      <c r="J18" s="3">
        <v>0</v>
      </c>
      <c r="K18" s="3">
        <v>0</v>
      </c>
      <c r="L18" s="3" t="s">
        <v>1724</v>
      </c>
      <c r="M18" s="3">
        <v>0</v>
      </c>
      <c r="N18" s="3">
        <v>0</v>
      </c>
      <c r="O18" s="5" t="s">
        <v>1144</v>
      </c>
      <c r="P18" s="5">
        <v>1118.6099999999999</v>
      </c>
      <c r="Q18" s="5">
        <v>2032.14</v>
      </c>
      <c r="R18" s="46">
        <v>0</v>
      </c>
      <c r="S18" s="46">
        <v>9.8000000000000007</v>
      </c>
      <c r="T18" s="46">
        <v>0</v>
      </c>
      <c r="U18" s="46">
        <v>1</v>
      </c>
      <c r="V18" s="49" t="s">
        <v>1724</v>
      </c>
      <c r="W18" s="49" t="s">
        <v>1742</v>
      </c>
      <c r="X18" s="51">
        <v>2</v>
      </c>
      <c r="Y18" s="51">
        <v>2</v>
      </c>
      <c r="Z18" s="6">
        <v>4</v>
      </c>
      <c r="AA18" s="6">
        <v>1000000000</v>
      </c>
      <c r="AB18" s="6">
        <v>1</v>
      </c>
      <c r="AC18" s="4">
        <v>0.75</v>
      </c>
      <c r="AD18" s="6" t="s">
        <v>1146</v>
      </c>
      <c r="AE18" s="6">
        <v>0</v>
      </c>
      <c r="AF18" s="6">
        <v>0</v>
      </c>
      <c r="AG18" s="6">
        <v>0</v>
      </c>
      <c r="AH18" s="6">
        <v>0</v>
      </c>
      <c r="AI18" s="6">
        <v>0</v>
      </c>
      <c r="AJ18" s="6">
        <v>0</v>
      </c>
      <c r="AK18" s="6">
        <v>1</v>
      </c>
      <c r="AL18" s="4">
        <v>0.75</v>
      </c>
      <c r="AM18" s="6" t="s">
        <v>1146</v>
      </c>
      <c r="AN18" s="6">
        <v>0</v>
      </c>
      <c r="AO18" s="6">
        <v>0</v>
      </c>
      <c r="AP18" s="6">
        <v>0</v>
      </c>
      <c r="AQ18" s="6">
        <v>2</v>
      </c>
      <c r="AR18" s="6">
        <v>25</v>
      </c>
      <c r="AS18" s="6">
        <v>6.25</v>
      </c>
      <c r="AT18" s="6">
        <v>0</v>
      </c>
      <c r="AU18" s="6">
        <v>0</v>
      </c>
      <c r="AV18" s="62">
        <v>0</v>
      </c>
      <c r="AW18" s="62">
        <v>0</v>
      </c>
      <c r="AX18" s="6">
        <f t="array" ref="AX18">IFERROR(INDEX(Datos_Consumo[CANTIDAD],MATCH(TABLATRANSFERENCIA[[#This Row],[CODIGO]]&amp;TABLATRANSFERENCIA[[#Headers],[2016-5]],Datos_Consumo[CODIGO]&amp;Datos_Consumo[FECHA_FORMATO],0)),0)</f>
        <v>1</v>
      </c>
      <c r="AY18" s="6">
        <f t="array" ref="AY18">IFERROR(INDEX(Datos_Consumo[CANTIDAD],MATCH(TABLATRANSFERENCIA[[#This Row],[CODIGO]]&amp;TABLATRANSFERENCIA[[#Headers],[2016-6]],Datos_Consumo[CODIGO]&amp;Datos_Consumo[FECHA_FORMATO],0)),0)</f>
        <v>0</v>
      </c>
      <c r="AZ18" s="6">
        <f t="array" ref="AZ18">IFERROR(INDEX(Datos_Consumo[CANTIDAD],MATCH(TABLATRANSFERENCIA[[#This Row],[CODIGO]]&amp;TABLATRANSFERENCIA[[#Headers],[2016-7]],Datos_Consumo[CODIGO]&amp;Datos_Consumo[FECHA_FORMATO],0)),0)</f>
        <v>0</v>
      </c>
      <c r="BA18" s="6">
        <f t="array" ref="BA18">IFERROR(INDEX(Datos_Consumo[CANTIDAD],MATCH(TABLATRANSFERENCIA[[#This Row],[CODIGO]]&amp;TABLATRANSFERENCIA[[#Headers],[2016-8]],Datos_Consumo[CODIGO]&amp;Datos_Consumo[FECHA_FORMATO],0)),0)</f>
        <v>0</v>
      </c>
      <c r="BB18" s="6">
        <f t="array" ref="BB18">IFERROR(INDEX(Datos_Consumo[CANTIDAD],MATCH(TABLATRANSFERENCIA[[#This Row],[CODIGO]]&amp;TABLATRANSFERENCIA[[#Headers],[2016-9]],Datos_Consumo[CODIGO]&amp;Datos_Consumo[FECHA_FORMATO],0)),0)</f>
        <v>0</v>
      </c>
      <c r="BC18" s="6">
        <f t="array" ref="BC18">IFERROR(INDEX(Datos_Consumo[CANTIDAD],MATCH(TABLATRANSFERENCIA[[#This Row],[CODIGO]]&amp;TABLATRANSFERENCIA[[#Headers],[Columna6]],Datos_Consumo[CODIGO]&amp;Datos_Consumo[FECHA_FORMATO],0)),0)</f>
        <v>0</v>
      </c>
      <c r="BD18" s="50">
        <v>3</v>
      </c>
      <c r="BE18" s="55">
        <v>3</v>
      </c>
      <c r="BF18" s="50" t="s">
        <v>2469</v>
      </c>
      <c r="BG18" s="51"/>
      <c r="BH18" s="51">
        <f>IF(RIGHT(TABLATRANSFERENCIA[[#Headers],[Emb1]],1)*1&lt;=TABLATRANSFERENCIA[[#This Row],[EMBARQUES]],IF(ISBLANK(TABLATRANSFERENCIA[[#This Row],[EMBARQUES]]),TABLATRANSFERENCIA[[#This Row],[REQUERIM]],ROUND(TABLATRANSFERENCIA[[#This Row],[REQUERIM]]/TABLATRANSFERENCIA[[#This Row],[EMBARQUES]],0)),TABLATRANSFERENCIA[[#This Row],[REQUERIM]])</f>
        <v>3</v>
      </c>
      <c r="BI1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8" s="51"/>
      <c r="BN18" s="46">
        <f>IFERROR(TABLATRANSFERENCIA[[#This Row],[REQUERIM]]/TABLATRANSFERENCIA[[#This Row],[PEDIDO PROMEDIO]],0)</f>
        <v>1.5</v>
      </c>
      <c r="BO18" s="51"/>
      <c r="BP18" s="63"/>
      <c r="BQ18" s="3">
        <f>IF(TABLATRANSFERENCIA[[#This Row],[RECIBIDO]]&lt;&gt;"",0,IF(TABLATRANSFERENCIA[[#This Row],[DESPACHO]]&lt;&gt;"",TABLATRANSFERENCIA[[#This Row],[DESPACHO]],TABLATRANSFERENCIA[[#This Row],[REQUERIM]]))</f>
        <v>3</v>
      </c>
      <c r="BR18" s="50"/>
      <c r="BS18" s="50"/>
      <c r="BT18" s="50" t="str">
        <f t="shared" si="0"/>
        <v>N</v>
      </c>
      <c r="BU18" s="51">
        <f t="array" ref="BU18">IF(SUM(--(TABLATRANSFERENCIA[[#This Row],[CODIGO GENERICO]]=TABLATRANSFERENCIA[CODIGO GENERICO])*TABLATRANSFERENCIA[REQUERIM])&lt;TABLATRANSFERENCIA[[#This Row],[PEDIDO MIN GRUPO]],1,0)</f>
        <v>0</v>
      </c>
      <c r="BV18"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18" s="51">
        <v>3</v>
      </c>
      <c r="BX18" s="51">
        <v>1</v>
      </c>
    </row>
    <row r="19" spans="1:76" x14ac:dyDescent="0.25">
      <c r="A19" s="54" t="s">
        <v>1728</v>
      </c>
      <c r="B19" s="3" t="s">
        <v>1823</v>
      </c>
      <c r="C19" s="3" t="s">
        <v>1144</v>
      </c>
      <c r="D19" s="3" t="s">
        <v>1144</v>
      </c>
      <c r="E19" s="3">
        <v>0</v>
      </c>
      <c r="F19" s="3">
        <v>0</v>
      </c>
      <c r="G19" s="3">
        <v>0</v>
      </c>
      <c r="H19" s="3">
        <v>0</v>
      </c>
      <c r="I19" s="3" t="s">
        <v>1794</v>
      </c>
      <c r="J19" s="3">
        <v>0</v>
      </c>
      <c r="K19" s="3">
        <v>0</v>
      </c>
      <c r="L19" s="3" t="s">
        <v>1724</v>
      </c>
      <c r="M19" s="3">
        <v>0</v>
      </c>
      <c r="N19" s="3">
        <v>0</v>
      </c>
      <c r="O19" s="5" t="s">
        <v>1144</v>
      </c>
      <c r="P19" s="5">
        <v>1087.76</v>
      </c>
      <c r="Q19" s="5">
        <v>2032.14</v>
      </c>
      <c r="R19" s="46">
        <v>0</v>
      </c>
      <c r="S19" s="46">
        <v>10.42</v>
      </c>
      <c r="T19" s="46">
        <v>0</v>
      </c>
      <c r="U19" s="46">
        <v>1</v>
      </c>
      <c r="V19" s="49" t="s">
        <v>1724</v>
      </c>
      <c r="W19" s="49" t="s">
        <v>1742</v>
      </c>
      <c r="X19" s="51">
        <v>2</v>
      </c>
      <c r="Y19" s="51">
        <v>2</v>
      </c>
      <c r="Z19" s="6">
        <v>3</v>
      </c>
      <c r="AA19" s="6">
        <v>1000000000</v>
      </c>
      <c r="AB19" s="6">
        <v>2</v>
      </c>
      <c r="AC19" s="4">
        <v>0.33</v>
      </c>
      <c r="AD19" s="6" t="s">
        <v>1145</v>
      </c>
      <c r="AE19" s="6">
        <v>0</v>
      </c>
      <c r="AF19" s="6">
        <v>0</v>
      </c>
      <c r="AG19" s="6">
        <v>0</v>
      </c>
      <c r="AH19" s="6">
        <v>0</v>
      </c>
      <c r="AI19" s="6">
        <v>0</v>
      </c>
      <c r="AJ19" s="6">
        <v>0</v>
      </c>
      <c r="AK19" s="6">
        <v>2</v>
      </c>
      <c r="AL19" s="4">
        <v>0.33</v>
      </c>
      <c r="AM19" s="6" t="s">
        <v>1145</v>
      </c>
      <c r="AN19" s="6">
        <v>0</v>
      </c>
      <c r="AO19" s="6">
        <v>0</v>
      </c>
      <c r="AP19" s="6">
        <v>0</v>
      </c>
      <c r="AQ19" s="6">
        <v>2</v>
      </c>
      <c r="AR19" s="6">
        <v>0</v>
      </c>
      <c r="AS19" s="6">
        <v>0</v>
      </c>
      <c r="AT19" s="6">
        <v>0</v>
      </c>
      <c r="AU19" s="6">
        <v>0</v>
      </c>
      <c r="AV19" s="62">
        <v>0</v>
      </c>
      <c r="AW19" s="62">
        <v>0</v>
      </c>
      <c r="AX19" s="6">
        <f t="array" ref="AX19">IFERROR(INDEX(Datos_Consumo[CANTIDAD],MATCH(TABLATRANSFERENCIA[[#This Row],[CODIGO]]&amp;TABLATRANSFERENCIA[[#Headers],[2016-5]],Datos_Consumo[CODIGO]&amp;Datos_Consumo[FECHA_FORMATO],0)),0)</f>
        <v>0</v>
      </c>
      <c r="AY19" s="6">
        <f t="array" ref="AY19">IFERROR(INDEX(Datos_Consumo[CANTIDAD],MATCH(TABLATRANSFERENCIA[[#This Row],[CODIGO]]&amp;TABLATRANSFERENCIA[[#Headers],[2016-6]],Datos_Consumo[CODIGO]&amp;Datos_Consumo[FECHA_FORMATO],0)),0)</f>
        <v>0</v>
      </c>
      <c r="AZ19" s="6">
        <f t="array" ref="AZ19">IFERROR(INDEX(Datos_Consumo[CANTIDAD],MATCH(TABLATRANSFERENCIA[[#This Row],[CODIGO]]&amp;TABLATRANSFERENCIA[[#Headers],[2016-7]],Datos_Consumo[CODIGO]&amp;Datos_Consumo[FECHA_FORMATO],0)),0)</f>
        <v>0</v>
      </c>
      <c r="BA19" s="6">
        <f t="array" ref="BA19">IFERROR(INDEX(Datos_Consumo[CANTIDAD],MATCH(TABLATRANSFERENCIA[[#This Row],[CODIGO]]&amp;TABLATRANSFERENCIA[[#Headers],[2016-8]],Datos_Consumo[CODIGO]&amp;Datos_Consumo[FECHA_FORMATO],0)),0)</f>
        <v>0</v>
      </c>
      <c r="BB19" s="6">
        <f t="array" ref="BB19">IFERROR(INDEX(Datos_Consumo[CANTIDAD],MATCH(TABLATRANSFERENCIA[[#This Row],[CODIGO]]&amp;TABLATRANSFERENCIA[[#Headers],[2016-9]],Datos_Consumo[CODIGO]&amp;Datos_Consumo[FECHA_FORMATO],0)),0)</f>
        <v>0</v>
      </c>
      <c r="BC19" s="6">
        <f t="array" ref="BC19">IFERROR(INDEX(Datos_Consumo[CANTIDAD],MATCH(TABLATRANSFERENCIA[[#This Row],[CODIGO]]&amp;TABLATRANSFERENCIA[[#Headers],[Columna6]],Datos_Consumo[CODIGO]&amp;Datos_Consumo[FECHA_FORMATO],0)),0)</f>
        <v>0</v>
      </c>
      <c r="BD19" s="50">
        <v>1</v>
      </c>
      <c r="BE19" s="55">
        <v>1</v>
      </c>
      <c r="BF19" s="50" t="s">
        <v>2469</v>
      </c>
      <c r="BG19" s="51"/>
      <c r="BH19"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1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9" s="51"/>
      <c r="BN19" s="46">
        <f>IFERROR(TABLATRANSFERENCIA[[#This Row],[REQUERIM]]/TABLATRANSFERENCIA[[#This Row],[PEDIDO PROMEDIO]],0)</f>
        <v>0.5</v>
      </c>
      <c r="BO19" s="51"/>
      <c r="BP19" s="63"/>
      <c r="BQ19" s="3">
        <f>IF(TABLATRANSFERENCIA[[#This Row],[RECIBIDO]]&lt;&gt;"",0,IF(TABLATRANSFERENCIA[[#This Row],[DESPACHO]]&lt;&gt;"",TABLATRANSFERENCIA[[#This Row],[DESPACHO]],TABLATRANSFERENCIA[[#This Row],[REQUERIM]]))</f>
        <v>1</v>
      </c>
      <c r="BR19" s="50"/>
      <c r="BS19" s="50"/>
      <c r="BT19" s="50" t="str">
        <f t="shared" si="0"/>
        <v>N</v>
      </c>
      <c r="BU19" s="51">
        <f t="array" ref="BU19">IF(SUM(--(TABLATRANSFERENCIA[[#This Row],[CODIGO GENERICO]]=TABLATRANSFERENCIA[CODIGO GENERICO])*TABLATRANSFERENCIA[REQUERIM])&lt;TABLATRANSFERENCIA[[#This Row],[PEDIDO MIN GRUPO]],1,0)</f>
        <v>0</v>
      </c>
      <c r="BV19"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19" s="51">
        <v>2</v>
      </c>
      <c r="BX19" s="51">
        <v>1</v>
      </c>
    </row>
    <row r="20" spans="1:76" x14ac:dyDescent="0.25">
      <c r="A20" s="54" t="s">
        <v>1729</v>
      </c>
      <c r="B20" s="3" t="s">
        <v>1823</v>
      </c>
      <c r="C20" s="3" t="s">
        <v>1144</v>
      </c>
      <c r="D20" s="3" t="s">
        <v>1144</v>
      </c>
      <c r="E20" s="3">
        <v>0</v>
      </c>
      <c r="F20" s="3">
        <v>0</v>
      </c>
      <c r="G20" s="3">
        <v>0</v>
      </c>
      <c r="H20" s="3">
        <v>0</v>
      </c>
      <c r="I20" s="3" t="s">
        <v>1794</v>
      </c>
      <c r="J20" s="3">
        <v>0</v>
      </c>
      <c r="K20" s="3">
        <v>0</v>
      </c>
      <c r="L20" s="3" t="s">
        <v>1724</v>
      </c>
      <c r="M20" s="3">
        <v>0</v>
      </c>
      <c r="N20" s="3">
        <v>0</v>
      </c>
      <c r="O20" s="5" t="s">
        <v>1144</v>
      </c>
      <c r="P20" s="5">
        <v>1108.94</v>
      </c>
      <c r="Q20" s="5">
        <v>2032.14</v>
      </c>
      <c r="R20" s="46">
        <v>0</v>
      </c>
      <c r="S20" s="46">
        <v>9.99</v>
      </c>
      <c r="T20" s="46">
        <v>0</v>
      </c>
      <c r="U20" s="46">
        <v>1</v>
      </c>
      <c r="V20" s="49" t="s">
        <v>1724</v>
      </c>
      <c r="W20" s="49" t="s">
        <v>1742</v>
      </c>
      <c r="X20" s="51">
        <v>2</v>
      </c>
      <c r="Y20" s="51">
        <v>2</v>
      </c>
      <c r="Z20" s="6">
        <v>3</v>
      </c>
      <c r="AA20" s="6">
        <v>1000000000</v>
      </c>
      <c r="AB20" s="6">
        <v>2</v>
      </c>
      <c r="AC20" s="4">
        <v>0.33</v>
      </c>
      <c r="AD20" s="6" t="s">
        <v>1145</v>
      </c>
      <c r="AE20" s="6">
        <v>0</v>
      </c>
      <c r="AF20" s="6">
        <v>0</v>
      </c>
      <c r="AG20" s="6">
        <v>0</v>
      </c>
      <c r="AH20" s="6">
        <v>0</v>
      </c>
      <c r="AI20" s="6">
        <v>0</v>
      </c>
      <c r="AJ20" s="6">
        <v>0</v>
      </c>
      <c r="AK20" s="6">
        <v>2</v>
      </c>
      <c r="AL20" s="4">
        <v>0.33</v>
      </c>
      <c r="AM20" s="6" t="s">
        <v>1145</v>
      </c>
      <c r="AN20" s="6">
        <v>0</v>
      </c>
      <c r="AO20" s="6">
        <v>0</v>
      </c>
      <c r="AP20" s="6">
        <v>0</v>
      </c>
      <c r="AQ20" s="6">
        <v>2</v>
      </c>
      <c r="AR20" s="6">
        <v>0</v>
      </c>
      <c r="AS20" s="6">
        <v>0</v>
      </c>
      <c r="AT20" s="6">
        <v>0</v>
      </c>
      <c r="AU20" s="6">
        <v>0</v>
      </c>
      <c r="AV20" s="62">
        <v>0</v>
      </c>
      <c r="AW20" s="62">
        <v>0</v>
      </c>
      <c r="AX20" s="6">
        <f t="array" ref="AX20">IFERROR(INDEX(Datos_Consumo[CANTIDAD],MATCH(TABLATRANSFERENCIA[[#This Row],[CODIGO]]&amp;TABLATRANSFERENCIA[[#Headers],[2016-5]],Datos_Consumo[CODIGO]&amp;Datos_Consumo[FECHA_FORMATO],0)),0)</f>
        <v>0</v>
      </c>
      <c r="AY20" s="6">
        <f t="array" ref="AY20">IFERROR(INDEX(Datos_Consumo[CANTIDAD],MATCH(TABLATRANSFERENCIA[[#This Row],[CODIGO]]&amp;TABLATRANSFERENCIA[[#Headers],[2016-6]],Datos_Consumo[CODIGO]&amp;Datos_Consumo[FECHA_FORMATO],0)),0)</f>
        <v>0</v>
      </c>
      <c r="AZ20" s="6">
        <f t="array" ref="AZ20">IFERROR(INDEX(Datos_Consumo[CANTIDAD],MATCH(TABLATRANSFERENCIA[[#This Row],[CODIGO]]&amp;TABLATRANSFERENCIA[[#Headers],[2016-7]],Datos_Consumo[CODIGO]&amp;Datos_Consumo[FECHA_FORMATO],0)),0)</f>
        <v>0</v>
      </c>
      <c r="BA20" s="6">
        <f t="array" ref="BA20">IFERROR(INDEX(Datos_Consumo[CANTIDAD],MATCH(TABLATRANSFERENCIA[[#This Row],[CODIGO]]&amp;TABLATRANSFERENCIA[[#Headers],[2016-8]],Datos_Consumo[CODIGO]&amp;Datos_Consumo[FECHA_FORMATO],0)),0)</f>
        <v>0</v>
      </c>
      <c r="BB20" s="6">
        <f t="array" ref="BB20">IFERROR(INDEX(Datos_Consumo[CANTIDAD],MATCH(TABLATRANSFERENCIA[[#This Row],[CODIGO]]&amp;TABLATRANSFERENCIA[[#Headers],[2016-9]],Datos_Consumo[CODIGO]&amp;Datos_Consumo[FECHA_FORMATO],0)),0)</f>
        <v>0</v>
      </c>
      <c r="BC20" s="6">
        <f t="array" ref="BC20">IFERROR(INDEX(Datos_Consumo[CANTIDAD],MATCH(TABLATRANSFERENCIA[[#This Row],[CODIGO]]&amp;TABLATRANSFERENCIA[[#Headers],[Columna6]],Datos_Consumo[CODIGO]&amp;Datos_Consumo[FECHA_FORMATO],0)),0)</f>
        <v>0</v>
      </c>
      <c r="BD20" s="50">
        <v>1</v>
      </c>
      <c r="BE20" s="55">
        <v>1</v>
      </c>
      <c r="BF20" s="50" t="s">
        <v>2469</v>
      </c>
      <c r="BG20" s="51"/>
      <c r="BH20"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2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0" s="51"/>
      <c r="BN20" s="46">
        <f>IFERROR(TABLATRANSFERENCIA[[#This Row],[REQUERIM]]/TABLATRANSFERENCIA[[#This Row],[PEDIDO PROMEDIO]],0)</f>
        <v>0.5</v>
      </c>
      <c r="BO20" s="51"/>
      <c r="BP20" s="63"/>
      <c r="BQ20" s="3">
        <f>IF(TABLATRANSFERENCIA[[#This Row],[RECIBIDO]]&lt;&gt;"",0,IF(TABLATRANSFERENCIA[[#This Row],[DESPACHO]]&lt;&gt;"",TABLATRANSFERENCIA[[#This Row],[DESPACHO]],TABLATRANSFERENCIA[[#This Row],[REQUERIM]]))</f>
        <v>1</v>
      </c>
      <c r="BR20" s="50"/>
      <c r="BS20" s="50"/>
      <c r="BT20" s="50" t="str">
        <f t="shared" si="0"/>
        <v>N</v>
      </c>
      <c r="BU20" s="51">
        <f t="array" ref="BU20">IF(SUM(--(TABLATRANSFERENCIA[[#This Row],[CODIGO GENERICO]]=TABLATRANSFERENCIA[CODIGO GENERICO])*TABLATRANSFERENCIA[REQUERIM])&lt;TABLATRANSFERENCIA[[#This Row],[PEDIDO MIN GRUPO]],1,0)</f>
        <v>0</v>
      </c>
      <c r="BV20"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20" s="51">
        <v>2</v>
      </c>
      <c r="BX20" s="51">
        <v>1</v>
      </c>
    </row>
    <row r="21" spans="1:76" x14ac:dyDescent="0.25">
      <c r="A21" s="54" t="s">
        <v>1730</v>
      </c>
      <c r="B21" s="3" t="s">
        <v>1845</v>
      </c>
      <c r="C21" s="3" t="s">
        <v>1144</v>
      </c>
      <c r="D21" s="3" t="s">
        <v>1144</v>
      </c>
      <c r="E21" s="3">
        <v>0</v>
      </c>
      <c r="F21" s="3">
        <v>0</v>
      </c>
      <c r="G21" s="3">
        <v>0</v>
      </c>
      <c r="H21" s="3">
        <v>0</v>
      </c>
      <c r="I21" s="3" t="s">
        <v>1830</v>
      </c>
      <c r="J21" s="3">
        <v>0</v>
      </c>
      <c r="K21" s="3">
        <v>0</v>
      </c>
      <c r="L21" s="3" t="s">
        <v>1724</v>
      </c>
      <c r="M21" s="3">
        <v>0</v>
      </c>
      <c r="N21" s="3">
        <v>0</v>
      </c>
      <c r="O21" s="5" t="s">
        <v>1144</v>
      </c>
      <c r="P21" s="5">
        <v>0</v>
      </c>
      <c r="Q21" s="5">
        <v>91.5</v>
      </c>
      <c r="R21" s="46">
        <v>0</v>
      </c>
      <c r="S21" s="46">
        <v>0</v>
      </c>
      <c r="T21" s="46">
        <v>0</v>
      </c>
      <c r="U21" s="46">
        <v>1</v>
      </c>
      <c r="V21" s="49" t="s">
        <v>1724</v>
      </c>
      <c r="W21" s="49" t="s">
        <v>1742</v>
      </c>
      <c r="X21" s="51">
        <v>2</v>
      </c>
      <c r="Y21" s="51">
        <v>2</v>
      </c>
      <c r="Z21" s="6">
        <v>2</v>
      </c>
      <c r="AA21" s="6">
        <v>1000000000</v>
      </c>
      <c r="AB21" s="6">
        <v>0</v>
      </c>
      <c r="AC21" s="4">
        <v>1</v>
      </c>
      <c r="AD21" s="6" t="s">
        <v>838</v>
      </c>
      <c r="AE21" s="6">
        <v>0</v>
      </c>
      <c r="AF21" s="6">
        <v>0</v>
      </c>
      <c r="AG21" s="6">
        <v>0</v>
      </c>
      <c r="AH21" s="6">
        <v>0</v>
      </c>
      <c r="AI21" s="6">
        <v>0</v>
      </c>
      <c r="AJ21" s="6">
        <v>0</v>
      </c>
      <c r="AK21" s="6">
        <v>0</v>
      </c>
      <c r="AL21" s="4">
        <v>1</v>
      </c>
      <c r="AM21" s="6" t="s">
        <v>838</v>
      </c>
      <c r="AN21" s="6">
        <v>0</v>
      </c>
      <c r="AO21" s="6">
        <v>0</v>
      </c>
      <c r="AP21" s="6">
        <v>0</v>
      </c>
      <c r="AQ21" s="6">
        <v>1</v>
      </c>
      <c r="AR21" s="6">
        <v>0</v>
      </c>
      <c r="AS21" s="6">
        <v>0</v>
      </c>
      <c r="AT21" s="6">
        <v>0</v>
      </c>
      <c r="AU21" s="6">
        <v>20</v>
      </c>
      <c r="AV21" s="62">
        <v>0</v>
      </c>
      <c r="AW21" s="62">
        <v>0</v>
      </c>
      <c r="AX21" s="6">
        <f t="array" ref="AX21">IFERROR(INDEX(Datos_Consumo[CANTIDAD],MATCH(TABLATRANSFERENCIA[[#This Row],[CODIGO]]&amp;TABLATRANSFERENCIA[[#Headers],[2016-5]],Datos_Consumo[CODIGO]&amp;Datos_Consumo[FECHA_FORMATO],0)),0)</f>
        <v>0</v>
      </c>
      <c r="AY21" s="6">
        <f t="array" ref="AY21">IFERROR(INDEX(Datos_Consumo[CANTIDAD],MATCH(TABLATRANSFERENCIA[[#This Row],[CODIGO]]&amp;TABLATRANSFERENCIA[[#Headers],[2016-6]],Datos_Consumo[CODIGO]&amp;Datos_Consumo[FECHA_FORMATO],0)),0)</f>
        <v>0</v>
      </c>
      <c r="AZ21" s="6">
        <f t="array" ref="AZ21">IFERROR(INDEX(Datos_Consumo[CANTIDAD],MATCH(TABLATRANSFERENCIA[[#This Row],[CODIGO]]&amp;TABLATRANSFERENCIA[[#Headers],[2016-7]],Datos_Consumo[CODIGO]&amp;Datos_Consumo[FECHA_FORMATO],0)),0)</f>
        <v>0</v>
      </c>
      <c r="BA21" s="6">
        <f t="array" ref="BA21">IFERROR(INDEX(Datos_Consumo[CANTIDAD],MATCH(TABLATRANSFERENCIA[[#This Row],[CODIGO]]&amp;TABLATRANSFERENCIA[[#Headers],[2016-8]],Datos_Consumo[CODIGO]&amp;Datos_Consumo[FECHA_FORMATO],0)),0)</f>
        <v>0</v>
      </c>
      <c r="BB21" s="6">
        <f t="array" ref="BB21">IFERROR(INDEX(Datos_Consumo[CANTIDAD],MATCH(TABLATRANSFERENCIA[[#This Row],[CODIGO]]&amp;TABLATRANSFERENCIA[[#Headers],[2016-9]],Datos_Consumo[CODIGO]&amp;Datos_Consumo[FECHA_FORMATO],0)),0)</f>
        <v>0</v>
      </c>
      <c r="BC21" s="6">
        <f t="array" ref="BC21">IFERROR(INDEX(Datos_Consumo[CANTIDAD],MATCH(TABLATRANSFERENCIA[[#This Row],[CODIGO]]&amp;TABLATRANSFERENCIA[[#Headers],[Columna6]],Datos_Consumo[CODIGO]&amp;Datos_Consumo[FECHA_FORMATO],0)),0)</f>
        <v>0</v>
      </c>
      <c r="BD21" s="50">
        <v>2</v>
      </c>
      <c r="BE21" s="55">
        <v>2</v>
      </c>
      <c r="BF21" s="50" t="s">
        <v>2469</v>
      </c>
      <c r="BG21" s="51"/>
      <c r="BH21" s="51">
        <f>IF(RIGHT(TABLATRANSFERENCIA[[#Headers],[Emb1]],1)*1&lt;=TABLATRANSFERENCIA[[#This Row],[EMBARQUES]],IF(ISBLANK(TABLATRANSFERENCIA[[#This Row],[EMBARQUES]]),TABLATRANSFERENCIA[[#This Row],[REQUERIM]],ROUND(TABLATRANSFERENCIA[[#This Row],[REQUERIM]]/TABLATRANSFERENCIA[[#This Row],[EMBARQUES]],0)),TABLATRANSFERENCIA[[#This Row],[REQUERIM]])</f>
        <v>2</v>
      </c>
      <c r="BI2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1" s="51"/>
      <c r="BN21" s="46">
        <f>IFERROR(TABLATRANSFERENCIA[[#This Row],[REQUERIM]]/TABLATRANSFERENCIA[[#This Row],[PEDIDO PROMEDIO]],0)</f>
        <v>2</v>
      </c>
      <c r="BO21" s="51"/>
      <c r="BP21" s="63"/>
      <c r="BQ21" s="3">
        <f>IF(TABLATRANSFERENCIA[[#This Row],[RECIBIDO]]&lt;&gt;"",0,IF(TABLATRANSFERENCIA[[#This Row],[DESPACHO]]&lt;&gt;"",TABLATRANSFERENCIA[[#This Row],[DESPACHO]],TABLATRANSFERENCIA[[#This Row],[REQUERIM]]))</f>
        <v>2</v>
      </c>
      <c r="BR21" s="50"/>
      <c r="BS21" s="50"/>
      <c r="BT21" s="50" t="str">
        <f t="shared" si="0"/>
        <v>N</v>
      </c>
      <c r="BU21" s="51">
        <f t="array" ref="BU21">IF(SUM(--(TABLATRANSFERENCIA[[#This Row],[CODIGO GENERICO]]=TABLATRANSFERENCIA[CODIGO GENERICO])*TABLATRANSFERENCIA[REQUERIM])&lt;TABLATRANSFERENCIA[[#This Row],[PEDIDO MIN GRUPO]],1,0)</f>
        <v>0</v>
      </c>
      <c r="BV21"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W21" s="51">
        <v>2</v>
      </c>
      <c r="BX21" s="51">
        <v>1</v>
      </c>
    </row>
    <row r="22" spans="1:76" x14ac:dyDescent="0.25">
      <c r="A22" s="54" t="s">
        <v>1390</v>
      </c>
      <c r="B22" s="3" t="s">
        <v>1846</v>
      </c>
      <c r="C22" s="3" t="s">
        <v>1144</v>
      </c>
      <c r="D22" s="3" t="s">
        <v>1144</v>
      </c>
      <c r="E22" s="3">
        <v>0</v>
      </c>
      <c r="F22" s="3">
        <v>0</v>
      </c>
      <c r="G22" s="3">
        <v>0</v>
      </c>
      <c r="H22" s="3">
        <v>0</v>
      </c>
      <c r="I22" s="3" t="s">
        <v>1847</v>
      </c>
      <c r="J22" s="3">
        <v>0</v>
      </c>
      <c r="K22" s="3">
        <v>0</v>
      </c>
      <c r="L22" s="3" t="s">
        <v>1724</v>
      </c>
      <c r="M22" s="3">
        <v>0</v>
      </c>
      <c r="N22" s="3">
        <v>0</v>
      </c>
      <c r="O22" s="5" t="s">
        <v>1144</v>
      </c>
      <c r="P22" s="5">
        <v>672.44</v>
      </c>
      <c r="Q22" s="5">
        <v>1059.4100000000001</v>
      </c>
      <c r="R22" s="46">
        <v>0</v>
      </c>
      <c r="S22" s="46">
        <v>6.91</v>
      </c>
      <c r="T22" s="46">
        <v>0</v>
      </c>
      <c r="U22" s="46">
        <v>1</v>
      </c>
      <c r="V22" s="49" t="s">
        <v>1724</v>
      </c>
      <c r="W22" s="49" t="s">
        <v>1742</v>
      </c>
      <c r="X22" s="51">
        <v>2</v>
      </c>
      <c r="Y22" s="51">
        <v>2</v>
      </c>
      <c r="Z22" s="6">
        <v>3</v>
      </c>
      <c r="AA22" s="6">
        <v>1000000000</v>
      </c>
      <c r="AB22" s="6">
        <v>2</v>
      </c>
      <c r="AC22" s="4">
        <v>0.33</v>
      </c>
      <c r="AD22" s="6" t="s">
        <v>1145</v>
      </c>
      <c r="AE22" s="6">
        <v>0</v>
      </c>
      <c r="AF22" s="6">
        <v>0</v>
      </c>
      <c r="AG22" s="6">
        <v>0</v>
      </c>
      <c r="AH22" s="6">
        <v>0</v>
      </c>
      <c r="AI22" s="6">
        <v>0</v>
      </c>
      <c r="AJ22" s="6">
        <v>0</v>
      </c>
      <c r="AK22" s="6">
        <v>2</v>
      </c>
      <c r="AL22" s="4">
        <v>0.33</v>
      </c>
      <c r="AM22" s="6" t="s">
        <v>1145</v>
      </c>
      <c r="AN22" s="6">
        <v>0</v>
      </c>
      <c r="AO22" s="6">
        <v>0</v>
      </c>
      <c r="AP22" s="6">
        <v>0</v>
      </c>
      <c r="AQ22" s="6">
        <v>2</v>
      </c>
      <c r="AR22" s="6">
        <v>0</v>
      </c>
      <c r="AS22" s="6">
        <v>0</v>
      </c>
      <c r="AT22" s="6">
        <v>0</v>
      </c>
      <c r="AU22" s="6">
        <v>0</v>
      </c>
      <c r="AV22" s="62">
        <v>0</v>
      </c>
      <c r="AW22" s="62">
        <v>0</v>
      </c>
      <c r="AX22" s="6">
        <f t="array" ref="AX22">IFERROR(INDEX(Datos_Consumo[CANTIDAD],MATCH(TABLATRANSFERENCIA[[#This Row],[CODIGO]]&amp;TABLATRANSFERENCIA[[#Headers],[2016-5]],Datos_Consumo[CODIGO]&amp;Datos_Consumo[FECHA_FORMATO],0)),0)</f>
        <v>0</v>
      </c>
      <c r="AY22" s="6">
        <f t="array" ref="AY22">IFERROR(INDEX(Datos_Consumo[CANTIDAD],MATCH(TABLATRANSFERENCIA[[#This Row],[CODIGO]]&amp;TABLATRANSFERENCIA[[#Headers],[2016-6]],Datos_Consumo[CODIGO]&amp;Datos_Consumo[FECHA_FORMATO],0)),0)</f>
        <v>0</v>
      </c>
      <c r="AZ22" s="6">
        <f t="array" ref="AZ22">IFERROR(INDEX(Datos_Consumo[CANTIDAD],MATCH(TABLATRANSFERENCIA[[#This Row],[CODIGO]]&amp;TABLATRANSFERENCIA[[#Headers],[2016-7]],Datos_Consumo[CODIGO]&amp;Datos_Consumo[FECHA_FORMATO],0)),0)</f>
        <v>0</v>
      </c>
      <c r="BA22" s="6">
        <f t="array" ref="BA22">IFERROR(INDEX(Datos_Consumo[CANTIDAD],MATCH(TABLATRANSFERENCIA[[#This Row],[CODIGO]]&amp;TABLATRANSFERENCIA[[#Headers],[2016-8]],Datos_Consumo[CODIGO]&amp;Datos_Consumo[FECHA_FORMATO],0)),0)</f>
        <v>0</v>
      </c>
      <c r="BB22" s="6">
        <f t="array" ref="BB22">IFERROR(INDEX(Datos_Consumo[CANTIDAD],MATCH(TABLATRANSFERENCIA[[#This Row],[CODIGO]]&amp;TABLATRANSFERENCIA[[#Headers],[2016-9]],Datos_Consumo[CODIGO]&amp;Datos_Consumo[FECHA_FORMATO],0)),0)</f>
        <v>0</v>
      </c>
      <c r="BC22" s="6">
        <f t="array" ref="BC22">IFERROR(INDEX(Datos_Consumo[CANTIDAD],MATCH(TABLATRANSFERENCIA[[#This Row],[CODIGO]]&amp;TABLATRANSFERENCIA[[#Headers],[Columna6]],Datos_Consumo[CODIGO]&amp;Datos_Consumo[FECHA_FORMATO],0)),0)</f>
        <v>0</v>
      </c>
      <c r="BD22" s="50">
        <v>1</v>
      </c>
      <c r="BE22" s="55">
        <v>1</v>
      </c>
      <c r="BF22" s="50" t="s">
        <v>2470</v>
      </c>
      <c r="BG22" s="51"/>
      <c r="BH22"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2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2" s="51"/>
      <c r="BN22" s="46">
        <f>IFERROR(TABLATRANSFERENCIA[[#This Row],[REQUERIM]]/TABLATRANSFERENCIA[[#This Row],[PEDIDO PROMEDIO]],0)</f>
        <v>0.5</v>
      </c>
      <c r="BO22" s="51"/>
      <c r="BP22" s="63"/>
      <c r="BQ22" s="3">
        <f>IF(TABLATRANSFERENCIA[[#This Row],[RECIBIDO]]&lt;&gt;"",0,IF(TABLATRANSFERENCIA[[#This Row],[DESPACHO]]&lt;&gt;"",TABLATRANSFERENCIA[[#This Row],[DESPACHO]],TABLATRANSFERENCIA[[#This Row],[REQUERIM]]))</f>
        <v>1</v>
      </c>
      <c r="BR22" s="50"/>
      <c r="BS22" s="50"/>
      <c r="BT22" s="50" t="str">
        <f t="shared" si="0"/>
        <v>N</v>
      </c>
      <c r="BU22" s="51">
        <f t="array" ref="BU22">IF(SUM(--(TABLATRANSFERENCIA[[#This Row],[CODIGO GENERICO]]=TABLATRANSFERENCIA[CODIGO GENERICO])*TABLATRANSFERENCIA[REQUERIM])&lt;TABLATRANSFERENCIA[[#This Row],[PEDIDO MIN GRUPO]],1,0)</f>
        <v>0</v>
      </c>
      <c r="BV22"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22" s="51">
        <v>2</v>
      </c>
      <c r="BX22" s="51">
        <v>1</v>
      </c>
    </row>
    <row r="23" spans="1:76" x14ac:dyDescent="0.25">
      <c r="A23" s="54" t="s">
        <v>1731</v>
      </c>
      <c r="B23" s="3" t="s">
        <v>1852</v>
      </c>
      <c r="C23" s="3" t="s">
        <v>1144</v>
      </c>
      <c r="D23" s="3" t="s">
        <v>1144</v>
      </c>
      <c r="E23" s="3">
        <v>0</v>
      </c>
      <c r="F23" s="3">
        <v>0</v>
      </c>
      <c r="G23" s="3">
        <v>0</v>
      </c>
      <c r="H23" s="3">
        <v>0</v>
      </c>
      <c r="I23" s="3" t="s">
        <v>1847</v>
      </c>
      <c r="J23" s="3">
        <v>0</v>
      </c>
      <c r="K23" s="3">
        <v>0</v>
      </c>
      <c r="L23" s="3" t="s">
        <v>1724</v>
      </c>
      <c r="M23" s="3">
        <v>0</v>
      </c>
      <c r="N23" s="3">
        <v>0</v>
      </c>
      <c r="O23" s="5" t="s">
        <v>1144</v>
      </c>
      <c r="P23" s="5">
        <v>654.54</v>
      </c>
      <c r="Q23" s="5">
        <v>1059.4100000000001</v>
      </c>
      <c r="R23" s="46">
        <v>0</v>
      </c>
      <c r="S23" s="46">
        <v>7.42</v>
      </c>
      <c r="T23" s="46">
        <v>0</v>
      </c>
      <c r="U23" s="46">
        <v>1</v>
      </c>
      <c r="V23" s="49" t="s">
        <v>1724</v>
      </c>
      <c r="W23" s="49" t="s">
        <v>1742</v>
      </c>
      <c r="X23" s="51">
        <v>2</v>
      </c>
      <c r="Y23" s="51">
        <v>2</v>
      </c>
      <c r="Z23" s="6">
        <v>3</v>
      </c>
      <c r="AA23" s="6">
        <v>1000000000</v>
      </c>
      <c r="AB23" s="6">
        <v>2</v>
      </c>
      <c r="AC23" s="4">
        <v>0.33</v>
      </c>
      <c r="AD23" s="6" t="s">
        <v>1145</v>
      </c>
      <c r="AE23" s="6">
        <v>0</v>
      </c>
      <c r="AF23" s="6">
        <v>0</v>
      </c>
      <c r="AG23" s="6">
        <v>0</v>
      </c>
      <c r="AH23" s="6">
        <v>0</v>
      </c>
      <c r="AI23" s="6">
        <v>0</v>
      </c>
      <c r="AJ23" s="6">
        <v>0</v>
      </c>
      <c r="AK23" s="6">
        <v>2</v>
      </c>
      <c r="AL23" s="4">
        <v>0.33</v>
      </c>
      <c r="AM23" s="6" t="s">
        <v>1145</v>
      </c>
      <c r="AN23" s="6">
        <v>0</v>
      </c>
      <c r="AO23" s="6">
        <v>0</v>
      </c>
      <c r="AP23" s="6">
        <v>0</v>
      </c>
      <c r="AQ23" s="6">
        <v>2</v>
      </c>
      <c r="AR23" s="6">
        <v>0</v>
      </c>
      <c r="AS23" s="6">
        <v>0</v>
      </c>
      <c r="AT23" s="6">
        <v>0</v>
      </c>
      <c r="AU23" s="6">
        <v>0</v>
      </c>
      <c r="AV23" s="62">
        <v>0</v>
      </c>
      <c r="AW23" s="62">
        <v>0</v>
      </c>
      <c r="AX23" s="6">
        <f t="array" ref="AX23">IFERROR(INDEX(Datos_Consumo[CANTIDAD],MATCH(TABLATRANSFERENCIA[[#This Row],[CODIGO]]&amp;TABLATRANSFERENCIA[[#Headers],[2016-5]],Datos_Consumo[CODIGO]&amp;Datos_Consumo[FECHA_FORMATO],0)),0)</f>
        <v>0</v>
      </c>
      <c r="AY23" s="6">
        <f t="array" ref="AY23">IFERROR(INDEX(Datos_Consumo[CANTIDAD],MATCH(TABLATRANSFERENCIA[[#This Row],[CODIGO]]&amp;TABLATRANSFERENCIA[[#Headers],[2016-6]],Datos_Consumo[CODIGO]&amp;Datos_Consumo[FECHA_FORMATO],0)),0)</f>
        <v>0</v>
      </c>
      <c r="AZ23" s="6">
        <f t="array" ref="AZ23">IFERROR(INDEX(Datos_Consumo[CANTIDAD],MATCH(TABLATRANSFERENCIA[[#This Row],[CODIGO]]&amp;TABLATRANSFERENCIA[[#Headers],[2016-7]],Datos_Consumo[CODIGO]&amp;Datos_Consumo[FECHA_FORMATO],0)),0)</f>
        <v>0</v>
      </c>
      <c r="BA23" s="6">
        <f t="array" ref="BA23">IFERROR(INDEX(Datos_Consumo[CANTIDAD],MATCH(TABLATRANSFERENCIA[[#This Row],[CODIGO]]&amp;TABLATRANSFERENCIA[[#Headers],[2016-8]],Datos_Consumo[CODIGO]&amp;Datos_Consumo[FECHA_FORMATO],0)),0)</f>
        <v>0</v>
      </c>
      <c r="BB23" s="6">
        <f t="array" ref="BB23">IFERROR(INDEX(Datos_Consumo[CANTIDAD],MATCH(TABLATRANSFERENCIA[[#This Row],[CODIGO]]&amp;TABLATRANSFERENCIA[[#Headers],[2016-9]],Datos_Consumo[CODIGO]&amp;Datos_Consumo[FECHA_FORMATO],0)),0)</f>
        <v>0</v>
      </c>
      <c r="BC23" s="6">
        <f t="array" ref="BC23">IFERROR(INDEX(Datos_Consumo[CANTIDAD],MATCH(TABLATRANSFERENCIA[[#This Row],[CODIGO]]&amp;TABLATRANSFERENCIA[[#Headers],[Columna6]],Datos_Consumo[CODIGO]&amp;Datos_Consumo[FECHA_FORMATO],0)),0)</f>
        <v>0</v>
      </c>
      <c r="BD23" s="50">
        <v>1</v>
      </c>
      <c r="BE23" s="55">
        <v>1</v>
      </c>
      <c r="BF23" s="50" t="s">
        <v>2470</v>
      </c>
      <c r="BG23" s="51"/>
      <c r="BH23"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2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3" s="51"/>
      <c r="BN23" s="46">
        <f>IFERROR(TABLATRANSFERENCIA[[#This Row],[REQUERIM]]/TABLATRANSFERENCIA[[#This Row],[PEDIDO PROMEDIO]],0)</f>
        <v>0.5</v>
      </c>
      <c r="BO23" s="51"/>
      <c r="BP23" s="63"/>
      <c r="BQ23" s="3">
        <f>IF(TABLATRANSFERENCIA[[#This Row],[RECIBIDO]]&lt;&gt;"",0,IF(TABLATRANSFERENCIA[[#This Row],[DESPACHO]]&lt;&gt;"",TABLATRANSFERENCIA[[#This Row],[DESPACHO]],TABLATRANSFERENCIA[[#This Row],[REQUERIM]]))</f>
        <v>1</v>
      </c>
      <c r="BR23" s="50"/>
      <c r="BS23" s="50"/>
      <c r="BT23" s="50" t="str">
        <f t="shared" si="0"/>
        <v>N</v>
      </c>
      <c r="BU23" s="51">
        <f t="array" ref="BU23">IF(SUM(--(TABLATRANSFERENCIA[[#This Row],[CODIGO GENERICO]]=TABLATRANSFERENCIA[CODIGO GENERICO])*TABLATRANSFERENCIA[REQUERIM])&lt;TABLATRANSFERENCIA[[#This Row],[PEDIDO MIN GRUPO]],1,0)</f>
        <v>0</v>
      </c>
      <c r="BV23"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23" s="51">
        <v>2</v>
      </c>
      <c r="BX23" s="51">
        <v>1</v>
      </c>
    </row>
    <row r="24" spans="1:76" x14ac:dyDescent="0.25">
      <c r="A24" s="54" t="s">
        <v>1732</v>
      </c>
      <c r="B24" s="3" t="s">
        <v>1853</v>
      </c>
      <c r="C24" s="3" t="s">
        <v>1144</v>
      </c>
      <c r="D24" s="3" t="s">
        <v>1144</v>
      </c>
      <c r="E24" s="3">
        <v>0</v>
      </c>
      <c r="F24" s="3">
        <v>0</v>
      </c>
      <c r="G24" s="3">
        <v>0</v>
      </c>
      <c r="H24" s="3">
        <v>0</v>
      </c>
      <c r="I24" s="3" t="s">
        <v>1847</v>
      </c>
      <c r="J24" s="3">
        <v>0</v>
      </c>
      <c r="K24" s="3">
        <v>0</v>
      </c>
      <c r="L24" s="3" t="s">
        <v>1724</v>
      </c>
      <c r="M24" s="3">
        <v>0</v>
      </c>
      <c r="N24" s="3">
        <v>0</v>
      </c>
      <c r="O24" s="5" t="s">
        <v>1144</v>
      </c>
      <c r="P24" s="5">
        <v>674.7</v>
      </c>
      <c r="Q24" s="5">
        <v>1059.4100000000001</v>
      </c>
      <c r="R24" s="46">
        <v>0</v>
      </c>
      <c r="S24" s="46">
        <v>6.84</v>
      </c>
      <c r="T24" s="46">
        <v>0</v>
      </c>
      <c r="U24" s="46">
        <v>1</v>
      </c>
      <c r="V24" s="49" t="s">
        <v>1724</v>
      </c>
      <c r="W24" s="49" t="s">
        <v>1742</v>
      </c>
      <c r="X24" s="51">
        <v>2</v>
      </c>
      <c r="Y24" s="51">
        <v>2</v>
      </c>
      <c r="Z24" s="6">
        <v>3</v>
      </c>
      <c r="AA24" s="6">
        <v>1000000000</v>
      </c>
      <c r="AB24" s="6">
        <v>2</v>
      </c>
      <c r="AC24" s="4">
        <v>0.33</v>
      </c>
      <c r="AD24" s="6" t="s">
        <v>1145</v>
      </c>
      <c r="AE24" s="6">
        <v>0</v>
      </c>
      <c r="AF24" s="6">
        <v>0</v>
      </c>
      <c r="AG24" s="6">
        <v>0</v>
      </c>
      <c r="AH24" s="6">
        <v>0</v>
      </c>
      <c r="AI24" s="6">
        <v>0</v>
      </c>
      <c r="AJ24" s="6">
        <v>0</v>
      </c>
      <c r="AK24" s="6">
        <v>2</v>
      </c>
      <c r="AL24" s="4">
        <v>0.33</v>
      </c>
      <c r="AM24" s="6" t="s">
        <v>1145</v>
      </c>
      <c r="AN24" s="6">
        <v>0</v>
      </c>
      <c r="AO24" s="6">
        <v>0</v>
      </c>
      <c r="AP24" s="6">
        <v>0</v>
      </c>
      <c r="AQ24" s="6">
        <v>2</v>
      </c>
      <c r="AR24" s="6">
        <v>0</v>
      </c>
      <c r="AS24" s="6">
        <v>0</v>
      </c>
      <c r="AT24" s="6">
        <v>0</v>
      </c>
      <c r="AU24" s="6">
        <v>0</v>
      </c>
      <c r="AV24" s="62">
        <v>0</v>
      </c>
      <c r="AW24" s="62">
        <v>0</v>
      </c>
      <c r="AX24" s="6">
        <f t="array" ref="AX24">IFERROR(INDEX(Datos_Consumo[CANTIDAD],MATCH(TABLATRANSFERENCIA[[#This Row],[CODIGO]]&amp;TABLATRANSFERENCIA[[#Headers],[2016-5]],Datos_Consumo[CODIGO]&amp;Datos_Consumo[FECHA_FORMATO],0)),0)</f>
        <v>0</v>
      </c>
      <c r="AY24" s="6">
        <f t="array" ref="AY24">IFERROR(INDEX(Datos_Consumo[CANTIDAD],MATCH(TABLATRANSFERENCIA[[#This Row],[CODIGO]]&amp;TABLATRANSFERENCIA[[#Headers],[2016-6]],Datos_Consumo[CODIGO]&amp;Datos_Consumo[FECHA_FORMATO],0)),0)</f>
        <v>0</v>
      </c>
      <c r="AZ24" s="6">
        <f t="array" ref="AZ24">IFERROR(INDEX(Datos_Consumo[CANTIDAD],MATCH(TABLATRANSFERENCIA[[#This Row],[CODIGO]]&amp;TABLATRANSFERENCIA[[#Headers],[2016-7]],Datos_Consumo[CODIGO]&amp;Datos_Consumo[FECHA_FORMATO],0)),0)</f>
        <v>0</v>
      </c>
      <c r="BA24" s="6">
        <f t="array" ref="BA24">IFERROR(INDEX(Datos_Consumo[CANTIDAD],MATCH(TABLATRANSFERENCIA[[#This Row],[CODIGO]]&amp;TABLATRANSFERENCIA[[#Headers],[2016-8]],Datos_Consumo[CODIGO]&amp;Datos_Consumo[FECHA_FORMATO],0)),0)</f>
        <v>0</v>
      </c>
      <c r="BB24" s="6">
        <f t="array" ref="BB24">IFERROR(INDEX(Datos_Consumo[CANTIDAD],MATCH(TABLATRANSFERENCIA[[#This Row],[CODIGO]]&amp;TABLATRANSFERENCIA[[#Headers],[2016-9]],Datos_Consumo[CODIGO]&amp;Datos_Consumo[FECHA_FORMATO],0)),0)</f>
        <v>0</v>
      </c>
      <c r="BC24" s="6">
        <f t="array" ref="BC24">IFERROR(INDEX(Datos_Consumo[CANTIDAD],MATCH(TABLATRANSFERENCIA[[#This Row],[CODIGO]]&amp;TABLATRANSFERENCIA[[#Headers],[Columna6]],Datos_Consumo[CODIGO]&amp;Datos_Consumo[FECHA_FORMATO],0)),0)</f>
        <v>0</v>
      </c>
      <c r="BD24" s="50">
        <v>1</v>
      </c>
      <c r="BE24" s="55">
        <v>1</v>
      </c>
      <c r="BF24" s="50" t="s">
        <v>2470</v>
      </c>
      <c r="BG24" s="51"/>
      <c r="BH24"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2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4" s="51"/>
      <c r="BN24" s="46">
        <f>IFERROR(TABLATRANSFERENCIA[[#This Row],[REQUERIM]]/TABLATRANSFERENCIA[[#This Row],[PEDIDO PROMEDIO]],0)</f>
        <v>0.5</v>
      </c>
      <c r="BO24" s="51"/>
      <c r="BP24" s="63"/>
      <c r="BQ24" s="3">
        <f>IF(TABLATRANSFERENCIA[[#This Row],[RECIBIDO]]&lt;&gt;"",0,IF(TABLATRANSFERENCIA[[#This Row],[DESPACHO]]&lt;&gt;"",TABLATRANSFERENCIA[[#This Row],[DESPACHO]],TABLATRANSFERENCIA[[#This Row],[REQUERIM]]))</f>
        <v>1</v>
      </c>
      <c r="BR24" s="50"/>
      <c r="BS24" s="50"/>
      <c r="BT24" s="50" t="str">
        <f t="shared" si="0"/>
        <v>N</v>
      </c>
      <c r="BU24" s="51">
        <f t="array" ref="BU24">IF(SUM(--(TABLATRANSFERENCIA[[#This Row],[CODIGO GENERICO]]=TABLATRANSFERENCIA[CODIGO GENERICO])*TABLATRANSFERENCIA[REQUERIM])&lt;TABLATRANSFERENCIA[[#This Row],[PEDIDO MIN GRUPO]],1,0)</f>
        <v>0</v>
      </c>
      <c r="BV24"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24" s="51">
        <v>2</v>
      </c>
      <c r="BX24" s="51">
        <v>1</v>
      </c>
    </row>
    <row r="25" spans="1:76" x14ac:dyDescent="0.25">
      <c r="A25" s="54" t="s">
        <v>1733</v>
      </c>
      <c r="B25" s="3" t="s">
        <v>1860</v>
      </c>
      <c r="C25" s="3" t="s">
        <v>1144</v>
      </c>
      <c r="D25" s="3" t="s">
        <v>1144</v>
      </c>
      <c r="E25" s="3">
        <v>0</v>
      </c>
      <c r="F25" s="3">
        <v>0</v>
      </c>
      <c r="G25" s="3">
        <v>0</v>
      </c>
      <c r="H25" s="3">
        <v>0</v>
      </c>
      <c r="I25" s="3" t="s">
        <v>1847</v>
      </c>
      <c r="J25" s="3">
        <v>0</v>
      </c>
      <c r="K25" s="3">
        <v>0</v>
      </c>
      <c r="L25" s="3" t="s">
        <v>1724</v>
      </c>
      <c r="M25" s="3">
        <v>0</v>
      </c>
      <c r="N25" s="3">
        <v>0</v>
      </c>
      <c r="O25" s="5" t="s">
        <v>1144</v>
      </c>
      <c r="P25" s="5">
        <v>0</v>
      </c>
      <c r="Q25" s="5">
        <v>1059.4100000000001</v>
      </c>
      <c r="R25" s="46">
        <v>0</v>
      </c>
      <c r="S25" s="46">
        <v>0</v>
      </c>
      <c r="T25" s="46">
        <v>0</v>
      </c>
      <c r="U25" s="46">
        <v>1</v>
      </c>
      <c r="V25" s="49" t="s">
        <v>1724</v>
      </c>
      <c r="W25" s="49" t="s">
        <v>1742</v>
      </c>
      <c r="X25" s="51">
        <v>2</v>
      </c>
      <c r="Y25" s="51">
        <v>2</v>
      </c>
      <c r="Z25" s="6">
        <v>3</v>
      </c>
      <c r="AA25" s="6">
        <v>1000000000</v>
      </c>
      <c r="AB25" s="6">
        <v>0</v>
      </c>
      <c r="AC25" s="4">
        <v>1</v>
      </c>
      <c r="AD25" s="6" t="s">
        <v>838</v>
      </c>
      <c r="AE25" s="6">
        <v>0</v>
      </c>
      <c r="AF25" s="6">
        <v>0</v>
      </c>
      <c r="AG25" s="6">
        <v>0</v>
      </c>
      <c r="AH25" s="6">
        <v>0</v>
      </c>
      <c r="AI25" s="6">
        <v>0</v>
      </c>
      <c r="AJ25" s="6">
        <v>0</v>
      </c>
      <c r="AK25" s="6">
        <v>0</v>
      </c>
      <c r="AL25" s="4">
        <v>1</v>
      </c>
      <c r="AM25" s="6" t="s">
        <v>838</v>
      </c>
      <c r="AN25" s="6">
        <v>0</v>
      </c>
      <c r="AO25" s="6">
        <v>0</v>
      </c>
      <c r="AP25" s="6">
        <v>0</v>
      </c>
      <c r="AQ25" s="6">
        <v>2</v>
      </c>
      <c r="AR25" s="6">
        <v>0</v>
      </c>
      <c r="AS25" s="6">
        <v>0</v>
      </c>
      <c r="AT25" s="6">
        <v>0</v>
      </c>
      <c r="AU25" s="6">
        <v>20</v>
      </c>
      <c r="AV25" s="62">
        <v>0</v>
      </c>
      <c r="AW25" s="62">
        <v>0</v>
      </c>
      <c r="AX25" s="6">
        <f t="array" ref="AX25">IFERROR(INDEX(Datos_Consumo[CANTIDAD],MATCH(TABLATRANSFERENCIA[[#This Row],[CODIGO]]&amp;TABLATRANSFERENCIA[[#Headers],[2016-5]],Datos_Consumo[CODIGO]&amp;Datos_Consumo[FECHA_FORMATO],0)),0)</f>
        <v>0</v>
      </c>
      <c r="AY25" s="6">
        <f t="array" ref="AY25">IFERROR(INDEX(Datos_Consumo[CANTIDAD],MATCH(TABLATRANSFERENCIA[[#This Row],[CODIGO]]&amp;TABLATRANSFERENCIA[[#Headers],[2016-6]],Datos_Consumo[CODIGO]&amp;Datos_Consumo[FECHA_FORMATO],0)),0)</f>
        <v>0</v>
      </c>
      <c r="AZ25" s="6">
        <f t="array" ref="AZ25">IFERROR(INDEX(Datos_Consumo[CANTIDAD],MATCH(TABLATRANSFERENCIA[[#This Row],[CODIGO]]&amp;TABLATRANSFERENCIA[[#Headers],[2016-7]],Datos_Consumo[CODIGO]&amp;Datos_Consumo[FECHA_FORMATO],0)),0)</f>
        <v>0</v>
      </c>
      <c r="BA25" s="6">
        <f t="array" ref="BA25">IFERROR(INDEX(Datos_Consumo[CANTIDAD],MATCH(TABLATRANSFERENCIA[[#This Row],[CODIGO]]&amp;TABLATRANSFERENCIA[[#Headers],[2016-8]],Datos_Consumo[CODIGO]&amp;Datos_Consumo[FECHA_FORMATO],0)),0)</f>
        <v>0</v>
      </c>
      <c r="BB25" s="6">
        <f t="array" ref="BB25">IFERROR(INDEX(Datos_Consumo[CANTIDAD],MATCH(TABLATRANSFERENCIA[[#This Row],[CODIGO]]&amp;TABLATRANSFERENCIA[[#Headers],[2016-9]],Datos_Consumo[CODIGO]&amp;Datos_Consumo[FECHA_FORMATO],0)),0)</f>
        <v>0</v>
      </c>
      <c r="BC25" s="6">
        <f t="array" ref="BC25">IFERROR(INDEX(Datos_Consumo[CANTIDAD],MATCH(TABLATRANSFERENCIA[[#This Row],[CODIGO]]&amp;TABLATRANSFERENCIA[[#Headers],[Columna6]],Datos_Consumo[CODIGO]&amp;Datos_Consumo[FECHA_FORMATO],0)),0)</f>
        <v>0</v>
      </c>
      <c r="BD25" s="50">
        <v>3</v>
      </c>
      <c r="BE25" s="55">
        <v>3</v>
      </c>
      <c r="BF25" s="50" t="s">
        <v>2470</v>
      </c>
      <c r="BG25" s="51"/>
      <c r="BH25" s="51">
        <f>IF(RIGHT(TABLATRANSFERENCIA[[#Headers],[Emb1]],1)*1&lt;=TABLATRANSFERENCIA[[#This Row],[EMBARQUES]],IF(ISBLANK(TABLATRANSFERENCIA[[#This Row],[EMBARQUES]]),TABLATRANSFERENCIA[[#This Row],[REQUERIM]],ROUND(TABLATRANSFERENCIA[[#This Row],[REQUERIM]]/TABLATRANSFERENCIA[[#This Row],[EMBARQUES]],0)),TABLATRANSFERENCIA[[#This Row],[REQUERIM]])</f>
        <v>3</v>
      </c>
      <c r="BI2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5" s="51"/>
      <c r="BN25" s="46">
        <f>IFERROR(TABLATRANSFERENCIA[[#This Row],[REQUERIM]]/TABLATRANSFERENCIA[[#This Row],[PEDIDO PROMEDIO]],0)</f>
        <v>1.5</v>
      </c>
      <c r="BO25" s="51"/>
      <c r="BP25" s="63"/>
      <c r="BQ25" s="3">
        <f>IF(TABLATRANSFERENCIA[[#This Row],[RECIBIDO]]&lt;&gt;"",0,IF(TABLATRANSFERENCIA[[#This Row],[DESPACHO]]&lt;&gt;"",TABLATRANSFERENCIA[[#This Row],[DESPACHO]],TABLATRANSFERENCIA[[#This Row],[REQUERIM]]))</f>
        <v>3</v>
      </c>
      <c r="BR25" s="50"/>
      <c r="BS25" s="50"/>
      <c r="BT25" s="50" t="str">
        <f t="shared" si="0"/>
        <v>N</v>
      </c>
      <c r="BU25" s="51">
        <f t="array" ref="BU25">IF(SUM(--(TABLATRANSFERENCIA[[#This Row],[CODIGO GENERICO]]=TABLATRANSFERENCIA[CODIGO GENERICO])*TABLATRANSFERENCIA[REQUERIM])&lt;TABLATRANSFERENCIA[[#This Row],[PEDIDO MIN GRUPO]],1,0)</f>
        <v>0</v>
      </c>
      <c r="BV25"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25" s="51">
        <v>2</v>
      </c>
      <c r="BX25" s="51">
        <v>1</v>
      </c>
    </row>
    <row r="26" spans="1:76" x14ac:dyDescent="0.25">
      <c r="A26" s="54" t="s">
        <v>1402</v>
      </c>
      <c r="B26" s="3" t="s">
        <v>1907</v>
      </c>
      <c r="C26" s="3" t="s">
        <v>1144</v>
      </c>
      <c r="D26" s="3" t="s">
        <v>1144</v>
      </c>
      <c r="E26" s="3">
        <v>0</v>
      </c>
      <c r="F26" s="3">
        <v>0</v>
      </c>
      <c r="G26" s="3">
        <v>0</v>
      </c>
      <c r="H26" s="3">
        <v>0</v>
      </c>
      <c r="I26" s="3" t="s">
        <v>1869</v>
      </c>
      <c r="J26" s="3">
        <v>0</v>
      </c>
      <c r="K26" s="3">
        <v>0</v>
      </c>
      <c r="L26" s="3" t="s">
        <v>1724</v>
      </c>
      <c r="M26" s="3">
        <v>0</v>
      </c>
      <c r="N26" s="3">
        <v>0</v>
      </c>
      <c r="O26" s="5" t="s">
        <v>1144</v>
      </c>
      <c r="P26" s="5">
        <v>94.78</v>
      </c>
      <c r="Q26" s="5">
        <v>230.18</v>
      </c>
      <c r="R26" s="46">
        <v>0</v>
      </c>
      <c r="S26" s="46">
        <v>17.14</v>
      </c>
      <c r="T26" s="46">
        <v>0</v>
      </c>
      <c r="U26" s="46">
        <v>1</v>
      </c>
      <c r="V26" s="49" t="s">
        <v>1724</v>
      </c>
      <c r="W26" s="49" t="s">
        <v>1742</v>
      </c>
      <c r="X26" s="51">
        <v>2</v>
      </c>
      <c r="Y26" s="51">
        <v>2</v>
      </c>
      <c r="Z26" s="6">
        <v>2</v>
      </c>
      <c r="AA26" s="6">
        <v>1000000000</v>
      </c>
      <c r="AB26" s="6">
        <v>0</v>
      </c>
      <c r="AC26" s="4">
        <v>1</v>
      </c>
      <c r="AD26" s="6" t="s">
        <v>838</v>
      </c>
      <c r="AE26" s="6">
        <v>0</v>
      </c>
      <c r="AF26" s="6">
        <v>0</v>
      </c>
      <c r="AG26" s="6">
        <v>0</v>
      </c>
      <c r="AH26" s="6">
        <v>0</v>
      </c>
      <c r="AI26" s="6">
        <v>0</v>
      </c>
      <c r="AJ26" s="6">
        <v>0</v>
      </c>
      <c r="AK26" s="6">
        <v>0</v>
      </c>
      <c r="AL26" s="4">
        <v>1</v>
      </c>
      <c r="AM26" s="6" t="s">
        <v>838</v>
      </c>
      <c r="AN26" s="6">
        <v>0</v>
      </c>
      <c r="AO26" s="6">
        <v>0</v>
      </c>
      <c r="AP26" s="6">
        <v>0</v>
      </c>
      <c r="AQ26" s="6">
        <v>1</v>
      </c>
      <c r="AR26" s="6">
        <v>6.25</v>
      </c>
      <c r="AS26" s="6">
        <v>0</v>
      </c>
      <c r="AT26" s="6">
        <v>0</v>
      </c>
      <c r="AU26" s="6">
        <v>20</v>
      </c>
      <c r="AV26" s="62">
        <v>0</v>
      </c>
      <c r="AW26" s="62">
        <v>0</v>
      </c>
      <c r="AX26" s="6">
        <f t="array" ref="AX26">IFERROR(INDEX(Datos_Consumo[CANTIDAD],MATCH(TABLATRANSFERENCIA[[#This Row],[CODIGO]]&amp;TABLATRANSFERENCIA[[#Headers],[2016-5]],Datos_Consumo[CODIGO]&amp;Datos_Consumo[FECHA_FORMATO],0)),0)</f>
        <v>2</v>
      </c>
      <c r="AY26" s="6">
        <f t="array" ref="AY26">IFERROR(INDEX(Datos_Consumo[CANTIDAD],MATCH(TABLATRANSFERENCIA[[#This Row],[CODIGO]]&amp;TABLATRANSFERENCIA[[#Headers],[2016-6]],Datos_Consumo[CODIGO]&amp;Datos_Consumo[FECHA_FORMATO],0)),0)</f>
        <v>0</v>
      </c>
      <c r="AZ26" s="6">
        <f t="array" ref="AZ26">IFERROR(INDEX(Datos_Consumo[CANTIDAD],MATCH(TABLATRANSFERENCIA[[#This Row],[CODIGO]]&amp;TABLATRANSFERENCIA[[#Headers],[2016-7]],Datos_Consumo[CODIGO]&amp;Datos_Consumo[FECHA_FORMATO],0)),0)</f>
        <v>0</v>
      </c>
      <c r="BA26" s="6">
        <f t="array" ref="BA26">IFERROR(INDEX(Datos_Consumo[CANTIDAD],MATCH(TABLATRANSFERENCIA[[#This Row],[CODIGO]]&amp;TABLATRANSFERENCIA[[#Headers],[2016-8]],Datos_Consumo[CODIGO]&amp;Datos_Consumo[FECHA_FORMATO],0)),0)</f>
        <v>0</v>
      </c>
      <c r="BB26" s="6">
        <f t="array" ref="BB26">IFERROR(INDEX(Datos_Consumo[CANTIDAD],MATCH(TABLATRANSFERENCIA[[#This Row],[CODIGO]]&amp;TABLATRANSFERENCIA[[#Headers],[2016-9]],Datos_Consumo[CODIGO]&amp;Datos_Consumo[FECHA_FORMATO],0)),0)</f>
        <v>0</v>
      </c>
      <c r="BC26" s="6">
        <f t="array" ref="BC26">IFERROR(INDEX(Datos_Consumo[CANTIDAD],MATCH(TABLATRANSFERENCIA[[#This Row],[CODIGO]]&amp;TABLATRANSFERENCIA[[#Headers],[Columna6]],Datos_Consumo[CODIGO]&amp;Datos_Consumo[FECHA_FORMATO],0)),0)</f>
        <v>0</v>
      </c>
      <c r="BD26" s="50">
        <v>2</v>
      </c>
      <c r="BE26" s="55">
        <v>2</v>
      </c>
      <c r="BF26" s="50" t="s">
        <v>2470</v>
      </c>
      <c r="BG26" s="51"/>
      <c r="BH26" s="51">
        <f>IF(RIGHT(TABLATRANSFERENCIA[[#Headers],[Emb1]],1)*1&lt;=TABLATRANSFERENCIA[[#This Row],[EMBARQUES]],IF(ISBLANK(TABLATRANSFERENCIA[[#This Row],[EMBARQUES]]),TABLATRANSFERENCIA[[#This Row],[REQUERIM]],ROUND(TABLATRANSFERENCIA[[#This Row],[REQUERIM]]/TABLATRANSFERENCIA[[#This Row],[EMBARQUES]],0)),TABLATRANSFERENCIA[[#This Row],[REQUERIM]])</f>
        <v>2</v>
      </c>
      <c r="BI2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6" s="51"/>
      <c r="BN26" s="46">
        <f>IFERROR(TABLATRANSFERENCIA[[#This Row],[REQUERIM]]/TABLATRANSFERENCIA[[#This Row],[PEDIDO PROMEDIO]],0)</f>
        <v>2</v>
      </c>
      <c r="BO26" s="51"/>
      <c r="BP26" s="63"/>
      <c r="BQ26" s="3">
        <f>IF(TABLATRANSFERENCIA[[#This Row],[RECIBIDO]]&lt;&gt;"",0,IF(TABLATRANSFERENCIA[[#This Row],[DESPACHO]]&lt;&gt;"",TABLATRANSFERENCIA[[#This Row],[DESPACHO]],TABLATRANSFERENCIA[[#This Row],[REQUERIM]]))</f>
        <v>2</v>
      </c>
      <c r="BR26" s="50"/>
      <c r="BS26" s="50"/>
      <c r="BT26" s="50" t="str">
        <f t="shared" si="0"/>
        <v>N</v>
      </c>
      <c r="BU26" s="51">
        <f t="array" ref="BU26">IF(SUM(--(TABLATRANSFERENCIA[[#This Row],[CODIGO GENERICO]]=TABLATRANSFERENCIA[CODIGO GENERICO])*TABLATRANSFERENCIA[REQUERIM])&lt;TABLATRANSFERENCIA[[#This Row],[PEDIDO MIN GRUPO]],1,0)</f>
        <v>0</v>
      </c>
      <c r="BV26"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W26" s="51">
        <v>2</v>
      </c>
      <c r="BX26" s="51">
        <v>1</v>
      </c>
    </row>
    <row r="27" spans="1:76" x14ac:dyDescent="0.25">
      <c r="A27" s="54" t="s">
        <v>1403</v>
      </c>
      <c r="B27" s="3" t="s">
        <v>1908</v>
      </c>
      <c r="C27" s="3" t="s">
        <v>1144</v>
      </c>
      <c r="D27" s="3" t="s">
        <v>1144</v>
      </c>
      <c r="E27" s="3">
        <v>0</v>
      </c>
      <c r="F27" s="3">
        <v>0</v>
      </c>
      <c r="G27" s="3">
        <v>0</v>
      </c>
      <c r="H27" s="3">
        <v>0</v>
      </c>
      <c r="I27" s="3" t="s">
        <v>1869</v>
      </c>
      <c r="J27" s="3">
        <v>0</v>
      </c>
      <c r="K27" s="3">
        <v>0</v>
      </c>
      <c r="L27" s="3" t="s">
        <v>1724</v>
      </c>
      <c r="M27" s="3">
        <v>0</v>
      </c>
      <c r="N27" s="3">
        <v>0</v>
      </c>
      <c r="O27" s="5" t="s">
        <v>1144</v>
      </c>
      <c r="P27" s="5">
        <v>96.9</v>
      </c>
      <c r="Q27" s="5">
        <v>230.18</v>
      </c>
      <c r="R27" s="46">
        <v>0</v>
      </c>
      <c r="S27" s="46">
        <v>16.510000000000002</v>
      </c>
      <c r="T27" s="46">
        <v>0</v>
      </c>
      <c r="U27" s="46">
        <v>1</v>
      </c>
      <c r="V27" s="49" t="s">
        <v>1724</v>
      </c>
      <c r="W27" s="49" t="s">
        <v>1742</v>
      </c>
      <c r="X27" s="51">
        <v>2</v>
      </c>
      <c r="Y27" s="51">
        <v>2</v>
      </c>
      <c r="Z27" s="6">
        <v>2</v>
      </c>
      <c r="AA27" s="6">
        <v>1000000000</v>
      </c>
      <c r="AB27" s="6">
        <v>1</v>
      </c>
      <c r="AC27" s="4">
        <v>0.5</v>
      </c>
      <c r="AD27" s="6" t="s">
        <v>1146</v>
      </c>
      <c r="AE27" s="6">
        <v>0</v>
      </c>
      <c r="AF27" s="6">
        <v>0</v>
      </c>
      <c r="AG27" s="6">
        <v>0</v>
      </c>
      <c r="AH27" s="6">
        <v>0</v>
      </c>
      <c r="AI27" s="6">
        <v>0</v>
      </c>
      <c r="AJ27" s="6">
        <v>0</v>
      </c>
      <c r="AK27" s="6">
        <v>1</v>
      </c>
      <c r="AL27" s="4">
        <v>0.5</v>
      </c>
      <c r="AM27" s="6" t="s">
        <v>1146</v>
      </c>
      <c r="AN27" s="6">
        <v>0</v>
      </c>
      <c r="AO27" s="6">
        <v>0</v>
      </c>
      <c r="AP27" s="6">
        <v>0</v>
      </c>
      <c r="AQ27" s="6">
        <v>1</v>
      </c>
      <c r="AR27" s="6">
        <v>12.5</v>
      </c>
      <c r="AS27" s="6">
        <v>6.25</v>
      </c>
      <c r="AT27" s="6">
        <v>0</v>
      </c>
      <c r="AU27" s="6">
        <v>0</v>
      </c>
      <c r="AV27" s="62">
        <v>0</v>
      </c>
      <c r="AW27" s="62">
        <v>0</v>
      </c>
      <c r="AX27" s="6">
        <f t="array" ref="AX27">IFERROR(INDEX(Datos_Consumo[CANTIDAD],MATCH(TABLATRANSFERENCIA[[#This Row],[CODIGO]]&amp;TABLATRANSFERENCIA[[#Headers],[2016-5]],Datos_Consumo[CODIGO]&amp;Datos_Consumo[FECHA_FORMATO],0)),0)</f>
        <v>1</v>
      </c>
      <c r="AY27" s="6">
        <f t="array" ref="AY27">IFERROR(INDEX(Datos_Consumo[CANTIDAD],MATCH(TABLATRANSFERENCIA[[#This Row],[CODIGO]]&amp;TABLATRANSFERENCIA[[#Headers],[2016-6]],Datos_Consumo[CODIGO]&amp;Datos_Consumo[FECHA_FORMATO],0)),0)</f>
        <v>0</v>
      </c>
      <c r="AZ27" s="6">
        <f t="array" ref="AZ27">IFERROR(INDEX(Datos_Consumo[CANTIDAD],MATCH(TABLATRANSFERENCIA[[#This Row],[CODIGO]]&amp;TABLATRANSFERENCIA[[#Headers],[2016-7]],Datos_Consumo[CODIGO]&amp;Datos_Consumo[FECHA_FORMATO],0)),0)</f>
        <v>0</v>
      </c>
      <c r="BA27" s="6">
        <f t="array" ref="BA27">IFERROR(INDEX(Datos_Consumo[CANTIDAD],MATCH(TABLATRANSFERENCIA[[#This Row],[CODIGO]]&amp;TABLATRANSFERENCIA[[#Headers],[2016-8]],Datos_Consumo[CODIGO]&amp;Datos_Consumo[FECHA_FORMATO],0)),0)</f>
        <v>0</v>
      </c>
      <c r="BB27" s="6">
        <f t="array" ref="BB27">IFERROR(INDEX(Datos_Consumo[CANTIDAD],MATCH(TABLATRANSFERENCIA[[#This Row],[CODIGO]]&amp;TABLATRANSFERENCIA[[#Headers],[2016-9]],Datos_Consumo[CODIGO]&amp;Datos_Consumo[FECHA_FORMATO],0)),0)</f>
        <v>0</v>
      </c>
      <c r="BC27" s="6">
        <f t="array" ref="BC27">IFERROR(INDEX(Datos_Consumo[CANTIDAD],MATCH(TABLATRANSFERENCIA[[#This Row],[CODIGO]]&amp;TABLATRANSFERENCIA[[#Headers],[Columna6]],Datos_Consumo[CODIGO]&amp;Datos_Consumo[FECHA_FORMATO],0)),0)</f>
        <v>0</v>
      </c>
      <c r="BD27" s="50">
        <v>1</v>
      </c>
      <c r="BE27" s="55">
        <v>1</v>
      </c>
      <c r="BF27" s="50" t="s">
        <v>2470</v>
      </c>
      <c r="BG27" s="51"/>
      <c r="BH27"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2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7" s="51"/>
      <c r="BN27" s="46">
        <f>IFERROR(TABLATRANSFERENCIA[[#This Row],[REQUERIM]]/TABLATRANSFERENCIA[[#This Row],[PEDIDO PROMEDIO]],0)</f>
        <v>1</v>
      </c>
      <c r="BO27" s="51"/>
      <c r="BP27" s="63"/>
      <c r="BQ27" s="3">
        <f>IF(TABLATRANSFERENCIA[[#This Row],[RECIBIDO]]&lt;&gt;"",0,IF(TABLATRANSFERENCIA[[#This Row],[DESPACHO]]&lt;&gt;"",TABLATRANSFERENCIA[[#This Row],[DESPACHO]],TABLATRANSFERENCIA[[#This Row],[REQUERIM]]))</f>
        <v>1</v>
      </c>
      <c r="BR27" s="50"/>
      <c r="BS27" s="50"/>
      <c r="BT27" s="50" t="str">
        <f t="shared" si="0"/>
        <v>N</v>
      </c>
      <c r="BU27" s="51">
        <f t="array" ref="BU27">IF(SUM(--(TABLATRANSFERENCIA[[#This Row],[CODIGO GENERICO]]=TABLATRANSFERENCIA[CODIGO GENERICO])*TABLATRANSFERENCIA[REQUERIM])&lt;TABLATRANSFERENCIA[[#This Row],[PEDIDO MIN GRUPO]],1,0)</f>
        <v>0</v>
      </c>
      <c r="BV27"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W27" s="51">
        <v>2</v>
      </c>
      <c r="BX27" s="51">
        <v>1</v>
      </c>
    </row>
    <row r="28" spans="1:76" x14ac:dyDescent="0.25">
      <c r="A28" s="54" t="s">
        <v>1409</v>
      </c>
      <c r="B28" s="3" t="s">
        <v>1964</v>
      </c>
      <c r="C28" s="3" t="s">
        <v>1144</v>
      </c>
      <c r="D28" s="3" t="s">
        <v>1144</v>
      </c>
      <c r="E28" s="3">
        <v>0</v>
      </c>
      <c r="F28" s="3">
        <v>0</v>
      </c>
      <c r="G28" s="3">
        <v>0</v>
      </c>
      <c r="H28" s="3">
        <v>0</v>
      </c>
      <c r="I28" s="3" t="s">
        <v>1962</v>
      </c>
      <c r="J28" s="3">
        <v>0</v>
      </c>
      <c r="K28" s="3">
        <v>0</v>
      </c>
      <c r="L28" s="3" t="s">
        <v>1724</v>
      </c>
      <c r="M28" s="3">
        <v>0</v>
      </c>
      <c r="N28" s="3">
        <v>0</v>
      </c>
      <c r="O28" s="5" t="s">
        <v>1144</v>
      </c>
      <c r="P28" s="5">
        <v>333.15</v>
      </c>
      <c r="Q28" s="5">
        <v>1020.89</v>
      </c>
      <c r="R28" s="46">
        <v>0</v>
      </c>
      <c r="S28" s="46">
        <v>24.77</v>
      </c>
      <c r="T28" s="46">
        <v>0</v>
      </c>
      <c r="U28" s="46">
        <v>1</v>
      </c>
      <c r="V28" s="49" t="s">
        <v>1724</v>
      </c>
      <c r="W28" s="49" t="s">
        <v>1742</v>
      </c>
      <c r="X28" s="51">
        <v>2</v>
      </c>
      <c r="Y28" s="51">
        <v>2</v>
      </c>
      <c r="Z28" s="6">
        <v>2</v>
      </c>
      <c r="AA28" s="6">
        <v>1000000000</v>
      </c>
      <c r="AB28" s="6">
        <v>1</v>
      </c>
      <c r="AC28" s="4">
        <v>0.5</v>
      </c>
      <c r="AD28" s="6" t="s">
        <v>1146</v>
      </c>
      <c r="AE28" s="6">
        <v>0</v>
      </c>
      <c r="AF28" s="6">
        <v>0</v>
      </c>
      <c r="AG28" s="6">
        <v>0</v>
      </c>
      <c r="AH28" s="6">
        <v>0</v>
      </c>
      <c r="AI28" s="6">
        <v>0</v>
      </c>
      <c r="AJ28" s="6">
        <v>0</v>
      </c>
      <c r="AK28" s="6">
        <v>1</v>
      </c>
      <c r="AL28" s="4">
        <v>0.5</v>
      </c>
      <c r="AM28" s="6" t="s">
        <v>1146</v>
      </c>
      <c r="AN28" s="6">
        <v>0</v>
      </c>
      <c r="AO28" s="6">
        <v>0</v>
      </c>
      <c r="AP28" s="6">
        <v>0</v>
      </c>
      <c r="AQ28" s="6">
        <v>1</v>
      </c>
      <c r="AR28" s="6">
        <v>6.25</v>
      </c>
      <c r="AS28" s="6">
        <v>3.13</v>
      </c>
      <c r="AT28" s="6">
        <v>0</v>
      </c>
      <c r="AU28" s="6">
        <v>0</v>
      </c>
      <c r="AV28" s="62">
        <v>0</v>
      </c>
      <c r="AW28" s="62">
        <v>0</v>
      </c>
      <c r="AX28" s="6">
        <f t="array" ref="AX28">IFERROR(INDEX(Datos_Consumo[CANTIDAD],MATCH(TABLATRANSFERENCIA[[#This Row],[CODIGO]]&amp;TABLATRANSFERENCIA[[#Headers],[2016-5]],Datos_Consumo[CODIGO]&amp;Datos_Consumo[FECHA_FORMATO],0)),0)</f>
        <v>0</v>
      </c>
      <c r="AY28" s="6">
        <f t="array" ref="AY28">IFERROR(INDEX(Datos_Consumo[CANTIDAD],MATCH(TABLATRANSFERENCIA[[#This Row],[CODIGO]]&amp;TABLATRANSFERENCIA[[#Headers],[2016-6]],Datos_Consumo[CODIGO]&amp;Datos_Consumo[FECHA_FORMATO],0)),0)</f>
        <v>1</v>
      </c>
      <c r="AZ28" s="6">
        <f t="array" ref="AZ28">IFERROR(INDEX(Datos_Consumo[CANTIDAD],MATCH(TABLATRANSFERENCIA[[#This Row],[CODIGO]]&amp;TABLATRANSFERENCIA[[#Headers],[2016-7]],Datos_Consumo[CODIGO]&amp;Datos_Consumo[FECHA_FORMATO],0)),0)</f>
        <v>0</v>
      </c>
      <c r="BA28" s="6">
        <f t="array" ref="BA28">IFERROR(INDEX(Datos_Consumo[CANTIDAD],MATCH(TABLATRANSFERENCIA[[#This Row],[CODIGO]]&amp;TABLATRANSFERENCIA[[#Headers],[2016-8]],Datos_Consumo[CODIGO]&amp;Datos_Consumo[FECHA_FORMATO],0)),0)</f>
        <v>0</v>
      </c>
      <c r="BB28" s="6">
        <f t="array" ref="BB28">IFERROR(INDEX(Datos_Consumo[CANTIDAD],MATCH(TABLATRANSFERENCIA[[#This Row],[CODIGO]]&amp;TABLATRANSFERENCIA[[#Headers],[2016-9]],Datos_Consumo[CODIGO]&amp;Datos_Consumo[FECHA_FORMATO],0)),0)</f>
        <v>0</v>
      </c>
      <c r="BC28" s="6">
        <f t="array" ref="BC28">IFERROR(INDEX(Datos_Consumo[CANTIDAD],MATCH(TABLATRANSFERENCIA[[#This Row],[CODIGO]]&amp;TABLATRANSFERENCIA[[#Headers],[Columna6]],Datos_Consumo[CODIGO]&amp;Datos_Consumo[FECHA_FORMATO],0)),0)</f>
        <v>0</v>
      </c>
      <c r="BD28" s="50">
        <v>1</v>
      </c>
      <c r="BE28" s="55">
        <v>1</v>
      </c>
      <c r="BF28" s="50" t="s">
        <v>2470</v>
      </c>
      <c r="BG28" s="51"/>
      <c r="BH28"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2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8" s="51"/>
      <c r="BN28" s="46">
        <f>IFERROR(TABLATRANSFERENCIA[[#This Row],[REQUERIM]]/TABLATRANSFERENCIA[[#This Row],[PEDIDO PROMEDIO]],0)</f>
        <v>1</v>
      </c>
      <c r="BO28" s="51"/>
      <c r="BP28" s="63"/>
      <c r="BQ28" s="3">
        <f>IF(TABLATRANSFERENCIA[[#This Row],[RECIBIDO]]&lt;&gt;"",0,IF(TABLATRANSFERENCIA[[#This Row],[DESPACHO]]&lt;&gt;"",TABLATRANSFERENCIA[[#This Row],[DESPACHO]],TABLATRANSFERENCIA[[#This Row],[REQUERIM]]))</f>
        <v>1</v>
      </c>
      <c r="BR28" s="50"/>
      <c r="BS28" s="50"/>
      <c r="BT28" s="50" t="str">
        <f t="shared" si="0"/>
        <v>N</v>
      </c>
      <c r="BU28" s="51">
        <f t="array" ref="BU28">IF(SUM(--(TABLATRANSFERENCIA[[#This Row],[CODIGO GENERICO]]=TABLATRANSFERENCIA[CODIGO GENERICO])*TABLATRANSFERENCIA[REQUERIM])&lt;TABLATRANSFERENCIA[[#This Row],[PEDIDO MIN GRUPO]],1,0)</f>
        <v>0</v>
      </c>
      <c r="BV28"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W28" s="51">
        <v>2</v>
      </c>
      <c r="BX28" s="51">
        <v>1</v>
      </c>
    </row>
    <row r="29" spans="1:76" x14ac:dyDescent="0.25">
      <c r="A29" s="54" t="s">
        <v>1415</v>
      </c>
      <c r="B29" s="3" t="s">
        <v>1974</v>
      </c>
      <c r="C29" s="3" t="s">
        <v>1144</v>
      </c>
      <c r="D29" s="3" t="s">
        <v>1144</v>
      </c>
      <c r="E29" s="3">
        <v>0</v>
      </c>
      <c r="F29" s="3">
        <v>0</v>
      </c>
      <c r="G29" s="3">
        <v>0</v>
      </c>
      <c r="H29" s="3">
        <v>0</v>
      </c>
      <c r="I29" s="3" t="s">
        <v>1962</v>
      </c>
      <c r="J29" s="3">
        <v>0</v>
      </c>
      <c r="K29" s="3">
        <v>0</v>
      </c>
      <c r="L29" s="3" t="s">
        <v>1724</v>
      </c>
      <c r="M29" s="3">
        <v>0</v>
      </c>
      <c r="N29" s="3">
        <v>0</v>
      </c>
      <c r="O29" s="5" t="s">
        <v>1144</v>
      </c>
      <c r="P29" s="5">
        <v>337.33</v>
      </c>
      <c r="Q29" s="5">
        <v>1020.89</v>
      </c>
      <c r="R29" s="46">
        <v>0</v>
      </c>
      <c r="S29" s="46">
        <v>24.32</v>
      </c>
      <c r="T29" s="46">
        <v>0</v>
      </c>
      <c r="U29" s="46">
        <v>1</v>
      </c>
      <c r="V29" s="49" t="s">
        <v>1724</v>
      </c>
      <c r="W29" s="49" t="s">
        <v>1742</v>
      </c>
      <c r="X29" s="51">
        <v>2</v>
      </c>
      <c r="Y29" s="51">
        <v>2</v>
      </c>
      <c r="Z29" s="6">
        <v>2</v>
      </c>
      <c r="AA29" s="6">
        <v>1000000000</v>
      </c>
      <c r="AB29" s="6">
        <v>1</v>
      </c>
      <c r="AC29" s="4">
        <v>0.5</v>
      </c>
      <c r="AD29" s="6" t="s">
        <v>1146</v>
      </c>
      <c r="AE29" s="6">
        <v>0</v>
      </c>
      <c r="AF29" s="6">
        <v>0</v>
      </c>
      <c r="AG29" s="6">
        <v>0</v>
      </c>
      <c r="AH29" s="6">
        <v>0</v>
      </c>
      <c r="AI29" s="6">
        <v>0</v>
      </c>
      <c r="AJ29" s="6">
        <v>0</v>
      </c>
      <c r="AK29" s="6">
        <v>1</v>
      </c>
      <c r="AL29" s="4">
        <v>0.5</v>
      </c>
      <c r="AM29" s="6" t="s">
        <v>1146</v>
      </c>
      <c r="AN29" s="6">
        <v>0</v>
      </c>
      <c r="AO29" s="6">
        <v>0</v>
      </c>
      <c r="AP29" s="6">
        <v>0</v>
      </c>
      <c r="AQ29" s="6">
        <v>1</v>
      </c>
      <c r="AR29" s="6">
        <v>6.25</v>
      </c>
      <c r="AS29" s="6">
        <v>3.13</v>
      </c>
      <c r="AT29" s="6">
        <v>0</v>
      </c>
      <c r="AU29" s="6">
        <v>0</v>
      </c>
      <c r="AV29" s="62">
        <v>0</v>
      </c>
      <c r="AW29" s="62">
        <v>0</v>
      </c>
      <c r="AX29" s="6">
        <f t="array" ref="AX29">IFERROR(INDEX(Datos_Consumo[CANTIDAD],MATCH(TABLATRANSFERENCIA[[#This Row],[CODIGO]]&amp;TABLATRANSFERENCIA[[#Headers],[2016-5]],Datos_Consumo[CODIGO]&amp;Datos_Consumo[FECHA_FORMATO],0)),0)</f>
        <v>2</v>
      </c>
      <c r="AY29" s="6">
        <f t="array" ref="AY29">IFERROR(INDEX(Datos_Consumo[CANTIDAD],MATCH(TABLATRANSFERENCIA[[#This Row],[CODIGO]]&amp;TABLATRANSFERENCIA[[#Headers],[2016-6]],Datos_Consumo[CODIGO]&amp;Datos_Consumo[FECHA_FORMATO],0)),0)</f>
        <v>0</v>
      </c>
      <c r="AZ29" s="6">
        <f t="array" ref="AZ29">IFERROR(INDEX(Datos_Consumo[CANTIDAD],MATCH(TABLATRANSFERENCIA[[#This Row],[CODIGO]]&amp;TABLATRANSFERENCIA[[#Headers],[2016-7]],Datos_Consumo[CODIGO]&amp;Datos_Consumo[FECHA_FORMATO],0)),0)</f>
        <v>0</v>
      </c>
      <c r="BA29" s="6">
        <f t="array" ref="BA29">IFERROR(INDEX(Datos_Consumo[CANTIDAD],MATCH(TABLATRANSFERENCIA[[#This Row],[CODIGO]]&amp;TABLATRANSFERENCIA[[#Headers],[2016-8]],Datos_Consumo[CODIGO]&amp;Datos_Consumo[FECHA_FORMATO],0)),0)</f>
        <v>0</v>
      </c>
      <c r="BB29" s="6">
        <f t="array" ref="BB29">IFERROR(INDEX(Datos_Consumo[CANTIDAD],MATCH(TABLATRANSFERENCIA[[#This Row],[CODIGO]]&amp;TABLATRANSFERENCIA[[#Headers],[2016-9]],Datos_Consumo[CODIGO]&amp;Datos_Consumo[FECHA_FORMATO],0)),0)</f>
        <v>0</v>
      </c>
      <c r="BC29" s="6">
        <f t="array" ref="BC29">IFERROR(INDEX(Datos_Consumo[CANTIDAD],MATCH(TABLATRANSFERENCIA[[#This Row],[CODIGO]]&amp;TABLATRANSFERENCIA[[#Headers],[Columna6]],Datos_Consumo[CODIGO]&amp;Datos_Consumo[FECHA_FORMATO],0)),0)</f>
        <v>0</v>
      </c>
      <c r="BD29" s="50">
        <v>1</v>
      </c>
      <c r="BE29" s="55">
        <v>1</v>
      </c>
      <c r="BF29" s="50" t="s">
        <v>2470</v>
      </c>
      <c r="BG29" s="51"/>
      <c r="BH29"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2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9" s="51"/>
      <c r="BN29" s="46">
        <f>IFERROR(TABLATRANSFERENCIA[[#This Row],[REQUERIM]]/TABLATRANSFERENCIA[[#This Row],[PEDIDO PROMEDIO]],0)</f>
        <v>1</v>
      </c>
      <c r="BO29" s="51"/>
      <c r="BP29" s="63"/>
      <c r="BQ29" s="3">
        <f>IF(TABLATRANSFERENCIA[[#This Row],[RECIBIDO]]&lt;&gt;"",0,IF(TABLATRANSFERENCIA[[#This Row],[DESPACHO]]&lt;&gt;"",TABLATRANSFERENCIA[[#This Row],[DESPACHO]],TABLATRANSFERENCIA[[#This Row],[REQUERIM]]))</f>
        <v>1</v>
      </c>
      <c r="BR29" s="50"/>
      <c r="BS29" s="50"/>
      <c r="BT29" s="50" t="str">
        <f t="shared" si="0"/>
        <v>N</v>
      </c>
      <c r="BU29" s="51">
        <f t="array" ref="BU29">IF(SUM(--(TABLATRANSFERENCIA[[#This Row],[CODIGO GENERICO]]=TABLATRANSFERENCIA[CODIGO GENERICO])*TABLATRANSFERENCIA[REQUERIM])&lt;TABLATRANSFERENCIA[[#This Row],[PEDIDO MIN GRUPO]],1,0)</f>
        <v>0</v>
      </c>
      <c r="BV29"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W29" s="51">
        <v>2</v>
      </c>
      <c r="BX29" s="51">
        <v>1</v>
      </c>
    </row>
    <row r="30" spans="1:76" x14ac:dyDescent="0.25">
      <c r="A30" s="54" t="s">
        <v>1416</v>
      </c>
      <c r="B30" s="3" t="s">
        <v>1975</v>
      </c>
      <c r="C30" s="3" t="s">
        <v>1144</v>
      </c>
      <c r="D30" s="3" t="s">
        <v>1144</v>
      </c>
      <c r="E30" s="3">
        <v>0</v>
      </c>
      <c r="F30" s="3">
        <v>0</v>
      </c>
      <c r="G30" s="3">
        <v>0</v>
      </c>
      <c r="H30" s="3">
        <v>0</v>
      </c>
      <c r="I30" s="3" t="s">
        <v>1962</v>
      </c>
      <c r="J30" s="3">
        <v>0</v>
      </c>
      <c r="K30" s="3">
        <v>0</v>
      </c>
      <c r="L30" s="3" t="s">
        <v>1724</v>
      </c>
      <c r="M30" s="3">
        <v>0</v>
      </c>
      <c r="N30" s="3">
        <v>0</v>
      </c>
      <c r="O30" s="5" t="s">
        <v>1144</v>
      </c>
      <c r="P30" s="5">
        <v>325.93</v>
      </c>
      <c r="Q30" s="5">
        <v>1020.89</v>
      </c>
      <c r="R30" s="46">
        <v>0</v>
      </c>
      <c r="S30" s="46">
        <v>25.59</v>
      </c>
      <c r="T30" s="46">
        <v>0</v>
      </c>
      <c r="U30" s="46">
        <v>1</v>
      </c>
      <c r="V30" s="49" t="s">
        <v>1724</v>
      </c>
      <c r="W30" s="49" t="s">
        <v>1742</v>
      </c>
      <c r="X30" s="51">
        <v>2</v>
      </c>
      <c r="Y30" s="51">
        <v>2</v>
      </c>
      <c r="Z30" s="6">
        <v>2</v>
      </c>
      <c r="AA30" s="6">
        <v>1000000000</v>
      </c>
      <c r="AB30" s="6">
        <v>1</v>
      </c>
      <c r="AC30" s="4">
        <v>0.5</v>
      </c>
      <c r="AD30" s="6" t="s">
        <v>1146</v>
      </c>
      <c r="AE30" s="6">
        <v>0</v>
      </c>
      <c r="AF30" s="6">
        <v>0</v>
      </c>
      <c r="AG30" s="6">
        <v>0</v>
      </c>
      <c r="AH30" s="6">
        <v>0</v>
      </c>
      <c r="AI30" s="6">
        <v>0</v>
      </c>
      <c r="AJ30" s="6">
        <v>0</v>
      </c>
      <c r="AK30" s="6">
        <v>1</v>
      </c>
      <c r="AL30" s="4">
        <v>0.5</v>
      </c>
      <c r="AM30" s="6" t="s">
        <v>1146</v>
      </c>
      <c r="AN30" s="6">
        <v>0</v>
      </c>
      <c r="AO30" s="6">
        <v>0</v>
      </c>
      <c r="AP30" s="6">
        <v>0</v>
      </c>
      <c r="AQ30" s="6">
        <v>1</v>
      </c>
      <c r="AR30" s="6">
        <v>12.5</v>
      </c>
      <c r="AS30" s="6">
        <v>6.25</v>
      </c>
      <c r="AT30" s="6">
        <v>0</v>
      </c>
      <c r="AU30" s="6">
        <v>0</v>
      </c>
      <c r="AV30" s="62">
        <v>0</v>
      </c>
      <c r="AW30" s="62">
        <v>0</v>
      </c>
      <c r="AX30" s="6">
        <f t="array" ref="AX30">IFERROR(INDEX(Datos_Consumo[CANTIDAD],MATCH(TABLATRANSFERENCIA[[#This Row],[CODIGO]]&amp;TABLATRANSFERENCIA[[#Headers],[2016-5]],Datos_Consumo[CODIGO]&amp;Datos_Consumo[FECHA_FORMATO],0)),0)</f>
        <v>1</v>
      </c>
      <c r="AY30" s="6">
        <f t="array" ref="AY30">IFERROR(INDEX(Datos_Consumo[CANTIDAD],MATCH(TABLATRANSFERENCIA[[#This Row],[CODIGO]]&amp;TABLATRANSFERENCIA[[#Headers],[2016-6]],Datos_Consumo[CODIGO]&amp;Datos_Consumo[FECHA_FORMATO],0)),0)</f>
        <v>0</v>
      </c>
      <c r="AZ30" s="6">
        <f t="array" ref="AZ30">IFERROR(INDEX(Datos_Consumo[CANTIDAD],MATCH(TABLATRANSFERENCIA[[#This Row],[CODIGO]]&amp;TABLATRANSFERENCIA[[#Headers],[2016-7]],Datos_Consumo[CODIGO]&amp;Datos_Consumo[FECHA_FORMATO],0)),0)</f>
        <v>0</v>
      </c>
      <c r="BA30" s="6">
        <f t="array" ref="BA30">IFERROR(INDEX(Datos_Consumo[CANTIDAD],MATCH(TABLATRANSFERENCIA[[#This Row],[CODIGO]]&amp;TABLATRANSFERENCIA[[#Headers],[2016-8]],Datos_Consumo[CODIGO]&amp;Datos_Consumo[FECHA_FORMATO],0)),0)</f>
        <v>0</v>
      </c>
      <c r="BB30" s="6">
        <f t="array" ref="BB30">IFERROR(INDEX(Datos_Consumo[CANTIDAD],MATCH(TABLATRANSFERENCIA[[#This Row],[CODIGO]]&amp;TABLATRANSFERENCIA[[#Headers],[2016-9]],Datos_Consumo[CODIGO]&amp;Datos_Consumo[FECHA_FORMATO],0)),0)</f>
        <v>0</v>
      </c>
      <c r="BC30" s="6">
        <f t="array" ref="BC30">IFERROR(INDEX(Datos_Consumo[CANTIDAD],MATCH(TABLATRANSFERENCIA[[#This Row],[CODIGO]]&amp;TABLATRANSFERENCIA[[#Headers],[Columna6]],Datos_Consumo[CODIGO]&amp;Datos_Consumo[FECHA_FORMATO],0)),0)</f>
        <v>0</v>
      </c>
      <c r="BD30" s="50">
        <v>1</v>
      </c>
      <c r="BE30" s="55">
        <v>1</v>
      </c>
      <c r="BF30" s="50" t="s">
        <v>2470</v>
      </c>
      <c r="BG30" s="51"/>
      <c r="BH30"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3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3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3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3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30" s="51"/>
      <c r="BN30" s="46">
        <f>IFERROR(TABLATRANSFERENCIA[[#This Row],[REQUERIM]]/TABLATRANSFERENCIA[[#This Row],[PEDIDO PROMEDIO]],0)</f>
        <v>1</v>
      </c>
      <c r="BO30" s="51"/>
      <c r="BP30" s="63"/>
      <c r="BQ30" s="3">
        <f>IF(TABLATRANSFERENCIA[[#This Row],[RECIBIDO]]&lt;&gt;"",0,IF(TABLATRANSFERENCIA[[#This Row],[DESPACHO]]&lt;&gt;"",TABLATRANSFERENCIA[[#This Row],[DESPACHO]],TABLATRANSFERENCIA[[#This Row],[REQUERIM]]))</f>
        <v>1</v>
      </c>
      <c r="BR30" s="50"/>
      <c r="BS30" s="50"/>
      <c r="BT30" s="50" t="str">
        <f t="shared" si="0"/>
        <v>N</v>
      </c>
      <c r="BU30" s="51">
        <f t="array" ref="BU30">IF(SUM(--(TABLATRANSFERENCIA[[#This Row],[CODIGO GENERICO]]=TABLATRANSFERENCIA[CODIGO GENERICO])*TABLATRANSFERENCIA[REQUERIM])&lt;TABLATRANSFERENCIA[[#This Row],[PEDIDO MIN GRUPO]],1,0)</f>
        <v>0</v>
      </c>
      <c r="BV30"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W30" s="51">
        <v>2</v>
      </c>
      <c r="BX30" s="51">
        <v>1</v>
      </c>
    </row>
    <row r="31" spans="1:76" x14ac:dyDescent="0.25">
      <c r="A31" s="54" t="s">
        <v>1979</v>
      </c>
      <c r="B31" s="3" t="s">
        <v>1980</v>
      </c>
      <c r="C31" s="3" t="s">
        <v>1144</v>
      </c>
      <c r="D31" s="3" t="s">
        <v>1144</v>
      </c>
      <c r="E31" s="3">
        <v>0</v>
      </c>
      <c r="F31" s="3">
        <v>0</v>
      </c>
      <c r="G31" s="3">
        <v>0</v>
      </c>
      <c r="H31" s="3">
        <v>0</v>
      </c>
      <c r="I31" s="3" t="s">
        <v>1978</v>
      </c>
      <c r="J31" s="3">
        <v>0</v>
      </c>
      <c r="K31" s="3">
        <v>0</v>
      </c>
      <c r="L31" s="3" t="s">
        <v>1724</v>
      </c>
      <c r="M31" s="3">
        <v>0</v>
      </c>
      <c r="N31" s="3">
        <v>0</v>
      </c>
      <c r="O31" s="5" t="s">
        <v>1144</v>
      </c>
      <c r="P31" s="5">
        <v>542.45000000000005</v>
      </c>
      <c r="Q31" s="5">
        <v>1056.52</v>
      </c>
      <c r="R31" s="46">
        <v>0</v>
      </c>
      <c r="S31" s="46">
        <v>11.37</v>
      </c>
      <c r="T31" s="46">
        <v>0</v>
      </c>
      <c r="U31" s="46">
        <v>1</v>
      </c>
      <c r="V31" s="49" t="s">
        <v>1724</v>
      </c>
      <c r="W31" s="49" t="s">
        <v>1742</v>
      </c>
      <c r="X31" s="51">
        <v>2</v>
      </c>
      <c r="Y31" s="51">
        <v>2</v>
      </c>
      <c r="Z31" s="6">
        <v>5</v>
      </c>
      <c r="AA31" s="6">
        <v>1000000000</v>
      </c>
      <c r="AB31" s="6">
        <v>4</v>
      </c>
      <c r="AC31" s="4">
        <v>0.2</v>
      </c>
      <c r="AD31" s="6" t="s">
        <v>1148</v>
      </c>
      <c r="AE31" s="6">
        <v>0</v>
      </c>
      <c r="AF31" s="6">
        <v>0</v>
      </c>
      <c r="AG31" s="6">
        <v>0</v>
      </c>
      <c r="AH31" s="6">
        <v>0</v>
      </c>
      <c r="AI31" s="6">
        <v>0</v>
      </c>
      <c r="AJ31" s="6">
        <v>0</v>
      </c>
      <c r="AK31" s="6">
        <v>4</v>
      </c>
      <c r="AL31" s="4">
        <v>0.2</v>
      </c>
      <c r="AM31" s="6" t="s">
        <v>1148</v>
      </c>
      <c r="AN31" s="6">
        <v>0</v>
      </c>
      <c r="AO31" s="6">
        <v>0</v>
      </c>
      <c r="AP31" s="6">
        <v>0</v>
      </c>
      <c r="AQ31" s="6">
        <v>3</v>
      </c>
      <c r="AR31" s="6">
        <v>2.27</v>
      </c>
      <c r="AS31" s="6">
        <v>1.82</v>
      </c>
      <c r="AT31" s="6">
        <v>0</v>
      </c>
      <c r="AU31" s="6">
        <v>0</v>
      </c>
      <c r="AV31" s="62">
        <v>0</v>
      </c>
      <c r="AW31" s="62">
        <v>0</v>
      </c>
      <c r="AX31" s="6">
        <f t="array" ref="AX31">IFERROR(INDEX(Datos_Consumo[CANTIDAD],MATCH(TABLATRANSFERENCIA[[#This Row],[CODIGO]]&amp;TABLATRANSFERENCIA[[#Headers],[2016-5]],Datos_Consumo[CODIGO]&amp;Datos_Consumo[FECHA_FORMATO],0)),0)</f>
        <v>0</v>
      </c>
      <c r="AY31" s="6">
        <f t="array" ref="AY31">IFERROR(INDEX(Datos_Consumo[CANTIDAD],MATCH(TABLATRANSFERENCIA[[#This Row],[CODIGO]]&amp;TABLATRANSFERENCIA[[#Headers],[2016-6]],Datos_Consumo[CODIGO]&amp;Datos_Consumo[FECHA_FORMATO],0)),0)</f>
        <v>7</v>
      </c>
      <c r="AZ31" s="6">
        <f t="array" ref="AZ31">IFERROR(INDEX(Datos_Consumo[CANTIDAD],MATCH(TABLATRANSFERENCIA[[#This Row],[CODIGO]]&amp;TABLATRANSFERENCIA[[#Headers],[2016-7]],Datos_Consumo[CODIGO]&amp;Datos_Consumo[FECHA_FORMATO],0)),0)</f>
        <v>7</v>
      </c>
      <c r="BA31" s="6">
        <f t="array" ref="BA31">IFERROR(INDEX(Datos_Consumo[CANTIDAD],MATCH(TABLATRANSFERENCIA[[#This Row],[CODIGO]]&amp;TABLATRANSFERENCIA[[#Headers],[2016-8]],Datos_Consumo[CODIGO]&amp;Datos_Consumo[FECHA_FORMATO],0)),0)</f>
        <v>0</v>
      </c>
      <c r="BB31" s="6">
        <f t="array" ref="BB31">IFERROR(INDEX(Datos_Consumo[CANTIDAD],MATCH(TABLATRANSFERENCIA[[#This Row],[CODIGO]]&amp;TABLATRANSFERENCIA[[#Headers],[2016-9]],Datos_Consumo[CODIGO]&amp;Datos_Consumo[FECHA_FORMATO],0)),0)</f>
        <v>0</v>
      </c>
      <c r="BC31" s="6">
        <f t="array" ref="BC31">IFERROR(INDEX(Datos_Consumo[CANTIDAD],MATCH(TABLATRANSFERENCIA[[#This Row],[CODIGO]]&amp;TABLATRANSFERENCIA[[#Headers],[Columna6]],Datos_Consumo[CODIGO]&amp;Datos_Consumo[FECHA_FORMATO],0)),0)</f>
        <v>0</v>
      </c>
      <c r="BD31" s="50">
        <v>1</v>
      </c>
      <c r="BE31" s="55">
        <v>1</v>
      </c>
      <c r="BF31" s="50" t="s">
        <v>2470</v>
      </c>
      <c r="BG31" s="51"/>
      <c r="BH31"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3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3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3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3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31" s="51"/>
      <c r="BN31" s="46">
        <f>IFERROR(TABLATRANSFERENCIA[[#This Row],[REQUERIM]]/TABLATRANSFERENCIA[[#This Row],[PEDIDO PROMEDIO]],0)</f>
        <v>0.33333333333333331</v>
      </c>
      <c r="BO31" s="51"/>
      <c r="BP31" s="63"/>
      <c r="BQ31" s="3">
        <f>IF(TABLATRANSFERENCIA[[#This Row],[RECIBIDO]]&lt;&gt;"",0,IF(TABLATRANSFERENCIA[[#This Row],[DESPACHO]]&lt;&gt;"",TABLATRANSFERENCIA[[#This Row],[DESPACHO]],TABLATRANSFERENCIA[[#This Row],[REQUERIM]]))</f>
        <v>1</v>
      </c>
      <c r="BR31" s="50"/>
      <c r="BS31" s="50"/>
      <c r="BT31" s="50" t="str">
        <f t="shared" si="0"/>
        <v>N</v>
      </c>
      <c r="BU31" s="51">
        <f t="array" ref="BU31">IF(SUM(--(TABLATRANSFERENCIA[[#This Row],[CODIGO GENERICO]]=TABLATRANSFERENCIA[CODIGO GENERICO])*TABLATRANSFERENCIA[REQUERIM])&lt;TABLATRANSFERENCIA[[#This Row],[PEDIDO MIN GRUPO]],1,0)</f>
        <v>0</v>
      </c>
      <c r="BV31"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31" s="51">
        <v>3</v>
      </c>
      <c r="BX31" s="51">
        <v>2</v>
      </c>
    </row>
    <row r="32" spans="1:76" x14ac:dyDescent="0.25">
      <c r="A32" s="54" t="s">
        <v>1418</v>
      </c>
      <c r="B32" s="3" t="s">
        <v>1983</v>
      </c>
      <c r="C32" s="3" t="s">
        <v>1144</v>
      </c>
      <c r="D32" s="3" t="s">
        <v>1144</v>
      </c>
      <c r="E32" s="3">
        <v>0</v>
      </c>
      <c r="F32" s="3">
        <v>0</v>
      </c>
      <c r="G32" s="3">
        <v>0</v>
      </c>
      <c r="H32" s="3">
        <v>0</v>
      </c>
      <c r="I32" s="3" t="s">
        <v>1978</v>
      </c>
      <c r="J32" s="3">
        <v>0</v>
      </c>
      <c r="K32" s="3">
        <v>0</v>
      </c>
      <c r="L32" s="3" t="s">
        <v>1724</v>
      </c>
      <c r="M32" s="3">
        <v>0</v>
      </c>
      <c r="N32" s="3">
        <v>0</v>
      </c>
      <c r="O32" s="5" t="s">
        <v>1144</v>
      </c>
      <c r="P32" s="5">
        <v>544.11</v>
      </c>
      <c r="Q32" s="5">
        <v>1056.52</v>
      </c>
      <c r="R32" s="46">
        <v>0</v>
      </c>
      <c r="S32" s="46">
        <v>11.3</v>
      </c>
      <c r="T32" s="46">
        <v>0</v>
      </c>
      <c r="U32" s="46">
        <v>1</v>
      </c>
      <c r="V32" s="49" t="s">
        <v>1724</v>
      </c>
      <c r="W32" s="49" t="s">
        <v>1742</v>
      </c>
      <c r="X32" s="51">
        <v>2</v>
      </c>
      <c r="Y32" s="51">
        <v>2</v>
      </c>
      <c r="Z32" s="6">
        <v>6</v>
      </c>
      <c r="AA32" s="6">
        <v>1000000000</v>
      </c>
      <c r="AB32" s="6">
        <v>3</v>
      </c>
      <c r="AC32" s="4">
        <v>0.5</v>
      </c>
      <c r="AD32" s="6" t="s">
        <v>1145</v>
      </c>
      <c r="AE32" s="6">
        <v>0</v>
      </c>
      <c r="AF32" s="6">
        <v>0</v>
      </c>
      <c r="AG32" s="6">
        <v>0</v>
      </c>
      <c r="AH32" s="6">
        <v>0</v>
      </c>
      <c r="AI32" s="6">
        <v>0</v>
      </c>
      <c r="AJ32" s="6">
        <v>0</v>
      </c>
      <c r="AK32" s="6">
        <v>3</v>
      </c>
      <c r="AL32" s="4">
        <v>0.5</v>
      </c>
      <c r="AM32" s="6" t="s">
        <v>1145</v>
      </c>
      <c r="AN32" s="6">
        <v>0</v>
      </c>
      <c r="AO32" s="6">
        <v>0</v>
      </c>
      <c r="AP32" s="6">
        <v>0</v>
      </c>
      <c r="AQ32" s="6">
        <v>3</v>
      </c>
      <c r="AR32" s="6">
        <v>3.85</v>
      </c>
      <c r="AS32" s="6">
        <v>1.92</v>
      </c>
      <c r="AT32" s="6">
        <v>0</v>
      </c>
      <c r="AU32" s="6">
        <v>0</v>
      </c>
      <c r="AV32" s="62">
        <v>0</v>
      </c>
      <c r="AW32" s="62">
        <v>0</v>
      </c>
      <c r="AX32" s="6">
        <f t="array" ref="AX32">IFERROR(INDEX(Datos_Consumo[CANTIDAD],MATCH(TABLATRANSFERENCIA[[#This Row],[CODIGO]]&amp;TABLATRANSFERENCIA[[#Headers],[2016-5]],Datos_Consumo[CODIGO]&amp;Datos_Consumo[FECHA_FORMATO],0)),0)</f>
        <v>0</v>
      </c>
      <c r="AY32" s="6">
        <f t="array" ref="AY32">IFERROR(INDEX(Datos_Consumo[CANTIDAD],MATCH(TABLATRANSFERENCIA[[#This Row],[CODIGO]]&amp;TABLATRANSFERENCIA[[#Headers],[2016-6]],Datos_Consumo[CODIGO]&amp;Datos_Consumo[FECHA_FORMATO],0)),0)</f>
        <v>4</v>
      </c>
      <c r="AZ32" s="6">
        <f t="array" ref="AZ32">IFERROR(INDEX(Datos_Consumo[CANTIDAD],MATCH(TABLATRANSFERENCIA[[#This Row],[CODIGO]]&amp;TABLATRANSFERENCIA[[#Headers],[2016-7]],Datos_Consumo[CODIGO]&amp;Datos_Consumo[FECHA_FORMATO],0)),0)</f>
        <v>2</v>
      </c>
      <c r="BA32" s="6">
        <f t="array" ref="BA32">IFERROR(INDEX(Datos_Consumo[CANTIDAD],MATCH(TABLATRANSFERENCIA[[#This Row],[CODIGO]]&amp;TABLATRANSFERENCIA[[#Headers],[2016-8]],Datos_Consumo[CODIGO]&amp;Datos_Consumo[FECHA_FORMATO],0)),0)</f>
        <v>3</v>
      </c>
      <c r="BB32" s="6">
        <f t="array" ref="BB32">IFERROR(INDEX(Datos_Consumo[CANTIDAD],MATCH(TABLATRANSFERENCIA[[#This Row],[CODIGO]]&amp;TABLATRANSFERENCIA[[#Headers],[2016-9]],Datos_Consumo[CODIGO]&amp;Datos_Consumo[FECHA_FORMATO],0)),0)</f>
        <v>0</v>
      </c>
      <c r="BC32" s="6">
        <f t="array" ref="BC32">IFERROR(INDEX(Datos_Consumo[CANTIDAD],MATCH(TABLATRANSFERENCIA[[#This Row],[CODIGO]]&amp;TABLATRANSFERENCIA[[#Headers],[Columna6]],Datos_Consumo[CODIGO]&amp;Datos_Consumo[FECHA_FORMATO],0)),0)</f>
        <v>0</v>
      </c>
      <c r="BD32" s="50">
        <v>3</v>
      </c>
      <c r="BE32" s="55">
        <v>3</v>
      </c>
      <c r="BF32" s="50" t="s">
        <v>2470</v>
      </c>
      <c r="BG32" s="51"/>
      <c r="BH32" s="51">
        <f>IF(RIGHT(TABLATRANSFERENCIA[[#Headers],[Emb1]],1)*1&lt;=TABLATRANSFERENCIA[[#This Row],[EMBARQUES]],IF(ISBLANK(TABLATRANSFERENCIA[[#This Row],[EMBARQUES]]),TABLATRANSFERENCIA[[#This Row],[REQUERIM]],ROUND(TABLATRANSFERENCIA[[#This Row],[REQUERIM]]/TABLATRANSFERENCIA[[#This Row],[EMBARQUES]],0)),TABLATRANSFERENCIA[[#This Row],[REQUERIM]])</f>
        <v>3</v>
      </c>
      <c r="BI3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3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3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3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32" s="51"/>
      <c r="BN32" s="46">
        <f>IFERROR(TABLATRANSFERENCIA[[#This Row],[REQUERIM]]/TABLATRANSFERENCIA[[#This Row],[PEDIDO PROMEDIO]],0)</f>
        <v>1</v>
      </c>
      <c r="BO32" s="51"/>
      <c r="BP32" s="63"/>
      <c r="BQ32" s="3">
        <f>IF(TABLATRANSFERENCIA[[#This Row],[RECIBIDO]]&lt;&gt;"",0,IF(TABLATRANSFERENCIA[[#This Row],[DESPACHO]]&lt;&gt;"",TABLATRANSFERENCIA[[#This Row],[DESPACHO]],TABLATRANSFERENCIA[[#This Row],[REQUERIM]]))</f>
        <v>3</v>
      </c>
      <c r="BR32" s="50"/>
      <c r="BS32" s="50"/>
      <c r="BT32" s="50" t="str">
        <f t="shared" si="0"/>
        <v>N</v>
      </c>
      <c r="BU32" s="51">
        <f t="array" ref="BU32">IF(SUM(--(TABLATRANSFERENCIA[[#This Row],[CODIGO GENERICO]]=TABLATRANSFERENCIA[CODIGO GENERICO])*TABLATRANSFERENCIA[REQUERIM])&lt;TABLATRANSFERENCIA[[#This Row],[PEDIDO MIN GRUPO]],1,0)</f>
        <v>0</v>
      </c>
      <c r="BV32"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32" s="51">
        <v>4</v>
      </c>
      <c r="BX32" s="51">
        <v>2</v>
      </c>
    </row>
    <row r="33" spans="1:76" x14ac:dyDescent="0.25">
      <c r="A33" s="54" t="s">
        <v>1734</v>
      </c>
      <c r="B33" s="3" t="s">
        <v>1984</v>
      </c>
      <c r="C33" s="3" t="s">
        <v>1144</v>
      </c>
      <c r="D33" s="3" t="s">
        <v>1144</v>
      </c>
      <c r="E33" s="3">
        <v>0</v>
      </c>
      <c r="F33" s="3">
        <v>0</v>
      </c>
      <c r="G33" s="3">
        <v>0</v>
      </c>
      <c r="H33" s="3">
        <v>0</v>
      </c>
      <c r="I33" s="3" t="s">
        <v>1978</v>
      </c>
      <c r="J33" s="3">
        <v>0</v>
      </c>
      <c r="K33" s="3">
        <v>0</v>
      </c>
      <c r="L33" s="3" t="s">
        <v>1724</v>
      </c>
      <c r="M33" s="3">
        <v>0</v>
      </c>
      <c r="N33" s="3">
        <v>0</v>
      </c>
      <c r="O33" s="5" t="s">
        <v>1144</v>
      </c>
      <c r="P33" s="5">
        <v>542.45000000000005</v>
      </c>
      <c r="Q33" s="5">
        <v>1056.52</v>
      </c>
      <c r="R33" s="46">
        <v>0</v>
      </c>
      <c r="S33" s="46">
        <v>11.37</v>
      </c>
      <c r="T33" s="46">
        <v>0</v>
      </c>
      <c r="U33" s="46">
        <v>1</v>
      </c>
      <c r="V33" s="49" t="s">
        <v>1724</v>
      </c>
      <c r="W33" s="49" t="s">
        <v>1742</v>
      </c>
      <c r="X33" s="51">
        <v>2</v>
      </c>
      <c r="Y33" s="51">
        <v>2</v>
      </c>
      <c r="Z33" s="6">
        <v>5</v>
      </c>
      <c r="AA33" s="6">
        <v>1000000000</v>
      </c>
      <c r="AB33" s="6">
        <v>2</v>
      </c>
      <c r="AC33" s="4">
        <v>0.6</v>
      </c>
      <c r="AD33" s="6" t="s">
        <v>1146</v>
      </c>
      <c r="AE33" s="6">
        <v>0</v>
      </c>
      <c r="AF33" s="6">
        <v>0</v>
      </c>
      <c r="AG33" s="6">
        <v>0</v>
      </c>
      <c r="AH33" s="6">
        <v>0</v>
      </c>
      <c r="AI33" s="6">
        <v>0</v>
      </c>
      <c r="AJ33" s="6">
        <v>0</v>
      </c>
      <c r="AK33" s="6">
        <v>2</v>
      </c>
      <c r="AL33" s="4">
        <v>0.6</v>
      </c>
      <c r="AM33" s="6" t="s">
        <v>1146</v>
      </c>
      <c r="AN33" s="6">
        <v>0</v>
      </c>
      <c r="AO33" s="6">
        <v>0</v>
      </c>
      <c r="AP33" s="6">
        <v>0</v>
      </c>
      <c r="AQ33" s="6">
        <v>3</v>
      </c>
      <c r="AR33" s="6">
        <v>4.03</v>
      </c>
      <c r="AS33" s="6">
        <v>1.61</v>
      </c>
      <c r="AT33" s="6">
        <v>0</v>
      </c>
      <c r="AU33" s="6">
        <v>0</v>
      </c>
      <c r="AV33" s="62">
        <v>0</v>
      </c>
      <c r="AW33" s="62">
        <v>0</v>
      </c>
      <c r="AX33" s="6">
        <f t="array" ref="AX33">IFERROR(INDEX(Datos_Consumo[CANTIDAD],MATCH(TABLATRANSFERENCIA[[#This Row],[CODIGO]]&amp;TABLATRANSFERENCIA[[#Headers],[2016-5]],Datos_Consumo[CODIGO]&amp;Datos_Consumo[FECHA_FORMATO],0)),0)</f>
        <v>0</v>
      </c>
      <c r="AY33" s="6">
        <f t="array" ref="AY33">IFERROR(INDEX(Datos_Consumo[CANTIDAD],MATCH(TABLATRANSFERENCIA[[#This Row],[CODIGO]]&amp;TABLATRANSFERENCIA[[#Headers],[2016-6]],Datos_Consumo[CODIGO]&amp;Datos_Consumo[FECHA_FORMATO],0)),0)</f>
        <v>3</v>
      </c>
      <c r="AZ33" s="6">
        <f t="array" ref="AZ33">IFERROR(INDEX(Datos_Consumo[CANTIDAD],MATCH(TABLATRANSFERENCIA[[#This Row],[CODIGO]]&amp;TABLATRANSFERENCIA[[#Headers],[2016-7]],Datos_Consumo[CODIGO]&amp;Datos_Consumo[FECHA_FORMATO],0)),0)</f>
        <v>2</v>
      </c>
      <c r="BA33" s="6">
        <f t="array" ref="BA33">IFERROR(INDEX(Datos_Consumo[CANTIDAD],MATCH(TABLATRANSFERENCIA[[#This Row],[CODIGO]]&amp;TABLATRANSFERENCIA[[#Headers],[2016-8]],Datos_Consumo[CODIGO]&amp;Datos_Consumo[FECHA_FORMATO],0)),0)</f>
        <v>0</v>
      </c>
      <c r="BB33" s="6">
        <f t="array" ref="BB33">IFERROR(INDEX(Datos_Consumo[CANTIDAD],MATCH(TABLATRANSFERENCIA[[#This Row],[CODIGO]]&amp;TABLATRANSFERENCIA[[#Headers],[2016-9]],Datos_Consumo[CODIGO]&amp;Datos_Consumo[FECHA_FORMATO],0)),0)</f>
        <v>1</v>
      </c>
      <c r="BC33" s="6">
        <f t="array" ref="BC33">IFERROR(INDEX(Datos_Consumo[CANTIDAD],MATCH(TABLATRANSFERENCIA[[#This Row],[CODIGO]]&amp;TABLATRANSFERENCIA[[#Headers],[Columna6]],Datos_Consumo[CODIGO]&amp;Datos_Consumo[FECHA_FORMATO],0)),0)</f>
        <v>0</v>
      </c>
      <c r="BD33" s="50">
        <v>3</v>
      </c>
      <c r="BE33" s="55">
        <v>3</v>
      </c>
      <c r="BF33" s="50" t="s">
        <v>2470</v>
      </c>
      <c r="BG33" s="51"/>
      <c r="BH33" s="51">
        <f>IF(RIGHT(TABLATRANSFERENCIA[[#Headers],[Emb1]],1)*1&lt;=TABLATRANSFERENCIA[[#This Row],[EMBARQUES]],IF(ISBLANK(TABLATRANSFERENCIA[[#This Row],[EMBARQUES]]),TABLATRANSFERENCIA[[#This Row],[REQUERIM]],ROUND(TABLATRANSFERENCIA[[#This Row],[REQUERIM]]/TABLATRANSFERENCIA[[#This Row],[EMBARQUES]],0)),TABLATRANSFERENCIA[[#This Row],[REQUERIM]])</f>
        <v>3</v>
      </c>
      <c r="BI3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3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3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3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33" s="51"/>
      <c r="BN33" s="46">
        <f>IFERROR(TABLATRANSFERENCIA[[#This Row],[REQUERIM]]/TABLATRANSFERENCIA[[#This Row],[PEDIDO PROMEDIO]],0)</f>
        <v>1</v>
      </c>
      <c r="BO33" s="51"/>
      <c r="BP33" s="63"/>
      <c r="BQ33" s="3">
        <f>IF(TABLATRANSFERENCIA[[#This Row],[RECIBIDO]]&lt;&gt;"",0,IF(TABLATRANSFERENCIA[[#This Row],[DESPACHO]]&lt;&gt;"",TABLATRANSFERENCIA[[#This Row],[DESPACHO]],TABLATRANSFERENCIA[[#This Row],[REQUERIM]]))</f>
        <v>3</v>
      </c>
      <c r="BR33" s="50"/>
      <c r="BS33" s="50"/>
      <c r="BT33" s="50" t="str">
        <f t="shared" si="0"/>
        <v>N</v>
      </c>
      <c r="BU33" s="51">
        <f t="array" ref="BU33">IF(SUM(--(TABLATRANSFERENCIA[[#This Row],[CODIGO GENERICO]]=TABLATRANSFERENCIA[CODIGO GENERICO])*TABLATRANSFERENCIA[REQUERIM])&lt;TABLATRANSFERENCIA[[#This Row],[PEDIDO MIN GRUPO]],1,0)</f>
        <v>0</v>
      </c>
      <c r="BV33"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33" s="51">
        <v>3</v>
      </c>
      <c r="BX33" s="51">
        <v>2</v>
      </c>
    </row>
    <row r="34" spans="1:76" x14ac:dyDescent="0.25">
      <c r="A34" s="54" t="s">
        <v>1423</v>
      </c>
      <c r="B34" s="3" t="s">
        <v>1994</v>
      </c>
      <c r="C34" s="3" t="s">
        <v>1144</v>
      </c>
      <c r="D34" s="3" t="s">
        <v>1144</v>
      </c>
      <c r="E34" s="3">
        <v>0</v>
      </c>
      <c r="F34" s="3">
        <v>0</v>
      </c>
      <c r="G34" s="3">
        <v>0</v>
      </c>
      <c r="H34" s="3">
        <v>0</v>
      </c>
      <c r="I34" s="3" t="s">
        <v>1978</v>
      </c>
      <c r="J34" s="3">
        <v>0</v>
      </c>
      <c r="K34" s="3">
        <v>0</v>
      </c>
      <c r="L34" s="3" t="s">
        <v>1724</v>
      </c>
      <c r="M34" s="3">
        <v>0</v>
      </c>
      <c r="N34" s="3">
        <v>0</v>
      </c>
      <c r="O34" s="5" t="s">
        <v>1144</v>
      </c>
      <c r="P34" s="5">
        <v>542.45000000000005</v>
      </c>
      <c r="Q34" s="5">
        <v>1056.52</v>
      </c>
      <c r="R34" s="46">
        <v>0</v>
      </c>
      <c r="S34" s="46">
        <v>11.37</v>
      </c>
      <c r="T34" s="46">
        <v>0</v>
      </c>
      <c r="U34" s="46">
        <v>1</v>
      </c>
      <c r="V34" s="49" t="s">
        <v>1724</v>
      </c>
      <c r="W34" s="49" t="s">
        <v>1742</v>
      </c>
      <c r="X34" s="51">
        <v>2</v>
      </c>
      <c r="Y34" s="51">
        <v>2</v>
      </c>
      <c r="Z34" s="6">
        <v>5</v>
      </c>
      <c r="AA34" s="6">
        <v>1000000000</v>
      </c>
      <c r="AB34" s="6">
        <v>4</v>
      </c>
      <c r="AC34" s="4">
        <v>0.2</v>
      </c>
      <c r="AD34" s="6" t="s">
        <v>1148</v>
      </c>
      <c r="AE34" s="6">
        <v>0</v>
      </c>
      <c r="AF34" s="6">
        <v>0</v>
      </c>
      <c r="AG34" s="6">
        <v>0</v>
      </c>
      <c r="AH34" s="6">
        <v>0</v>
      </c>
      <c r="AI34" s="6">
        <v>0</v>
      </c>
      <c r="AJ34" s="6">
        <v>0</v>
      </c>
      <c r="AK34" s="6">
        <v>4</v>
      </c>
      <c r="AL34" s="4">
        <v>0.2</v>
      </c>
      <c r="AM34" s="6" t="s">
        <v>1148</v>
      </c>
      <c r="AN34" s="6">
        <v>0</v>
      </c>
      <c r="AO34" s="6">
        <v>0</v>
      </c>
      <c r="AP34" s="6">
        <v>0</v>
      </c>
      <c r="AQ34" s="6">
        <v>3</v>
      </c>
      <c r="AR34" s="6">
        <v>4.03</v>
      </c>
      <c r="AS34" s="6">
        <v>3.23</v>
      </c>
      <c r="AT34" s="6">
        <v>0</v>
      </c>
      <c r="AU34" s="6">
        <v>0</v>
      </c>
      <c r="AV34" s="62">
        <v>0</v>
      </c>
      <c r="AW34" s="62">
        <v>0</v>
      </c>
      <c r="AX34" s="6">
        <f t="array" ref="AX34">IFERROR(INDEX(Datos_Consumo[CANTIDAD],MATCH(TABLATRANSFERENCIA[[#This Row],[CODIGO]]&amp;TABLATRANSFERENCIA[[#Headers],[2016-5]],Datos_Consumo[CODIGO]&amp;Datos_Consumo[FECHA_FORMATO],0)),0)</f>
        <v>1</v>
      </c>
      <c r="AY34" s="6">
        <f t="array" ref="AY34">IFERROR(INDEX(Datos_Consumo[CANTIDAD],MATCH(TABLATRANSFERENCIA[[#This Row],[CODIGO]]&amp;TABLATRANSFERENCIA[[#Headers],[2016-6]],Datos_Consumo[CODIGO]&amp;Datos_Consumo[FECHA_FORMATO],0)),0)</f>
        <v>3</v>
      </c>
      <c r="AZ34" s="6">
        <f t="array" ref="AZ34">IFERROR(INDEX(Datos_Consumo[CANTIDAD],MATCH(TABLATRANSFERENCIA[[#This Row],[CODIGO]]&amp;TABLATRANSFERENCIA[[#Headers],[2016-7]],Datos_Consumo[CODIGO]&amp;Datos_Consumo[FECHA_FORMATO],0)),0)</f>
        <v>1</v>
      </c>
      <c r="BA34" s="6">
        <f t="array" ref="BA34">IFERROR(INDEX(Datos_Consumo[CANTIDAD],MATCH(TABLATRANSFERENCIA[[#This Row],[CODIGO]]&amp;TABLATRANSFERENCIA[[#Headers],[2016-8]],Datos_Consumo[CODIGO]&amp;Datos_Consumo[FECHA_FORMATO],0)),0)</f>
        <v>1</v>
      </c>
      <c r="BB34" s="6">
        <f t="array" ref="BB34">IFERROR(INDEX(Datos_Consumo[CANTIDAD],MATCH(TABLATRANSFERENCIA[[#This Row],[CODIGO]]&amp;TABLATRANSFERENCIA[[#Headers],[2016-9]],Datos_Consumo[CODIGO]&amp;Datos_Consumo[FECHA_FORMATO],0)),0)</f>
        <v>0</v>
      </c>
      <c r="BC34" s="6">
        <f t="array" ref="BC34">IFERROR(INDEX(Datos_Consumo[CANTIDAD],MATCH(TABLATRANSFERENCIA[[#This Row],[CODIGO]]&amp;TABLATRANSFERENCIA[[#Headers],[Columna6]],Datos_Consumo[CODIGO]&amp;Datos_Consumo[FECHA_FORMATO],0)),0)</f>
        <v>0</v>
      </c>
      <c r="BD34" s="50">
        <v>1</v>
      </c>
      <c r="BE34" s="55">
        <v>1</v>
      </c>
      <c r="BF34" s="50" t="s">
        <v>2470</v>
      </c>
      <c r="BG34" s="51"/>
      <c r="BH34"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3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3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3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3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34" s="51"/>
      <c r="BN34" s="46">
        <f>IFERROR(TABLATRANSFERENCIA[[#This Row],[REQUERIM]]/TABLATRANSFERENCIA[[#This Row],[PEDIDO PROMEDIO]],0)</f>
        <v>0.33333333333333331</v>
      </c>
      <c r="BO34" s="51"/>
      <c r="BP34" s="63"/>
      <c r="BQ34" s="3">
        <f>IF(TABLATRANSFERENCIA[[#This Row],[RECIBIDO]]&lt;&gt;"",0,IF(TABLATRANSFERENCIA[[#This Row],[DESPACHO]]&lt;&gt;"",TABLATRANSFERENCIA[[#This Row],[DESPACHO]],TABLATRANSFERENCIA[[#This Row],[REQUERIM]]))</f>
        <v>1</v>
      </c>
      <c r="BR34" s="50"/>
      <c r="BS34" s="50"/>
      <c r="BT34" s="50" t="str">
        <f t="shared" si="0"/>
        <v>N</v>
      </c>
      <c r="BU34" s="51">
        <f t="array" ref="BU34">IF(SUM(--(TABLATRANSFERENCIA[[#This Row],[CODIGO GENERICO]]=TABLATRANSFERENCIA[CODIGO GENERICO])*TABLATRANSFERENCIA[REQUERIM])&lt;TABLATRANSFERENCIA[[#This Row],[PEDIDO MIN GRUPO]],1,0)</f>
        <v>0</v>
      </c>
      <c r="BV34"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34" s="51">
        <v>3</v>
      </c>
      <c r="BX34" s="51">
        <v>2</v>
      </c>
    </row>
    <row r="35" spans="1:76" x14ac:dyDescent="0.25">
      <c r="A35" s="54" t="s">
        <v>1424</v>
      </c>
      <c r="B35" s="3" t="s">
        <v>1998</v>
      </c>
      <c r="C35" s="3" t="s">
        <v>1144</v>
      </c>
      <c r="D35" s="3" t="s">
        <v>1144</v>
      </c>
      <c r="E35" s="3">
        <v>0</v>
      </c>
      <c r="F35" s="3">
        <v>0</v>
      </c>
      <c r="G35" s="3">
        <v>0</v>
      </c>
      <c r="H35" s="3">
        <v>0</v>
      </c>
      <c r="I35" s="3" t="s">
        <v>1997</v>
      </c>
      <c r="J35" s="3">
        <v>0</v>
      </c>
      <c r="K35" s="3">
        <v>0</v>
      </c>
      <c r="L35" s="3" t="s">
        <v>1724</v>
      </c>
      <c r="M35" s="3">
        <v>0</v>
      </c>
      <c r="N35" s="3">
        <v>0</v>
      </c>
      <c r="O35" s="5" t="s">
        <v>1144</v>
      </c>
      <c r="P35" s="5">
        <v>285.48</v>
      </c>
      <c r="Q35" s="5">
        <v>732.52</v>
      </c>
      <c r="R35" s="46">
        <v>0</v>
      </c>
      <c r="S35" s="46">
        <v>18.79</v>
      </c>
      <c r="T35" s="46">
        <v>0</v>
      </c>
      <c r="U35" s="46">
        <v>1</v>
      </c>
      <c r="V35" s="49" t="s">
        <v>1724</v>
      </c>
      <c r="W35" s="49" t="s">
        <v>1742</v>
      </c>
      <c r="X35" s="51">
        <v>2</v>
      </c>
      <c r="Y35" s="51">
        <v>2</v>
      </c>
      <c r="Z35" s="6">
        <v>5</v>
      </c>
      <c r="AA35" s="6">
        <v>1000000000</v>
      </c>
      <c r="AB35" s="6">
        <v>3</v>
      </c>
      <c r="AC35" s="4">
        <v>0.4</v>
      </c>
      <c r="AD35" s="6" t="s">
        <v>1145</v>
      </c>
      <c r="AE35" s="6">
        <v>0</v>
      </c>
      <c r="AF35" s="6">
        <v>0</v>
      </c>
      <c r="AG35" s="6">
        <v>0</v>
      </c>
      <c r="AH35" s="6">
        <v>0</v>
      </c>
      <c r="AI35" s="6">
        <v>0</v>
      </c>
      <c r="AJ35" s="6">
        <v>0</v>
      </c>
      <c r="AK35" s="6">
        <v>3</v>
      </c>
      <c r="AL35" s="4">
        <v>0.4</v>
      </c>
      <c r="AM35" s="6" t="s">
        <v>1145</v>
      </c>
      <c r="AN35" s="6">
        <v>0</v>
      </c>
      <c r="AO35" s="6">
        <v>0</v>
      </c>
      <c r="AP35" s="6">
        <v>0</v>
      </c>
      <c r="AQ35" s="6">
        <v>3</v>
      </c>
      <c r="AR35" s="6">
        <v>2.27</v>
      </c>
      <c r="AS35" s="6">
        <v>1.36</v>
      </c>
      <c r="AT35" s="6">
        <v>0</v>
      </c>
      <c r="AU35" s="6">
        <v>0</v>
      </c>
      <c r="AV35" s="62">
        <v>0</v>
      </c>
      <c r="AW35" s="62">
        <v>0</v>
      </c>
      <c r="AX35" s="6">
        <f t="array" ref="AX35">IFERROR(INDEX(Datos_Consumo[CANTIDAD],MATCH(TABLATRANSFERENCIA[[#This Row],[CODIGO]]&amp;TABLATRANSFERENCIA[[#Headers],[2016-5]],Datos_Consumo[CODIGO]&amp;Datos_Consumo[FECHA_FORMATO],0)),0)</f>
        <v>1</v>
      </c>
      <c r="AY35" s="6">
        <f t="array" ref="AY35">IFERROR(INDEX(Datos_Consumo[CANTIDAD],MATCH(TABLATRANSFERENCIA[[#This Row],[CODIGO]]&amp;TABLATRANSFERENCIA[[#Headers],[2016-6]],Datos_Consumo[CODIGO]&amp;Datos_Consumo[FECHA_FORMATO],0)),0)</f>
        <v>5</v>
      </c>
      <c r="AZ35" s="6">
        <f t="array" ref="AZ35">IFERROR(INDEX(Datos_Consumo[CANTIDAD],MATCH(TABLATRANSFERENCIA[[#This Row],[CODIGO]]&amp;TABLATRANSFERENCIA[[#Headers],[2016-7]],Datos_Consumo[CODIGO]&amp;Datos_Consumo[FECHA_FORMATO],0)),0)</f>
        <v>4</v>
      </c>
      <c r="BA35" s="6">
        <f t="array" ref="BA35">IFERROR(INDEX(Datos_Consumo[CANTIDAD],MATCH(TABLATRANSFERENCIA[[#This Row],[CODIGO]]&amp;TABLATRANSFERENCIA[[#Headers],[2016-8]],Datos_Consumo[CODIGO]&amp;Datos_Consumo[FECHA_FORMATO],0)),0)</f>
        <v>2</v>
      </c>
      <c r="BB35" s="6">
        <f t="array" ref="BB35">IFERROR(INDEX(Datos_Consumo[CANTIDAD],MATCH(TABLATRANSFERENCIA[[#This Row],[CODIGO]]&amp;TABLATRANSFERENCIA[[#Headers],[2016-9]],Datos_Consumo[CODIGO]&amp;Datos_Consumo[FECHA_FORMATO],0)),0)</f>
        <v>1</v>
      </c>
      <c r="BC35" s="6">
        <f t="array" ref="BC35">IFERROR(INDEX(Datos_Consumo[CANTIDAD],MATCH(TABLATRANSFERENCIA[[#This Row],[CODIGO]]&amp;TABLATRANSFERENCIA[[#Headers],[Columna6]],Datos_Consumo[CODIGO]&amp;Datos_Consumo[FECHA_FORMATO],0)),0)</f>
        <v>0</v>
      </c>
      <c r="BD35" s="50">
        <v>2</v>
      </c>
      <c r="BE35" s="55">
        <v>2</v>
      </c>
      <c r="BF35" s="50" t="s">
        <v>2470</v>
      </c>
      <c r="BG35" s="51"/>
      <c r="BH35" s="51">
        <f>IF(RIGHT(TABLATRANSFERENCIA[[#Headers],[Emb1]],1)*1&lt;=TABLATRANSFERENCIA[[#This Row],[EMBARQUES]],IF(ISBLANK(TABLATRANSFERENCIA[[#This Row],[EMBARQUES]]),TABLATRANSFERENCIA[[#This Row],[REQUERIM]],ROUND(TABLATRANSFERENCIA[[#This Row],[REQUERIM]]/TABLATRANSFERENCIA[[#This Row],[EMBARQUES]],0)),TABLATRANSFERENCIA[[#This Row],[REQUERIM]])</f>
        <v>2</v>
      </c>
      <c r="BI3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3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3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3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35" s="51"/>
      <c r="BN35" s="46">
        <f>IFERROR(TABLATRANSFERENCIA[[#This Row],[REQUERIM]]/TABLATRANSFERENCIA[[#This Row],[PEDIDO PROMEDIO]],0)</f>
        <v>0.66666666666666663</v>
      </c>
      <c r="BO35" s="51"/>
      <c r="BP35" s="63"/>
      <c r="BQ35" s="3">
        <f>IF(TABLATRANSFERENCIA[[#This Row],[RECIBIDO]]&lt;&gt;"",0,IF(TABLATRANSFERENCIA[[#This Row],[DESPACHO]]&lt;&gt;"",TABLATRANSFERENCIA[[#This Row],[DESPACHO]],TABLATRANSFERENCIA[[#This Row],[REQUERIM]]))</f>
        <v>2</v>
      </c>
      <c r="BR35" s="50"/>
      <c r="BS35" s="50"/>
      <c r="BT35" s="50" t="str">
        <f t="shared" si="0"/>
        <v>N</v>
      </c>
      <c r="BU35" s="51">
        <f t="array" ref="BU35">IF(SUM(--(TABLATRANSFERENCIA[[#This Row],[CODIGO GENERICO]]=TABLATRANSFERENCIA[CODIGO GENERICO])*TABLATRANSFERENCIA[REQUERIM])&lt;TABLATRANSFERENCIA[[#This Row],[PEDIDO MIN GRUPO]],1,0)</f>
        <v>0</v>
      </c>
      <c r="BV35"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35" s="51">
        <v>3</v>
      </c>
      <c r="BX35" s="51">
        <v>2</v>
      </c>
    </row>
    <row r="36" spans="1:76" x14ac:dyDescent="0.25">
      <c r="A36" s="54" t="s">
        <v>1472</v>
      </c>
      <c r="B36" s="3" t="s">
        <v>2013</v>
      </c>
      <c r="C36" s="3" t="s">
        <v>1144</v>
      </c>
      <c r="D36" s="3" t="s">
        <v>1144</v>
      </c>
      <c r="E36" s="3">
        <v>0</v>
      </c>
      <c r="F36" s="3">
        <v>0</v>
      </c>
      <c r="G36" s="3">
        <v>0</v>
      </c>
      <c r="H36" s="3">
        <v>0</v>
      </c>
      <c r="I36" s="3" t="s">
        <v>2014</v>
      </c>
      <c r="J36" s="3">
        <v>0</v>
      </c>
      <c r="K36" s="3">
        <v>0</v>
      </c>
      <c r="L36" s="3" t="s">
        <v>1724</v>
      </c>
      <c r="M36" s="3">
        <v>0</v>
      </c>
      <c r="N36" s="3">
        <v>0</v>
      </c>
      <c r="O36" s="5" t="s">
        <v>1144</v>
      </c>
      <c r="P36" s="5">
        <v>172.36</v>
      </c>
      <c r="Q36" s="5">
        <v>2</v>
      </c>
      <c r="R36" s="46">
        <v>0</v>
      </c>
      <c r="S36" s="46">
        <v>-11.86</v>
      </c>
      <c r="T36" s="46">
        <v>0</v>
      </c>
      <c r="U36" s="46">
        <v>1</v>
      </c>
      <c r="V36" s="49" t="s">
        <v>1724</v>
      </c>
      <c r="W36" s="49" t="s">
        <v>1742</v>
      </c>
      <c r="X36" s="51">
        <v>2</v>
      </c>
      <c r="Y36" s="51">
        <v>2</v>
      </c>
      <c r="Z36" s="6">
        <v>2</v>
      </c>
      <c r="AA36" s="6">
        <v>1000000000</v>
      </c>
      <c r="AB36" s="6">
        <v>0</v>
      </c>
      <c r="AC36" s="4">
        <v>1</v>
      </c>
      <c r="AD36" s="6" t="s">
        <v>838</v>
      </c>
      <c r="AE36" s="6">
        <v>0</v>
      </c>
      <c r="AF36" s="6">
        <v>0</v>
      </c>
      <c r="AG36" s="6">
        <v>0</v>
      </c>
      <c r="AH36" s="6">
        <v>0</v>
      </c>
      <c r="AI36" s="6">
        <v>0</v>
      </c>
      <c r="AJ36" s="6">
        <v>0</v>
      </c>
      <c r="AK36" s="6">
        <v>0</v>
      </c>
      <c r="AL36" s="4">
        <v>1</v>
      </c>
      <c r="AM36" s="6" t="s">
        <v>838</v>
      </c>
      <c r="AN36" s="6">
        <v>0</v>
      </c>
      <c r="AO36" s="6">
        <v>0</v>
      </c>
      <c r="AP36" s="6">
        <v>0</v>
      </c>
      <c r="AQ36" s="6">
        <v>1</v>
      </c>
      <c r="AR36" s="6">
        <v>4.17</v>
      </c>
      <c r="AS36" s="6">
        <v>0</v>
      </c>
      <c r="AT36" s="6">
        <v>0</v>
      </c>
      <c r="AU36" s="6">
        <v>8</v>
      </c>
      <c r="AV36" s="62">
        <v>0</v>
      </c>
      <c r="AW36" s="62">
        <v>0</v>
      </c>
      <c r="AX36" s="6">
        <f t="array" ref="AX36">IFERROR(INDEX(Datos_Consumo[CANTIDAD],MATCH(TABLATRANSFERENCIA[[#This Row],[CODIGO]]&amp;TABLATRANSFERENCIA[[#Headers],[2016-5]],Datos_Consumo[CODIGO]&amp;Datos_Consumo[FECHA_FORMATO],0)),0)</f>
        <v>0</v>
      </c>
      <c r="AY36" s="6">
        <f t="array" ref="AY36">IFERROR(INDEX(Datos_Consumo[CANTIDAD],MATCH(TABLATRANSFERENCIA[[#This Row],[CODIGO]]&amp;TABLATRANSFERENCIA[[#Headers],[2016-6]],Datos_Consumo[CODIGO]&amp;Datos_Consumo[FECHA_FORMATO],0)),0)</f>
        <v>1</v>
      </c>
      <c r="AZ36" s="6">
        <f t="array" ref="AZ36">IFERROR(INDEX(Datos_Consumo[CANTIDAD],MATCH(TABLATRANSFERENCIA[[#This Row],[CODIGO]]&amp;TABLATRANSFERENCIA[[#Headers],[2016-7]],Datos_Consumo[CODIGO]&amp;Datos_Consumo[FECHA_FORMATO],0)),0)</f>
        <v>0</v>
      </c>
      <c r="BA36" s="6">
        <f t="array" ref="BA36">IFERROR(INDEX(Datos_Consumo[CANTIDAD],MATCH(TABLATRANSFERENCIA[[#This Row],[CODIGO]]&amp;TABLATRANSFERENCIA[[#Headers],[2016-8]],Datos_Consumo[CODIGO]&amp;Datos_Consumo[FECHA_FORMATO],0)),0)</f>
        <v>2</v>
      </c>
      <c r="BB36" s="6">
        <f t="array" ref="BB36">IFERROR(INDEX(Datos_Consumo[CANTIDAD],MATCH(TABLATRANSFERENCIA[[#This Row],[CODIGO]]&amp;TABLATRANSFERENCIA[[#Headers],[2016-9]],Datos_Consumo[CODIGO]&amp;Datos_Consumo[FECHA_FORMATO],0)),0)</f>
        <v>0</v>
      </c>
      <c r="BC36" s="6">
        <f t="array" ref="BC36">IFERROR(INDEX(Datos_Consumo[CANTIDAD],MATCH(TABLATRANSFERENCIA[[#This Row],[CODIGO]]&amp;TABLATRANSFERENCIA[[#Headers],[Columna6]],Datos_Consumo[CODIGO]&amp;Datos_Consumo[FECHA_FORMATO],0)),0)</f>
        <v>0</v>
      </c>
      <c r="BD36" s="50">
        <v>2</v>
      </c>
      <c r="BE36" s="55">
        <v>2</v>
      </c>
      <c r="BF36" s="50" t="s">
        <v>2470</v>
      </c>
      <c r="BG36" s="51"/>
      <c r="BH36" s="51">
        <f>IF(RIGHT(TABLATRANSFERENCIA[[#Headers],[Emb1]],1)*1&lt;=TABLATRANSFERENCIA[[#This Row],[EMBARQUES]],IF(ISBLANK(TABLATRANSFERENCIA[[#This Row],[EMBARQUES]]),TABLATRANSFERENCIA[[#This Row],[REQUERIM]],ROUND(TABLATRANSFERENCIA[[#This Row],[REQUERIM]]/TABLATRANSFERENCIA[[#This Row],[EMBARQUES]],0)),TABLATRANSFERENCIA[[#This Row],[REQUERIM]])</f>
        <v>2</v>
      </c>
      <c r="BI3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3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3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3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36" s="51"/>
      <c r="BN36" s="46">
        <f>IFERROR(TABLATRANSFERENCIA[[#This Row],[REQUERIM]]/TABLATRANSFERENCIA[[#This Row],[PEDIDO PROMEDIO]],0)</f>
        <v>2</v>
      </c>
      <c r="BO36" s="51"/>
      <c r="BP36" s="63"/>
      <c r="BQ36" s="3">
        <f>IF(TABLATRANSFERENCIA[[#This Row],[RECIBIDO]]&lt;&gt;"",0,IF(TABLATRANSFERENCIA[[#This Row],[DESPACHO]]&lt;&gt;"",TABLATRANSFERENCIA[[#This Row],[DESPACHO]],TABLATRANSFERENCIA[[#This Row],[REQUERIM]]))</f>
        <v>2</v>
      </c>
      <c r="BR36" s="50"/>
      <c r="BS36" s="50"/>
      <c r="BT36" s="50" t="str">
        <f t="shared" si="0"/>
        <v>N</v>
      </c>
      <c r="BU36" s="51">
        <f t="array" ref="BU36">IF(SUM(--(TABLATRANSFERENCIA[[#This Row],[CODIGO GENERICO]]=TABLATRANSFERENCIA[CODIGO GENERICO])*TABLATRANSFERENCIA[REQUERIM])&lt;TABLATRANSFERENCIA[[#This Row],[PEDIDO MIN GRUPO]],1,0)</f>
        <v>0</v>
      </c>
      <c r="BV36"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W36" s="51">
        <v>2</v>
      </c>
      <c r="BX36" s="51">
        <v>1</v>
      </c>
    </row>
    <row r="37" spans="1:76" x14ac:dyDescent="0.25">
      <c r="A37" s="54" t="s">
        <v>2017</v>
      </c>
      <c r="B37" s="3" t="s">
        <v>2018</v>
      </c>
      <c r="C37" s="3" t="s">
        <v>1144</v>
      </c>
      <c r="D37" s="3" t="s">
        <v>1144</v>
      </c>
      <c r="E37" s="3">
        <v>0</v>
      </c>
      <c r="F37" s="3">
        <v>0</v>
      </c>
      <c r="G37" s="3">
        <v>0</v>
      </c>
      <c r="H37" s="3">
        <v>0</v>
      </c>
      <c r="I37" s="3" t="s">
        <v>2014</v>
      </c>
      <c r="J37" s="3">
        <v>0</v>
      </c>
      <c r="K37" s="3">
        <v>0</v>
      </c>
      <c r="L37" s="3" t="s">
        <v>1724</v>
      </c>
      <c r="M37" s="3">
        <v>0</v>
      </c>
      <c r="N37" s="3">
        <v>0</v>
      </c>
      <c r="O37" s="5" t="s">
        <v>1144</v>
      </c>
      <c r="P37" s="5">
        <v>176.95</v>
      </c>
      <c r="Q37" s="5">
        <v>2</v>
      </c>
      <c r="R37" s="46">
        <v>0</v>
      </c>
      <c r="S37" s="46">
        <v>-11.86</v>
      </c>
      <c r="T37" s="46">
        <v>0</v>
      </c>
      <c r="U37" s="46">
        <v>1</v>
      </c>
      <c r="V37" s="49" t="s">
        <v>1724</v>
      </c>
      <c r="W37" s="49" t="s">
        <v>1742</v>
      </c>
      <c r="X37" s="51">
        <v>2</v>
      </c>
      <c r="Y37" s="51">
        <v>2</v>
      </c>
      <c r="Z37" s="6">
        <v>2</v>
      </c>
      <c r="AA37" s="6">
        <v>1000000000</v>
      </c>
      <c r="AB37" s="6">
        <v>1</v>
      </c>
      <c r="AC37" s="4">
        <v>0.5</v>
      </c>
      <c r="AD37" s="6" t="s">
        <v>1146</v>
      </c>
      <c r="AE37" s="6">
        <v>0</v>
      </c>
      <c r="AF37" s="6">
        <v>0</v>
      </c>
      <c r="AG37" s="6">
        <v>0</v>
      </c>
      <c r="AH37" s="6">
        <v>0</v>
      </c>
      <c r="AI37" s="6">
        <v>0</v>
      </c>
      <c r="AJ37" s="6">
        <v>0</v>
      </c>
      <c r="AK37" s="6">
        <v>1</v>
      </c>
      <c r="AL37" s="4">
        <v>0.5</v>
      </c>
      <c r="AM37" s="6" t="s">
        <v>1146</v>
      </c>
      <c r="AN37" s="6">
        <v>0</v>
      </c>
      <c r="AO37" s="6">
        <v>0</v>
      </c>
      <c r="AP37" s="6">
        <v>0</v>
      </c>
      <c r="AQ37" s="6">
        <v>1</v>
      </c>
      <c r="AR37" s="6">
        <v>6.25</v>
      </c>
      <c r="AS37" s="6">
        <v>3.13</v>
      </c>
      <c r="AT37" s="6">
        <v>0</v>
      </c>
      <c r="AU37" s="6">
        <v>0</v>
      </c>
      <c r="AV37" s="62">
        <v>0</v>
      </c>
      <c r="AW37" s="62">
        <v>0</v>
      </c>
      <c r="AX37" s="6">
        <f t="array" ref="AX37">IFERROR(INDEX(Datos_Consumo[CANTIDAD],MATCH(TABLATRANSFERENCIA[[#This Row],[CODIGO]]&amp;TABLATRANSFERENCIA[[#Headers],[2016-5]],Datos_Consumo[CODIGO]&amp;Datos_Consumo[FECHA_FORMATO],0)),0)</f>
        <v>0</v>
      </c>
      <c r="AY37" s="6">
        <f t="array" ref="AY37">IFERROR(INDEX(Datos_Consumo[CANTIDAD],MATCH(TABLATRANSFERENCIA[[#This Row],[CODIGO]]&amp;TABLATRANSFERENCIA[[#Headers],[2016-6]],Datos_Consumo[CODIGO]&amp;Datos_Consumo[FECHA_FORMATO],0)),0)</f>
        <v>0</v>
      </c>
      <c r="AZ37" s="6">
        <f t="array" ref="AZ37">IFERROR(INDEX(Datos_Consumo[CANTIDAD],MATCH(TABLATRANSFERENCIA[[#This Row],[CODIGO]]&amp;TABLATRANSFERENCIA[[#Headers],[2016-7]],Datos_Consumo[CODIGO]&amp;Datos_Consumo[FECHA_FORMATO],0)),0)</f>
        <v>1</v>
      </c>
      <c r="BA37" s="6">
        <f t="array" ref="BA37">IFERROR(INDEX(Datos_Consumo[CANTIDAD],MATCH(TABLATRANSFERENCIA[[#This Row],[CODIGO]]&amp;TABLATRANSFERENCIA[[#Headers],[2016-8]],Datos_Consumo[CODIGO]&amp;Datos_Consumo[FECHA_FORMATO],0)),0)</f>
        <v>0</v>
      </c>
      <c r="BB37" s="6">
        <f t="array" ref="BB37">IFERROR(INDEX(Datos_Consumo[CANTIDAD],MATCH(TABLATRANSFERENCIA[[#This Row],[CODIGO]]&amp;TABLATRANSFERENCIA[[#Headers],[2016-9]],Datos_Consumo[CODIGO]&amp;Datos_Consumo[FECHA_FORMATO],0)),0)</f>
        <v>0</v>
      </c>
      <c r="BC37" s="6">
        <f t="array" ref="BC37">IFERROR(INDEX(Datos_Consumo[CANTIDAD],MATCH(TABLATRANSFERENCIA[[#This Row],[CODIGO]]&amp;TABLATRANSFERENCIA[[#Headers],[Columna6]],Datos_Consumo[CODIGO]&amp;Datos_Consumo[FECHA_FORMATO],0)),0)</f>
        <v>0</v>
      </c>
      <c r="BD37" s="50">
        <v>1</v>
      </c>
      <c r="BE37" s="55">
        <v>1</v>
      </c>
      <c r="BF37" s="50" t="s">
        <v>2470</v>
      </c>
      <c r="BG37" s="51"/>
      <c r="BH37"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3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3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3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3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37" s="51"/>
      <c r="BN37" s="46">
        <f>IFERROR(TABLATRANSFERENCIA[[#This Row],[REQUERIM]]/TABLATRANSFERENCIA[[#This Row],[PEDIDO PROMEDIO]],0)</f>
        <v>1</v>
      </c>
      <c r="BO37" s="51"/>
      <c r="BP37" s="63"/>
      <c r="BQ37" s="3">
        <f>IF(TABLATRANSFERENCIA[[#This Row],[RECIBIDO]]&lt;&gt;"",0,IF(TABLATRANSFERENCIA[[#This Row],[DESPACHO]]&lt;&gt;"",TABLATRANSFERENCIA[[#This Row],[DESPACHO]],TABLATRANSFERENCIA[[#This Row],[REQUERIM]]))</f>
        <v>1</v>
      </c>
      <c r="BR37" s="50"/>
      <c r="BS37" s="50"/>
      <c r="BT37" s="50" t="str">
        <f t="shared" si="0"/>
        <v>N</v>
      </c>
      <c r="BU37" s="51">
        <f t="array" ref="BU37">IF(SUM(--(TABLATRANSFERENCIA[[#This Row],[CODIGO GENERICO]]=TABLATRANSFERENCIA[CODIGO GENERICO])*TABLATRANSFERENCIA[REQUERIM])&lt;TABLATRANSFERENCIA[[#This Row],[PEDIDO MIN GRUPO]],1,0)</f>
        <v>0</v>
      </c>
      <c r="BV37"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W37" s="51">
        <v>2</v>
      </c>
      <c r="BX37" s="51">
        <v>1</v>
      </c>
    </row>
    <row r="38" spans="1:76" x14ac:dyDescent="0.25">
      <c r="A38" s="54" t="s">
        <v>1477</v>
      </c>
      <c r="B38" s="3" t="s">
        <v>2056</v>
      </c>
      <c r="C38" s="3" t="s">
        <v>1144</v>
      </c>
      <c r="D38" s="3" t="s">
        <v>1144</v>
      </c>
      <c r="E38" s="3">
        <v>0</v>
      </c>
      <c r="F38" s="3">
        <v>0</v>
      </c>
      <c r="G38" s="3">
        <v>0</v>
      </c>
      <c r="H38" s="3">
        <v>0</v>
      </c>
      <c r="I38" s="3" t="s">
        <v>2054</v>
      </c>
      <c r="J38" s="3">
        <v>0</v>
      </c>
      <c r="K38" s="3">
        <v>0</v>
      </c>
      <c r="L38" s="3" t="s">
        <v>1724</v>
      </c>
      <c r="M38" s="3">
        <v>0</v>
      </c>
      <c r="N38" s="3">
        <v>0</v>
      </c>
      <c r="O38" s="5" t="s">
        <v>1144</v>
      </c>
      <c r="P38" s="5">
        <v>57.95</v>
      </c>
      <c r="Q38" s="5">
        <v>99.55</v>
      </c>
      <c r="R38" s="46">
        <v>0</v>
      </c>
      <c r="S38" s="46">
        <v>8.61</v>
      </c>
      <c r="T38" s="46">
        <v>0</v>
      </c>
      <c r="U38" s="46">
        <v>1</v>
      </c>
      <c r="V38" s="49" t="s">
        <v>1724</v>
      </c>
      <c r="W38" s="49" t="s">
        <v>1742</v>
      </c>
      <c r="X38" s="51">
        <v>2</v>
      </c>
      <c r="Y38" s="51">
        <v>2</v>
      </c>
      <c r="Z38" s="6">
        <v>4</v>
      </c>
      <c r="AA38" s="6">
        <v>1000000000</v>
      </c>
      <c r="AB38" s="6">
        <v>2</v>
      </c>
      <c r="AC38" s="4">
        <v>0.5</v>
      </c>
      <c r="AD38" s="6" t="s">
        <v>1145</v>
      </c>
      <c r="AE38" s="6">
        <v>0</v>
      </c>
      <c r="AF38" s="6">
        <v>0</v>
      </c>
      <c r="AG38" s="6">
        <v>0</v>
      </c>
      <c r="AH38" s="6">
        <v>0</v>
      </c>
      <c r="AI38" s="6">
        <v>0</v>
      </c>
      <c r="AJ38" s="6">
        <v>0</v>
      </c>
      <c r="AK38" s="6">
        <v>2</v>
      </c>
      <c r="AL38" s="4">
        <v>0.5</v>
      </c>
      <c r="AM38" s="6" t="s">
        <v>1145</v>
      </c>
      <c r="AN38" s="6">
        <v>0</v>
      </c>
      <c r="AO38" s="6">
        <v>0</v>
      </c>
      <c r="AP38" s="6">
        <v>0</v>
      </c>
      <c r="AQ38" s="6">
        <v>2</v>
      </c>
      <c r="AR38" s="6">
        <v>0.8</v>
      </c>
      <c r="AS38" s="6">
        <v>0.4</v>
      </c>
      <c r="AT38" s="6">
        <v>0</v>
      </c>
      <c r="AU38" s="6">
        <v>0</v>
      </c>
      <c r="AV38" s="62">
        <v>0</v>
      </c>
      <c r="AW38" s="62">
        <v>0</v>
      </c>
      <c r="AX38" s="6">
        <f t="array" ref="AX38">IFERROR(INDEX(Datos_Consumo[CANTIDAD],MATCH(TABLATRANSFERENCIA[[#This Row],[CODIGO]]&amp;TABLATRANSFERENCIA[[#Headers],[2016-5]],Datos_Consumo[CODIGO]&amp;Datos_Consumo[FECHA_FORMATO],0)),0)</f>
        <v>1</v>
      </c>
      <c r="AY38" s="6">
        <f t="array" ref="AY38">IFERROR(INDEX(Datos_Consumo[CANTIDAD],MATCH(TABLATRANSFERENCIA[[#This Row],[CODIGO]]&amp;TABLATRANSFERENCIA[[#Headers],[2016-6]],Datos_Consumo[CODIGO]&amp;Datos_Consumo[FECHA_FORMATO],0)),0)</f>
        <v>15</v>
      </c>
      <c r="AZ38" s="6">
        <f t="array" ref="AZ38">IFERROR(INDEX(Datos_Consumo[CANTIDAD],MATCH(TABLATRANSFERENCIA[[#This Row],[CODIGO]]&amp;TABLATRANSFERENCIA[[#Headers],[2016-7]],Datos_Consumo[CODIGO]&amp;Datos_Consumo[FECHA_FORMATO],0)),0)</f>
        <v>15</v>
      </c>
      <c r="BA38" s="6">
        <f t="array" ref="BA38">IFERROR(INDEX(Datos_Consumo[CANTIDAD],MATCH(TABLATRANSFERENCIA[[#This Row],[CODIGO]]&amp;TABLATRANSFERENCIA[[#Headers],[2016-8]],Datos_Consumo[CODIGO]&amp;Datos_Consumo[FECHA_FORMATO],0)),0)</f>
        <v>0</v>
      </c>
      <c r="BB38" s="6">
        <f t="array" ref="BB38">IFERROR(INDEX(Datos_Consumo[CANTIDAD],MATCH(TABLATRANSFERENCIA[[#This Row],[CODIGO]]&amp;TABLATRANSFERENCIA[[#Headers],[2016-9]],Datos_Consumo[CODIGO]&amp;Datos_Consumo[FECHA_FORMATO],0)),0)</f>
        <v>0</v>
      </c>
      <c r="BC38" s="6">
        <f t="array" ref="BC38">IFERROR(INDEX(Datos_Consumo[CANTIDAD],MATCH(TABLATRANSFERENCIA[[#This Row],[CODIGO]]&amp;TABLATRANSFERENCIA[[#Headers],[Columna6]],Datos_Consumo[CODIGO]&amp;Datos_Consumo[FECHA_FORMATO],0)),0)</f>
        <v>0</v>
      </c>
      <c r="BD38" s="50">
        <v>2</v>
      </c>
      <c r="BE38" s="55">
        <v>2</v>
      </c>
      <c r="BF38" s="50" t="s">
        <v>2470</v>
      </c>
      <c r="BG38" s="51"/>
      <c r="BH38" s="51">
        <f>IF(RIGHT(TABLATRANSFERENCIA[[#Headers],[Emb1]],1)*1&lt;=TABLATRANSFERENCIA[[#This Row],[EMBARQUES]],IF(ISBLANK(TABLATRANSFERENCIA[[#This Row],[EMBARQUES]]),TABLATRANSFERENCIA[[#This Row],[REQUERIM]],ROUND(TABLATRANSFERENCIA[[#This Row],[REQUERIM]]/TABLATRANSFERENCIA[[#This Row],[EMBARQUES]],0)),TABLATRANSFERENCIA[[#This Row],[REQUERIM]])</f>
        <v>2</v>
      </c>
      <c r="BI3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3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3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3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38" s="51"/>
      <c r="BN38" s="46">
        <f>IFERROR(TABLATRANSFERENCIA[[#This Row],[REQUERIM]]/TABLATRANSFERENCIA[[#This Row],[PEDIDO PROMEDIO]],0)</f>
        <v>1</v>
      </c>
      <c r="BO38" s="51"/>
      <c r="BP38" s="63"/>
      <c r="BQ38" s="3">
        <f>IF(TABLATRANSFERENCIA[[#This Row],[RECIBIDO]]&lt;&gt;"",0,IF(TABLATRANSFERENCIA[[#This Row],[DESPACHO]]&lt;&gt;"",TABLATRANSFERENCIA[[#This Row],[DESPACHO]],TABLATRANSFERENCIA[[#This Row],[REQUERIM]]))</f>
        <v>2</v>
      </c>
      <c r="BR38" s="50"/>
      <c r="BS38" s="50"/>
      <c r="BT38" s="50" t="str">
        <f t="shared" si="0"/>
        <v>N</v>
      </c>
      <c r="BU38" s="51">
        <f t="array" ref="BU38">IF(SUM(--(TABLATRANSFERENCIA[[#This Row],[CODIGO GENERICO]]=TABLATRANSFERENCIA[CODIGO GENERICO])*TABLATRANSFERENCIA[REQUERIM])&lt;TABLATRANSFERENCIA[[#This Row],[PEDIDO MIN GRUPO]],1,0)</f>
        <v>0</v>
      </c>
      <c r="BV38"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38" s="51">
        <v>3</v>
      </c>
      <c r="BX38" s="51">
        <v>1</v>
      </c>
    </row>
    <row r="39" spans="1:76" x14ac:dyDescent="0.25">
      <c r="A39" s="54" t="s">
        <v>1735</v>
      </c>
      <c r="B39" s="3" t="s">
        <v>2064</v>
      </c>
      <c r="C39" s="3" t="s">
        <v>1144</v>
      </c>
      <c r="D39" s="3" t="s">
        <v>1144</v>
      </c>
      <c r="E39" s="3">
        <v>0</v>
      </c>
      <c r="F39" s="3">
        <v>0</v>
      </c>
      <c r="G39" s="3">
        <v>0</v>
      </c>
      <c r="H39" s="3">
        <v>0</v>
      </c>
      <c r="I39" s="3" t="s">
        <v>2059</v>
      </c>
      <c r="J39" s="3">
        <v>0</v>
      </c>
      <c r="K39" s="3">
        <v>0</v>
      </c>
      <c r="L39" s="3" t="s">
        <v>1724</v>
      </c>
      <c r="M39" s="3">
        <v>0</v>
      </c>
      <c r="N39" s="3">
        <v>0</v>
      </c>
      <c r="O39" s="5" t="s">
        <v>1144</v>
      </c>
      <c r="P39" s="5">
        <v>107.33</v>
      </c>
      <c r="Q39" s="5">
        <v>293.95</v>
      </c>
      <c r="R39" s="46">
        <v>0</v>
      </c>
      <c r="S39" s="46">
        <v>20.86</v>
      </c>
      <c r="T39" s="46">
        <v>0</v>
      </c>
      <c r="U39" s="46">
        <v>1</v>
      </c>
      <c r="V39" s="49" t="s">
        <v>1724</v>
      </c>
      <c r="W39" s="49" t="s">
        <v>1742</v>
      </c>
      <c r="X39" s="51">
        <v>2</v>
      </c>
      <c r="Y39" s="51">
        <v>2</v>
      </c>
      <c r="Z39" s="6">
        <v>3</v>
      </c>
      <c r="AA39" s="6">
        <v>1000000000</v>
      </c>
      <c r="AB39" s="6">
        <v>2</v>
      </c>
      <c r="AC39" s="4">
        <v>0.33</v>
      </c>
      <c r="AD39" s="6" t="s">
        <v>1145</v>
      </c>
      <c r="AE39" s="6">
        <v>0</v>
      </c>
      <c r="AF39" s="6">
        <v>0</v>
      </c>
      <c r="AG39" s="6">
        <v>0</v>
      </c>
      <c r="AH39" s="6">
        <v>0</v>
      </c>
      <c r="AI39" s="6">
        <v>0</v>
      </c>
      <c r="AJ39" s="6">
        <v>0</v>
      </c>
      <c r="AK39" s="6">
        <v>2</v>
      </c>
      <c r="AL39" s="4">
        <v>0.33</v>
      </c>
      <c r="AM39" s="6" t="s">
        <v>1145</v>
      </c>
      <c r="AN39" s="6">
        <v>0</v>
      </c>
      <c r="AO39" s="6">
        <v>0</v>
      </c>
      <c r="AP39" s="6">
        <v>0</v>
      </c>
      <c r="AQ39" s="6">
        <v>2</v>
      </c>
      <c r="AR39" s="6">
        <v>0</v>
      </c>
      <c r="AS39" s="6">
        <v>0</v>
      </c>
      <c r="AT39" s="6">
        <v>0</v>
      </c>
      <c r="AU39" s="6">
        <v>0</v>
      </c>
      <c r="AV39" s="62">
        <v>0</v>
      </c>
      <c r="AW39" s="62">
        <v>0</v>
      </c>
      <c r="AX39" s="6">
        <f t="array" ref="AX39">IFERROR(INDEX(Datos_Consumo[CANTIDAD],MATCH(TABLATRANSFERENCIA[[#This Row],[CODIGO]]&amp;TABLATRANSFERENCIA[[#Headers],[2016-5]],Datos_Consumo[CODIGO]&amp;Datos_Consumo[FECHA_FORMATO],0)),0)</f>
        <v>0</v>
      </c>
      <c r="AY39" s="6">
        <f t="array" ref="AY39">IFERROR(INDEX(Datos_Consumo[CANTIDAD],MATCH(TABLATRANSFERENCIA[[#This Row],[CODIGO]]&amp;TABLATRANSFERENCIA[[#Headers],[2016-6]],Datos_Consumo[CODIGO]&amp;Datos_Consumo[FECHA_FORMATO],0)),0)</f>
        <v>0</v>
      </c>
      <c r="AZ39" s="6">
        <f t="array" ref="AZ39">IFERROR(INDEX(Datos_Consumo[CANTIDAD],MATCH(TABLATRANSFERENCIA[[#This Row],[CODIGO]]&amp;TABLATRANSFERENCIA[[#Headers],[2016-7]],Datos_Consumo[CODIGO]&amp;Datos_Consumo[FECHA_FORMATO],0)),0)</f>
        <v>0</v>
      </c>
      <c r="BA39" s="6">
        <f t="array" ref="BA39">IFERROR(INDEX(Datos_Consumo[CANTIDAD],MATCH(TABLATRANSFERENCIA[[#This Row],[CODIGO]]&amp;TABLATRANSFERENCIA[[#Headers],[2016-8]],Datos_Consumo[CODIGO]&amp;Datos_Consumo[FECHA_FORMATO],0)),0)</f>
        <v>0</v>
      </c>
      <c r="BB39" s="6">
        <f t="array" ref="BB39">IFERROR(INDEX(Datos_Consumo[CANTIDAD],MATCH(TABLATRANSFERENCIA[[#This Row],[CODIGO]]&amp;TABLATRANSFERENCIA[[#Headers],[2016-9]],Datos_Consumo[CODIGO]&amp;Datos_Consumo[FECHA_FORMATO],0)),0)</f>
        <v>0</v>
      </c>
      <c r="BC39" s="6">
        <f t="array" ref="BC39">IFERROR(INDEX(Datos_Consumo[CANTIDAD],MATCH(TABLATRANSFERENCIA[[#This Row],[CODIGO]]&amp;TABLATRANSFERENCIA[[#Headers],[Columna6]],Datos_Consumo[CODIGO]&amp;Datos_Consumo[FECHA_FORMATO],0)),0)</f>
        <v>0</v>
      </c>
      <c r="BD39" s="50">
        <v>1</v>
      </c>
      <c r="BE39" s="55">
        <v>1</v>
      </c>
      <c r="BF39" s="50" t="s">
        <v>2470</v>
      </c>
      <c r="BG39" s="51"/>
      <c r="BH39"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3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3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3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3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39" s="51"/>
      <c r="BN39" s="46">
        <f>IFERROR(TABLATRANSFERENCIA[[#This Row],[REQUERIM]]/TABLATRANSFERENCIA[[#This Row],[PEDIDO PROMEDIO]],0)</f>
        <v>0.5</v>
      </c>
      <c r="BO39" s="51"/>
      <c r="BP39" s="63"/>
      <c r="BQ39" s="3">
        <f>IF(TABLATRANSFERENCIA[[#This Row],[RECIBIDO]]&lt;&gt;"",0,IF(TABLATRANSFERENCIA[[#This Row],[DESPACHO]]&lt;&gt;"",TABLATRANSFERENCIA[[#This Row],[DESPACHO]],TABLATRANSFERENCIA[[#This Row],[REQUERIM]]))</f>
        <v>1</v>
      </c>
      <c r="BR39" s="50"/>
      <c r="BS39" s="50"/>
      <c r="BT39" s="50" t="str">
        <f t="shared" si="0"/>
        <v>N</v>
      </c>
      <c r="BU39" s="51">
        <f t="array" ref="BU39">IF(SUM(--(TABLATRANSFERENCIA[[#This Row],[CODIGO GENERICO]]=TABLATRANSFERENCIA[CODIGO GENERICO])*TABLATRANSFERENCIA[REQUERIM])&lt;TABLATRANSFERENCIA[[#This Row],[PEDIDO MIN GRUPO]],1,0)</f>
        <v>0</v>
      </c>
      <c r="BV39"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39" s="51">
        <v>2</v>
      </c>
      <c r="BX39" s="51">
        <v>1</v>
      </c>
    </row>
    <row r="40" spans="1:76" x14ac:dyDescent="0.25">
      <c r="A40" s="54" t="s">
        <v>1436</v>
      </c>
      <c r="B40" s="3" t="s">
        <v>2069</v>
      </c>
      <c r="C40" s="3" t="s">
        <v>1144</v>
      </c>
      <c r="D40" s="3" t="s">
        <v>1144</v>
      </c>
      <c r="E40" s="3">
        <v>0</v>
      </c>
      <c r="F40" s="3">
        <v>0</v>
      </c>
      <c r="G40" s="3">
        <v>0</v>
      </c>
      <c r="H40" s="3">
        <v>0</v>
      </c>
      <c r="I40" s="3" t="s">
        <v>2059</v>
      </c>
      <c r="J40" s="3">
        <v>0</v>
      </c>
      <c r="K40" s="3">
        <v>0</v>
      </c>
      <c r="L40" s="3" t="s">
        <v>1724</v>
      </c>
      <c r="M40" s="3">
        <v>0</v>
      </c>
      <c r="N40" s="3">
        <v>0</v>
      </c>
      <c r="O40" s="5" t="s">
        <v>1144</v>
      </c>
      <c r="P40" s="5">
        <v>114.45</v>
      </c>
      <c r="Q40" s="5">
        <v>293.95</v>
      </c>
      <c r="R40" s="46">
        <v>0</v>
      </c>
      <c r="S40" s="46">
        <v>18.82</v>
      </c>
      <c r="T40" s="46">
        <v>0</v>
      </c>
      <c r="U40" s="46">
        <v>1</v>
      </c>
      <c r="V40" s="49" t="s">
        <v>1724</v>
      </c>
      <c r="W40" s="49" t="s">
        <v>1742</v>
      </c>
      <c r="X40" s="51">
        <v>2</v>
      </c>
      <c r="Y40" s="51">
        <v>2</v>
      </c>
      <c r="Z40" s="6">
        <v>6</v>
      </c>
      <c r="AA40" s="6">
        <v>1000000000</v>
      </c>
      <c r="AB40" s="6">
        <v>4</v>
      </c>
      <c r="AC40" s="4">
        <v>0.33</v>
      </c>
      <c r="AD40" s="6" t="s">
        <v>1145</v>
      </c>
      <c r="AE40" s="6">
        <v>0</v>
      </c>
      <c r="AF40" s="6">
        <v>0</v>
      </c>
      <c r="AG40" s="6">
        <v>0</v>
      </c>
      <c r="AH40" s="6">
        <v>0</v>
      </c>
      <c r="AI40" s="6">
        <v>0</v>
      </c>
      <c r="AJ40" s="6">
        <v>0</v>
      </c>
      <c r="AK40" s="6">
        <v>4</v>
      </c>
      <c r="AL40" s="4">
        <v>0.33</v>
      </c>
      <c r="AM40" s="6" t="s">
        <v>1145</v>
      </c>
      <c r="AN40" s="6">
        <v>0</v>
      </c>
      <c r="AO40" s="6">
        <v>0</v>
      </c>
      <c r="AP40" s="6">
        <v>0</v>
      </c>
      <c r="AQ40" s="6">
        <v>3</v>
      </c>
      <c r="AR40" s="6">
        <v>1.33</v>
      </c>
      <c r="AS40" s="6">
        <v>0.88</v>
      </c>
      <c r="AT40" s="6">
        <v>0</v>
      </c>
      <c r="AU40" s="6">
        <v>0</v>
      </c>
      <c r="AV40" s="62">
        <v>0</v>
      </c>
      <c r="AW40" s="62">
        <v>0</v>
      </c>
      <c r="AX40" s="6">
        <f t="array" ref="AX40">IFERROR(INDEX(Datos_Consumo[CANTIDAD],MATCH(TABLATRANSFERENCIA[[#This Row],[CODIGO]]&amp;TABLATRANSFERENCIA[[#Headers],[2016-5]],Datos_Consumo[CODIGO]&amp;Datos_Consumo[FECHA_FORMATO],0)),0)</f>
        <v>1</v>
      </c>
      <c r="AY40" s="6">
        <f t="array" ref="AY40">IFERROR(INDEX(Datos_Consumo[CANTIDAD],MATCH(TABLATRANSFERENCIA[[#This Row],[CODIGO]]&amp;TABLATRANSFERENCIA[[#Headers],[2016-6]],Datos_Consumo[CODIGO]&amp;Datos_Consumo[FECHA_FORMATO],0)),0)</f>
        <v>11</v>
      </c>
      <c r="AZ40" s="6">
        <f t="array" ref="AZ40">IFERROR(INDEX(Datos_Consumo[CANTIDAD],MATCH(TABLATRANSFERENCIA[[#This Row],[CODIGO]]&amp;TABLATRANSFERENCIA[[#Headers],[2016-7]],Datos_Consumo[CODIGO]&amp;Datos_Consumo[FECHA_FORMATO],0)),0)</f>
        <v>11</v>
      </c>
      <c r="BA40" s="6">
        <f t="array" ref="BA40">IFERROR(INDEX(Datos_Consumo[CANTIDAD],MATCH(TABLATRANSFERENCIA[[#This Row],[CODIGO]]&amp;TABLATRANSFERENCIA[[#Headers],[2016-8]],Datos_Consumo[CODIGO]&amp;Datos_Consumo[FECHA_FORMATO],0)),0)</f>
        <v>2</v>
      </c>
      <c r="BB40" s="6">
        <f t="array" ref="BB40">IFERROR(INDEX(Datos_Consumo[CANTIDAD],MATCH(TABLATRANSFERENCIA[[#This Row],[CODIGO]]&amp;TABLATRANSFERENCIA[[#Headers],[2016-9]],Datos_Consumo[CODIGO]&amp;Datos_Consumo[FECHA_FORMATO],0)),0)</f>
        <v>0</v>
      </c>
      <c r="BC40" s="6">
        <f t="array" ref="BC40">IFERROR(INDEX(Datos_Consumo[CANTIDAD],MATCH(TABLATRANSFERENCIA[[#This Row],[CODIGO]]&amp;TABLATRANSFERENCIA[[#Headers],[Columna6]],Datos_Consumo[CODIGO]&amp;Datos_Consumo[FECHA_FORMATO],0)),0)</f>
        <v>0</v>
      </c>
      <c r="BD40" s="50">
        <v>2</v>
      </c>
      <c r="BE40" s="55">
        <v>2</v>
      </c>
      <c r="BF40" s="50" t="s">
        <v>2470</v>
      </c>
      <c r="BG40" s="51"/>
      <c r="BH40" s="51">
        <f>IF(RIGHT(TABLATRANSFERENCIA[[#Headers],[Emb1]],1)*1&lt;=TABLATRANSFERENCIA[[#This Row],[EMBARQUES]],IF(ISBLANK(TABLATRANSFERENCIA[[#This Row],[EMBARQUES]]),TABLATRANSFERENCIA[[#This Row],[REQUERIM]],ROUND(TABLATRANSFERENCIA[[#This Row],[REQUERIM]]/TABLATRANSFERENCIA[[#This Row],[EMBARQUES]],0)),TABLATRANSFERENCIA[[#This Row],[REQUERIM]])</f>
        <v>2</v>
      </c>
      <c r="BI4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4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4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4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40" s="51"/>
      <c r="BN40" s="46">
        <f>IFERROR(TABLATRANSFERENCIA[[#This Row],[REQUERIM]]/TABLATRANSFERENCIA[[#This Row],[PEDIDO PROMEDIO]],0)</f>
        <v>0.66666666666666663</v>
      </c>
      <c r="BO40" s="51"/>
      <c r="BP40" s="63"/>
      <c r="BQ40" s="3">
        <f>IF(TABLATRANSFERENCIA[[#This Row],[RECIBIDO]]&lt;&gt;"",0,IF(TABLATRANSFERENCIA[[#This Row],[DESPACHO]]&lt;&gt;"",TABLATRANSFERENCIA[[#This Row],[DESPACHO]],TABLATRANSFERENCIA[[#This Row],[REQUERIM]]))</f>
        <v>2</v>
      </c>
      <c r="BR40" s="50"/>
      <c r="BS40" s="50"/>
      <c r="BT40" s="50" t="str">
        <f t="shared" si="0"/>
        <v>N</v>
      </c>
      <c r="BU40" s="51">
        <f t="array" ref="BU40">IF(SUM(--(TABLATRANSFERENCIA[[#This Row],[CODIGO GENERICO]]=TABLATRANSFERENCIA[CODIGO GENERICO])*TABLATRANSFERENCIA[REQUERIM])&lt;TABLATRANSFERENCIA[[#This Row],[PEDIDO MIN GRUPO]],1,0)</f>
        <v>0</v>
      </c>
      <c r="BV40"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40" s="51">
        <v>4</v>
      </c>
      <c r="BX40" s="51">
        <v>2</v>
      </c>
    </row>
    <row r="41" spans="1:76" x14ac:dyDescent="0.25">
      <c r="A41" s="54" t="s">
        <v>1437</v>
      </c>
      <c r="B41" s="3" t="s">
        <v>2070</v>
      </c>
      <c r="C41" s="3" t="s">
        <v>1144</v>
      </c>
      <c r="D41" s="3" t="s">
        <v>1144</v>
      </c>
      <c r="E41" s="3">
        <v>0</v>
      </c>
      <c r="F41" s="3">
        <v>0</v>
      </c>
      <c r="G41" s="3">
        <v>0</v>
      </c>
      <c r="H41" s="3">
        <v>0</v>
      </c>
      <c r="I41" s="3" t="s">
        <v>2059</v>
      </c>
      <c r="J41" s="3">
        <v>0</v>
      </c>
      <c r="K41" s="3">
        <v>0</v>
      </c>
      <c r="L41" s="3" t="s">
        <v>1724</v>
      </c>
      <c r="M41" s="3">
        <v>0</v>
      </c>
      <c r="N41" s="3">
        <v>0</v>
      </c>
      <c r="O41" s="5" t="s">
        <v>1144</v>
      </c>
      <c r="P41" s="5">
        <v>115.8</v>
      </c>
      <c r="Q41" s="5">
        <v>293.95</v>
      </c>
      <c r="R41" s="46">
        <v>0</v>
      </c>
      <c r="S41" s="46">
        <v>18.46</v>
      </c>
      <c r="T41" s="46">
        <v>0</v>
      </c>
      <c r="U41" s="46">
        <v>1</v>
      </c>
      <c r="V41" s="49" t="s">
        <v>1724</v>
      </c>
      <c r="W41" s="49" t="s">
        <v>1742</v>
      </c>
      <c r="X41" s="51">
        <v>2</v>
      </c>
      <c r="Y41" s="51">
        <v>2</v>
      </c>
      <c r="Z41" s="6">
        <v>4</v>
      </c>
      <c r="AA41" s="6">
        <v>1000000000</v>
      </c>
      <c r="AB41" s="6">
        <v>3</v>
      </c>
      <c r="AC41" s="4">
        <v>0.25</v>
      </c>
      <c r="AD41" s="6" t="s">
        <v>1145</v>
      </c>
      <c r="AE41" s="6">
        <v>0</v>
      </c>
      <c r="AF41" s="6">
        <v>0</v>
      </c>
      <c r="AG41" s="6">
        <v>0</v>
      </c>
      <c r="AH41" s="6">
        <v>0</v>
      </c>
      <c r="AI41" s="6">
        <v>0</v>
      </c>
      <c r="AJ41" s="6">
        <v>0</v>
      </c>
      <c r="AK41" s="6">
        <v>3</v>
      </c>
      <c r="AL41" s="4">
        <v>0.25</v>
      </c>
      <c r="AM41" s="6" t="s">
        <v>1145</v>
      </c>
      <c r="AN41" s="6">
        <v>0</v>
      </c>
      <c r="AO41" s="6">
        <v>0</v>
      </c>
      <c r="AP41" s="6">
        <v>0</v>
      </c>
      <c r="AQ41" s="6">
        <v>2</v>
      </c>
      <c r="AR41" s="6">
        <v>2.56</v>
      </c>
      <c r="AS41" s="6">
        <v>1.92</v>
      </c>
      <c r="AT41" s="6">
        <v>0</v>
      </c>
      <c r="AU41" s="6">
        <v>0</v>
      </c>
      <c r="AV41" s="62">
        <v>0</v>
      </c>
      <c r="AW41" s="62">
        <v>0</v>
      </c>
      <c r="AX41" s="6">
        <f t="array" ref="AX41">IFERROR(INDEX(Datos_Consumo[CANTIDAD],MATCH(TABLATRANSFERENCIA[[#This Row],[CODIGO]]&amp;TABLATRANSFERENCIA[[#Headers],[2016-5]],Datos_Consumo[CODIGO]&amp;Datos_Consumo[FECHA_FORMATO],0)),0)</f>
        <v>0</v>
      </c>
      <c r="AY41" s="6">
        <f t="array" ref="AY41">IFERROR(INDEX(Datos_Consumo[CANTIDAD],MATCH(TABLATRANSFERENCIA[[#This Row],[CODIGO]]&amp;TABLATRANSFERENCIA[[#Headers],[2016-6]],Datos_Consumo[CODIGO]&amp;Datos_Consumo[FECHA_FORMATO],0)),0)</f>
        <v>3</v>
      </c>
      <c r="AZ41" s="6">
        <f t="array" ref="AZ41">IFERROR(INDEX(Datos_Consumo[CANTIDAD],MATCH(TABLATRANSFERENCIA[[#This Row],[CODIGO]]&amp;TABLATRANSFERENCIA[[#Headers],[2016-7]],Datos_Consumo[CODIGO]&amp;Datos_Consumo[FECHA_FORMATO],0)),0)</f>
        <v>5</v>
      </c>
      <c r="BA41" s="6">
        <f t="array" ref="BA41">IFERROR(INDEX(Datos_Consumo[CANTIDAD],MATCH(TABLATRANSFERENCIA[[#This Row],[CODIGO]]&amp;TABLATRANSFERENCIA[[#Headers],[2016-8]],Datos_Consumo[CODIGO]&amp;Datos_Consumo[FECHA_FORMATO],0)),0)</f>
        <v>1</v>
      </c>
      <c r="BB41" s="6">
        <f t="array" ref="BB41">IFERROR(INDEX(Datos_Consumo[CANTIDAD],MATCH(TABLATRANSFERENCIA[[#This Row],[CODIGO]]&amp;TABLATRANSFERENCIA[[#Headers],[2016-9]],Datos_Consumo[CODIGO]&amp;Datos_Consumo[FECHA_FORMATO],0)),0)</f>
        <v>0</v>
      </c>
      <c r="BC41" s="6">
        <f t="array" ref="BC41">IFERROR(INDEX(Datos_Consumo[CANTIDAD],MATCH(TABLATRANSFERENCIA[[#This Row],[CODIGO]]&amp;TABLATRANSFERENCIA[[#Headers],[Columna6]],Datos_Consumo[CODIGO]&amp;Datos_Consumo[FECHA_FORMATO],0)),0)</f>
        <v>0</v>
      </c>
      <c r="BD41" s="50">
        <v>1</v>
      </c>
      <c r="BE41" s="55">
        <v>1</v>
      </c>
      <c r="BF41" s="50" t="s">
        <v>2470</v>
      </c>
      <c r="BG41" s="51"/>
      <c r="BH41"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4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4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4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4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41" s="51"/>
      <c r="BN41" s="46">
        <f>IFERROR(TABLATRANSFERENCIA[[#This Row],[REQUERIM]]/TABLATRANSFERENCIA[[#This Row],[PEDIDO PROMEDIO]],0)</f>
        <v>0.5</v>
      </c>
      <c r="BO41" s="51"/>
      <c r="BP41" s="63"/>
      <c r="BQ41" s="3">
        <f>IF(TABLATRANSFERENCIA[[#This Row],[RECIBIDO]]&lt;&gt;"",0,IF(TABLATRANSFERENCIA[[#This Row],[DESPACHO]]&lt;&gt;"",TABLATRANSFERENCIA[[#This Row],[DESPACHO]],TABLATRANSFERENCIA[[#This Row],[REQUERIM]]))</f>
        <v>1</v>
      </c>
      <c r="BR41" s="50"/>
      <c r="BS41" s="50"/>
      <c r="BT41" s="50" t="str">
        <f t="shared" si="0"/>
        <v>N</v>
      </c>
      <c r="BU41" s="51">
        <f t="array" ref="BU41">IF(SUM(--(TABLATRANSFERENCIA[[#This Row],[CODIGO GENERICO]]=TABLATRANSFERENCIA[CODIGO GENERICO])*TABLATRANSFERENCIA[REQUERIM])&lt;TABLATRANSFERENCIA[[#This Row],[PEDIDO MIN GRUPO]],1,0)</f>
        <v>0</v>
      </c>
      <c r="BV41"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41" s="51">
        <v>3</v>
      </c>
      <c r="BX41" s="51">
        <v>1</v>
      </c>
    </row>
    <row r="42" spans="1:76" x14ac:dyDescent="0.25">
      <c r="A42" s="54" t="s">
        <v>2107</v>
      </c>
      <c r="B42" s="3" t="s">
        <v>2108</v>
      </c>
      <c r="C42" s="3" t="s">
        <v>1144</v>
      </c>
      <c r="D42" s="3" t="s">
        <v>1144</v>
      </c>
      <c r="E42" s="3">
        <v>0</v>
      </c>
      <c r="F42" s="3">
        <v>0</v>
      </c>
      <c r="G42" s="3">
        <v>0</v>
      </c>
      <c r="H42" s="3">
        <v>0</v>
      </c>
      <c r="I42" s="3" t="s">
        <v>2014</v>
      </c>
      <c r="J42" s="3">
        <v>0</v>
      </c>
      <c r="K42" s="3">
        <v>0</v>
      </c>
      <c r="L42" s="3" t="s">
        <v>1724</v>
      </c>
      <c r="M42" s="3">
        <v>0</v>
      </c>
      <c r="N42" s="3">
        <v>0</v>
      </c>
      <c r="O42" s="5" t="s">
        <v>1144</v>
      </c>
      <c r="P42" s="5">
        <v>169.76</v>
      </c>
      <c r="Q42" s="5">
        <v>2</v>
      </c>
      <c r="R42" s="46">
        <v>0</v>
      </c>
      <c r="S42" s="46">
        <v>-11.86</v>
      </c>
      <c r="T42" s="46">
        <v>0</v>
      </c>
      <c r="U42" s="46">
        <v>1</v>
      </c>
      <c r="V42" s="49" t="s">
        <v>1724</v>
      </c>
      <c r="W42" s="49" t="s">
        <v>1742</v>
      </c>
      <c r="X42" s="51">
        <v>2</v>
      </c>
      <c r="Y42" s="51">
        <v>2</v>
      </c>
      <c r="Z42" s="6">
        <v>1</v>
      </c>
      <c r="AA42" s="6">
        <v>1000000000</v>
      </c>
      <c r="AB42" s="6">
        <v>0</v>
      </c>
      <c r="AC42" s="4">
        <v>1</v>
      </c>
      <c r="AD42" s="6" t="s">
        <v>838</v>
      </c>
      <c r="AE42" s="6">
        <v>0</v>
      </c>
      <c r="AF42" s="6">
        <v>0</v>
      </c>
      <c r="AG42" s="6">
        <v>0</v>
      </c>
      <c r="AH42" s="6">
        <v>0</v>
      </c>
      <c r="AI42" s="6">
        <v>0</v>
      </c>
      <c r="AJ42" s="6">
        <v>0</v>
      </c>
      <c r="AK42" s="6">
        <v>0</v>
      </c>
      <c r="AL42" s="4">
        <v>1</v>
      </c>
      <c r="AM42" s="6" t="s">
        <v>838</v>
      </c>
      <c r="AN42" s="6">
        <v>0</v>
      </c>
      <c r="AO42" s="6">
        <v>0</v>
      </c>
      <c r="AP42" s="6">
        <v>0</v>
      </c>
      <c r="AQ42" s="6">
        <v>1</v>
      </c>
      <c r="AR42" s="6">
        <v>6.25</v>
      </c>
      <c r="AS42" s="6">
        <v>0</v>
      </c>
      <c r="AT42" s="6">
        <v>0</v>
      </c>
      <c r="AU42" s="6">
        <v>20</v>
      </c>
      <c r="AV42" s="62">
        <v>0</v>
      </c>
      <c r="AW42" s="62">
        <v>0</v>
      </c>
      <c r="AX42" s="6">
        <f t="array" ref="AX42">IFERROR(INDEX(Datos_Consumo[CANTIDAD],MATCH(TABLATRANSFERENCIA[[#This Row],[CODIGO]]&amp;TABLATRANSFERENCIA[[#Headers],[2016-5]],Datos_Consumo[CODIGO]&amp;Datos_Consumo[FECHA_FORMATO],0)),0)</f>
        <v>0</v>
      </c>
      <c r="AY42" s="6">
        <f t="array" ref="AY42">IFERROR(INDEX(Datos_Consumo[CANTIDAD],MATCH(TABLATRANSFERENCIA[[#This Row],[CODIGO]]&amp;TABLATRANSFERENCIA[[#Headers],[2016-6]],Datos_Consumo[CODIGO]&amp;Datos_Consumo[FECHA_FORMATO],0)),0)</f>
        <v>1</v>
      </c>
      <c r="AZ42" s="6">
        <f t="array" ref="AZ42">IFERROR(INDEX(Datos_Consumo[CANTIDAD],MATCH(TABLATRANSFERENCIA[[#This Row],[CODIGO]]&amp;TABLATRANSFERENCIA[[#Headers],[2016-7]],Datos_Consumo[CODIGO]&amp;Datos_Consumo[FECHA_FORMATO],0)),0)</f>
        <v>0</v>
      </c>
      <c r="BA42" s="6">
        <f t="array" ref="BA42">IFERROR(INDEX(Datos_Consumo[CANTIDAD],MATCH(TABLATRANSFERENCIA[[#This Row],[CODIGO]]&amp;TABLATRANSFERENCIA[[#Headers],[2016-8]],Datos_Consumo[CODIGO]&amp;Datos_Consumo[FECHA_FORMATO],0)),0)</f>
        <v>0</v>
      </c>
      <c r="BB42" s="6">
        <f t="array" ref="BB42">IFERROR(INDEX(Datos_Consumo[CANTIDAD],MATCH(TABLATRANSFERENCIA[[#This Row],[CODIGO]]&amp;TABLATRANSFERENCIA[[#Headers],[2016-9]],Datos_Consumo[CODIGO]&amp;Datos_Consumo[FECHA_FORMATO],0)),0)</f>
        <v>0</v>
      </c>
      <c r="BC42" s="6">
        <f t="array" ref="BC42">IFERROR(INDEX(Datos_Consumo[CANTIDAD],MATCH(TABLATRANSFERENCIA[[#This Row],[CODIGO]]&amp;TABLATRANSFERENCIA[[#Headers],[Columna6]],Datos_Consumo[CODIGO]&amp;Datos_Consumo[FECHA_FORMATO],0)),0)</f>
        <v>0</v>
      </c>
      <c r="BD42" s="50">
        <v>1</v>
      </c>
      <c r="BE42" s="55">
        <v>1</v>
      </c>
      <c r="BF42" s="50" t="s">
        <v>2470</v>
      </c>
      <c r="BG42" s="51"/>
      <c r="BH42"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4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4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4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4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42" s="51"/>
      <c r="BN42" s="46">
        <f>IFERROR(TABLATRANSFERENCIA[[#This Row],[REQUERIM]]/TABLATRANSFERENCIA[[#This Row],[PEDIDO PROMEDIO]],0)</f>
        <v>1</v>
      </c>
      <c r="BO42" s="51"/>
      <c r="BP42" s="63"/>
      <c r="BQ42" s="3">
        <f>IF(TABLATRANSFERENCIA[[#This Row],[RECIBIDO]]&lt;&gt;"",0,IF(TABLATRANSFERENCIA[[#This Row],[DESPACHO]]&lt;&gt;"",TABLATRANSFERENCIA[[#This Row],[DESPACHO]],TABLATRANSFERENCIA[[#This Row],[REQUERIM]]))</f>
        <v>1</v>
      </c>
      <c r="BR42" s="50"/>
      <c r="BS42" s="50"/>
      <c r="BT42" s="50" t="str">
        <f t="shared" si="0"/>
        <v>N</v>
      </c>
      <c r="BU42" s="51">
        <f t="array" ref="BU42">IF(SUM(--(TABLATRANSFERENCIA[[#This Row],[CODIGO GENERICO]]=TABLATRANSFERENCIA[CODIGO GENERICO])*TABLATRANSFERENCIA[REQUERIM])&lt;TABLATRANSFERENCIA[[#This Row],[PEDIDO MIN GRUPO]],1,0)</f>
        <v>0</v>
      </c>
      <c r="BV42"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W42" s="51">
        <v>1</v>
      </c>
      <c r="BX42" s="51">
        <v>0.5</v>
      </c>
    </row>
    <row r="43" spans="1:76" x14ac:dyDescent="0.25">
      <c r="A43" s="54" t="s">
        <v>1488</v>
      </c>
      <c r="B43" s="3" t="s">
        <v>2276</v>
      </c>
      <c r="C43" s="3" t="s">
        <v>1144</v>
      </c>
      <c r="D43" s="3" t="s">
        <v>1144</v>
      </c>
      <c r="E43" s="3">
        <v>0</v>
      </c>
      <c r="F43" s="3">
        <v>0</v>
      </c>
      <c r="G43" s="3">
        <v>0</v>
      </c>
      <c r="H43" s="3">
        <v>0</v>
      </c>
      <c r="I43" s="3" t="s">
        <v>2265</v>
      </c>
      <c r="J43" s="3">
        <v>0</v>
      </c>
      <c r="K43" s="3">
        <v>0</v>
      </c>
      <c r="L43" s="3" t="s">
        <v>1724</v>
      </c>
      <c r="M43" s="3">
        <v>0</v>
      </c>
      <c r="N43" s="3">
        <v>0</v>
      </c>
      <c r="O43" s="5" t="s">
        <v>1144</v>
      </c>
      <c r="P43" s="5">
        <v>565.47</v>
      </c>
      <c r="Q43" s="5">
        <v>2</v>
      </c>
      <c r="R43" s="46">
        <v>0</v>
      </c>
      <c r="S43" s="46">
        <v>-11.96</v>
      </c>
      <c r="T43" s="46">
        <v>0</v>
      </c>
      <c r="U43" s="46">
        <v>1</v>
      </c>
      <c r="V43" s="49" t="s">
        <v>1724</v>
      </c>
      <c r="W43" s="49" t="s">
        <v>1742</v>
      </c>
      <c r="X43" s="51">
        <v>2</v>
      </c>
      <c r="Y43" s="51">
        <v>2</v>
      </c>
      <c r="Z43" s="6">
        <v>2</v>
      </c>
      <c r="AA43" s="6">
        <v>1000000000</v>
      </c>
      <c r="AB43" s="6">
        <v>1</v>
      </c>
      <c r="AC43" s="4">
        <v>0.5</v>
      </c>
      <c r="AD43" s="6" t="s">
        <v>1146</v>
      </c>
      <c r="AE43" s="6">
        <v>0</v>
      </c>
      <c r="AF43" s="6">
        <v>0</v>
      </c>
      <c r="AG43" s="6">
        <v>0</v>
      </c>
      <c r="AH43" s="6">
        <v>0</v>
      </c>
      <c r="AI43" s="6">
        <v>0</v>
      </c>
      <c r="AJ43" s="6">
        <v>0</v>
      </c>
      <c r="AK43" s="6">
        <v>1</v>
      </c>
      <c r="AL43" s="4">
        <v>0.5</v>
      </c>
      <c r="AM43" s="6" t="s">
        <v>1146</v>
      </c>
      <c r="AN43" s="6">
        <v>0</v>
      </c>
      <c r="AO43" s="6">
        <v>0</v>
      </c>
      <c r="AP43" s="6">
        <v>0</v>
      </c>
      <c r="AQ43" s="6">
        <v>1</v>
      </c>
      <c r="AR43" s="6">
        <v>6.25</v>
      </c>
      <c r="AS43" s="6">
        <v>3.13</v>
      </c>
      <c r="AT43" s="6">
        <v>0</v>
      </c>
      <c r="AU43" s="6">
        <v>0</v>
      </c>
      <c r="AV43" s="62">
        <v>0</v>
      </c>
      <c r="AW43" s="62">
        <v>0</v>
      </c>
      <c r="AX43" s="6">
        <f t="array" ref="AX43">IFERROR(INDEX(Datos_Consumo[CANTIDAD],MATCH(TABLATRANSFERENCIA[[#This Row],[CODIGO]]&amp;TABLATRANSFERENCIA[[#Headers],[2016-5]],Datos_Consumo[CODIGO]&amp;Datos_Consumo[FECHA_FORMATO],0)),0)</f>
        <v>0</v>
      </c>
      <c r="AY43" s="6">
        <f t="array" ref="AY43">IFERROR(INDEX(Datos_Consumo[CANTIDAD],MATCH(TABLATRANSFERENCIA[[#This Row],[CODIGO]]&amp;TABLATRANSFERENCIA[[#Headers],[2016-6]],Datos_Consumo[CODIGO]&amp;Datos_Consumo[FECHA_FORMATO],0)),0)</f>
        <v>0</v>
      </c>
      <c r="AZ43" s="6">
        <f t="array" ref="AZ43">IFERROR(INDEX(Datos_Consumo[CANTIDAD],MATCH(TABLATRANSFERENCIA[[#This Row],[CODIGO]]&amp;TABLATRANSFERENCIA[[#Headers],[2016-7]],Datos_Consumo[CODIGO]&amp;Datos_Consumo[FECHA_FORMATO],0)),0)</f>
        <v>1</v>
      </c>
      <c r="BA43" s="6">
        <f t="array" ref="BA43">IFERROR(INDEX(Datos_Consumo[CANTIDAD],MATCH(TABLATRANSFERENCIA[[#This Row],[CODIGO]]&amp;TABLATRANSFERENCIA[[#Headers],[2016-8]],Datos_Consumo[CODIGO]&amp;Datos_Consumo[FECHA_FORMATO],0)),0)</f>
        <v>0</v>
      </c>
      <c r="BB43" s="6">
        <f t="array" ref="BB43">IFERROR(INDEX(Datos_Consumo[CANTIDAD],MATCH(TABLATRANSFERENCIA[[#This Row],[CODIGO]]&amp;TABLATRANSFERENCIA[[#Headers],[2016-9]],Datos_Consumo[CODIGO]&amp;Datos_Consumo[FECHA_FORMATO],0)),0)</f>
        <v>0</v>
      </c>
      <c r="BC43" s="6">
        <f t="array" ref="BC43">IFERROR(INDEX(Datos_Consumo[CANTIDAD],MATCH(TABLATRANSFERENCIA[[#This Row],[CODIGO]]&amp;TABLATRANSFERENCIA[[#Headers],[Columna6]],Datos_Consumo[CODIGO]&amp;Datos_Consumo[FECHA_FORMATO],0)),0)</f>
        <v>0</v>
      </c>
      <c r="BD43" s="50">
        <v>1</v>
      </c>
      <c r="BE43" s="55">
        <v>1</v>
      </c>
      <c r="BF43" s="50" t="s">
        <v>2470</v>
      </c>
      <c r="BG43" s="51"/>
      <c r="BH43"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4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4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4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4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43" s="51"/>
      <c r="BN43" s="46">
        <f>IFERROR(TABLATRANSFERENCIA[[#This Row],[REQUERIM]]/TABLATRANSFERENCIA[[#This Row],[PEDIDO PROMEDIO]],0)</f>
        <v>1</v>
      </c>
      <c r="BO43" s="51"/>
      <c r="BP43" s="63"/>
      <c r="BQ43" s="3">
        <f>IF(TABLATRANSFERENCIA[[#This Row],[RECIBIDO]]&lt;&gt;"",0,IF(TABLATRANSFERENCIA[[#This Row],[DESPACHO]]&lt;&gt;"",TABLATRANSFERENCIA[[#This Row],[DESPACHO]],TABLATRANSFERENCIA[[#This Row],[REQUERIM]]))</f>
        <v>1</v>
      </c>
      <c r="BR43" s="50"/>
      <c r="BS43" s="50"/>
      <c r="BT43" s="50" t="str">
        <f t="shared" si="0"/>
        <v>N</v>
      </c>
      <c r="BU43" s="51">
        <f t="array" ref="BU43">IF(SUM(--(TABLATRANSFERENCIA[[#This Row],[CODIGO GENERICO]]=TABLATRANSFERENCIA[CODIGO GENERICO])*TABLATRANSFERENCIA[REQUERIM])&lt;TABLATRANSFERENCIA[[#This Row],[PEDIDO MIN GRUPO]],1,0)</f>
        <v>0</v>
      </c>
      <c r="BV43"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W43" s="51">
        <v>2</v>
      </c>
      <c r="BX43" s="51">
        <v>1</v>
      </c>
    </row>
    <row r="44" spans="1:76" x14ac:dyDescent="0.25">
      <c r="A44" s="54" t="s">
        <v>2277</v>
      </c>
      <c r="B44" s="3" t="s">
        <v>2278</v>
      </c>
      <c r="C44" s="3" t="s">
        <v>1144</v>
      </c>
      <c r="D44" s="3" t="s">
        <v>1144</v>
      </c>
      <c r="E44" s="3">
        <v>0</v>
      </c>
      <c r="F44" s="3">
        <v>0</v>
      </c>
      <c r="G44" s="3">
        <v>0</v>
      </c>
      <c r="H44" s="3">
        <v>0</v>
      </c>
      <c r="I44" s="3" t="s">
        <v>2265</v>
      </c>
      <c r="J44" s="3">
        <v>0</v>
      </c>
      <c r="K44" s="3">
        <v>0</v>
      </c>
      <c r="L44" s="3" t="s">
        <v>1724</v>
      </c>
      <c r="M44" s="3">
        <v>0</v>
      </c>
      <c r="N44" s="3">
        <v>0</v>
      </c>
      <c r="O44" s="5" t="s">
        <v>1144</v>
      </c>
      <c r="P44" s="5">
        <v>563.17999999999995</v>
      </c>
      <c r="Q44" s="5">
        <v>2</v>
      </c>
      <c r="R44" s="46">
        <v>0</v>
      </c>
      <c r="S44" s="46">
        <v>-11.96</v>
      </c>
      <c r="T44" s="46">
        <v>0</v>
      </c>
      <c r="U44" s="46">
        <v>1</v>
      </c>
      <c r="V44" s="49" t="s">
        <v>1724</v>
      </c>
      <c r="W44" s="49" t="s">
        <v>1742</v>
      </c>
      <c r="X44" s="51">
        <v>2</v>
      </c>
      <c r="Y44" s="51">
        <v>2</v>
      </c>
      <c r="Z44" s="6">
        <v>2</v>
      </c>
      <c r="AA44" s="6">
        <v>1000000000</v>
      </c>
      <c r="AB44" s="6">
        <v>1</v>
      </c>
      <c r="AC44" s="4">
        <v>0.5</v>
      </c>
      <c r="AD44" s="6" t="s">
        <v>1146</v>
      </c>
      <c r="AE44" s="6">
        <v>0</v>
      </c>
      <c r="AF44" s="6">
        <v>0</v>
      </c>
      <c r="AG44" s="6">
        <v>0</v>
      </c>
      <c r="AH44" s="6">
        <v>0</v>
      </c>
      <c r="AI44" s="6">
        <v>0</v>
      </c>
      <c r="AJ44" s="6">
        <v>0</v>
      </c>
      <c r="AK44" s="6">
        <v>1</v>
      </c>
      <c r="AL44" s="4">
        <v>0.5</v>
      </c>
      <c r="AM44" s="6" t="s">
        <v>1146</v>
      </c>
      <c r="AN44" s="6">
        <v>0</v>
      </c>
      <c r="AO44" s="6">
        <v>0</v>
      </c>
      <c r="AP44" s="6">
        <v>0</v>
      </c>
      <c r="AQ44" s="6">
        <v>1</v>
      </c>
      <c r="AR44" s="6">
        <v>12.5</v>
      </c>
      <c r="AS44" s="6">
        <v>6.25</v>
      </c>
      <c r="AT44" s="6">
        <v>0</v>
      </c>
      <c r="AU44" s="6">
        <v>0</v>
      </c>
      <c r="AV44" s="62">
        <v>0</v>
      </c>
      <c r="AW44" s="62">
        <v>0</v>
      </c>
      <c r="AX44" s="6">
        <f t="array" ref="AX44">IFERROR(INDEX(Datos_Consumo[CANTIDAD],MATCH(TABLATRANSFERENCIA[[#This Row],[CODIGO]]&amp;TABLATRANSFERENCIA[[#Headers],[2016-5]],Datos_Consumo[CODIGO]&amp;Datos_Consumo[FECHA_FORMATO],0)),0)</f>
        <v>0</v>
      </c>
      <c r="AY44" s="6">
        <f t="array" ref="AY44">IFERROR(INDEX(Datos_Consumo[CANTIDAD],MATCH(TABLATRANSFERENCIA[[#This Row],[CODIGO]]&amp;TABLATRANSFERENCIA[[#Headers],[2016-6]],Datos_Consumo[CODIGO]&amp;Datos_Consumo[FECHA_FORMATO],0)),0)</f>
        <v>0</v>
      </c>
      <c r="AZ44" s="6">
        <f t="array" ref="AZ44">IFERROR(INDEX(Datos_Consumo[CANTIDAD],MATCH(TABLATRANSFERENCIA[[#This Row],[CODIGO]]&amp;TABLATRANSFERENCIA[[#Headers],[2016-7]],Datos_Consumo[CODIGO]&amp;Datos_Consumo[FECHA_FORMATO],0)),0)</f>
        <v>0</v>
      </c>
      <c r="BA44" s="6">
        <f t="array" ref="BA44">IFERROR(INDEX(Datos_Consumo[CANTIDAD],MATCH(TABLATRANSFERENCIA[[#This Row],[CODIGO]]&amp;TABLATRANSFERENCIA[[#Headers],[2016-8]],Datos_Consumo[CODIGO]&amp;Datos_Consumo[FECHA_FORMATO],0)),0)</f>
        <v>1</v>
      </c>
      <c r="BB44" s="6">
        <f t="array" ref="BB44">IFERROR(INDEX(Datos_Consumo[CANTIDAD],MATCH(TABLATRANSFERENCIA[[#This Row],[CODIGO]]&amp;TABLATRANSFERENCIA[[#Headers],[2016-9]],Datos_Consumo[CODIGO]&amp;Datos_Consumo[FECHA_FORMATO],0)),0)</f>
        <v>0</v>
      </c>
      <c r="BC44" s="6">
        <f t="array" ref="BC44">IFERROR(INDEX(Datos_Consumo[CANTIDAD],MATCH(TABLATRANSFERENCIA[[#This Row],[CODIGO]]&amp;TABLATRANSFERENCIA[[#Headers],[Columna6]],Datos_Consumo[CODIGO]&amp;Datos_Consumo[FECHA_FORMATO],0)),0)</f>
        <v>0</v>
      </c>
      <c r="BD44" s="50">
        <v>1</v>
      </c>
      <c r="BE44" s="55">
        <v>1</v>
      </c>
      <c r="BF44" s="50" t="s">
        <v>2470</v>
      </c>
      <c r="BG44" s="51"/>
      <c r="BH44"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4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4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4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4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44" s="51"/>
      <c r="BN44" s="46">
        <f>IFERROR(TABLATRANSFERENCIA[[#This Row],[REQUERIM]]/TABLATRANSFERENCIA[[#This Row],[PEDIDO PROMEDIO]],0)</f>
        <v>1</v>
      </c>
      <c r="BO44" s="51"/>
      <c r="BP44" s="63"/>
      <c r="BQ44" s="3">
        <f>IF(TABLATRANSFERENCIA[[#This Row],[RECIBIDO]]&lt;&gt;"",0,IF(TABLATRANSFERENCIA[[#This Row],[DESPACHO]]&lt;&gt;"",TABLATRANSFERENCIA[[#This Row],[DESPACHO]],TABLATRANSFERENCIA[[#This Row],[REQUERIM]]))</f>
        <v>1</v>
      </c>
      <c r="BR44" s="50"/>
      <c r="BS44" s="50"/>
      <c r="BT44" s="50" t="str">
        <f t="shared" si="0"/>
        <v>N</v>
      </c>
      <c r="BU44" s="51">
        <f t="array" ref="BU44">IF(SUM(--(TABLATRANSFERENCIA[[#This Row],[CODIGO GENERICO]]=TABLATRANSFERENCIA[CODIGO GENERICO])*TABLATRANSFERENCIA[REQUERIM])&lt;TABLATRANSFERENCIA[[#This Row],[PEDIDO MIN GRUPO]],1,0)</f>
        <v>0</v>
      </c>
      <c r="BV44"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W44" s="51">
        <v>2</v>
      </c>
      <c r="BX44" s="51">
        <v>1</v>
      </c>
    </row>
    <row r="45" spans="1:76" x14ac:dyDescent="0.25">
      <c r="A45" s="54" t="s">
        <v>2291</v>
      </c>
      <c r="B45" s="3" t="s">
        <v>2292</v>
      </c>
      <c r="C45" s="3" t="s">
        <v>1144</v>
      </c>
      <c r="D45" s="3" t="s">
        <v>1144</v>
      </c>
      <c r="E45" s="3">
        <v>0</v>
      </c>
      <c r="F45" s="3">
        <v>0</v>
      </c>
      <c r="G45" s="3">
        <v>0</v>
      </c>
      <c r="H45" s="3">
        <v>0</v>
      </c>
      <c r="I45" s="3" t="s">
        <v>2286</v>
      </c>
      <c r="J45" s="3">
        <v>0</v>
      </c>
      <c r="K45" s="3">
        <v>0</v>
      </c>
      <c r="L45" s="3" t="s">
        <v>1724</v>
      </c>
      <c r="M45" s="3">
        <v>0</v>
      </c>
      <c r="N45" s="3">
        <v>0</v>
      </c>
      <c r="O45" s="5" t="s">
        <v>1144</v>
      </c>
      <c r="P45" s="5">
        <v>356.43</v>
      </c>
      <c r="Q45" s="5">
        <v>2</v>
      </c>
      <c r="R45" s="46">
        <v>0</v>
      </c>
      <c r="S45" s="46">
        <v>-11.93</v>
      </c>
      <c r="T45" s="46">
        <v>0</v>
      </c>
      <c r="U45" s="46">
        <v>1</v>
      </c>
      <c r="V45" s="49" t="s">
        <v>1724</v>
      </c>
      <c r="W45" s="49" t="s">
        <v>1742</v>
      </c>
      <c r="X45" s="51">
        <v>2</v>
      </c>
      <c r="Y45" s="51">
        <v>2</v>
      </c>
      <c r="Z45" s="6">
        <v>2</v>
      </c>
      <c r="AA45" s="6">
        <v>1000000000</v>
      </c>
      <c r="AB45" s="6">
        <v>1</v>
      </c>
      <c r="AC45" s="4">
        <v>0.5</v>
      </c>
      <c r="AD45" s="6" t="s">
        <v>1146</v>
      </c>
      <c r="AE45" s="6">
        <v>0</v>
      </c>
      <c r="AF45" s="6">
        <v>0</v>
      </c>
      <c r="AG45" s="6">
        <v>0</v>
      </c>
      <c r="AH45" s="6">
        <v>0</v>
      </c>
      <c r="AI45" s="6">
        <v>0</v>
      </c>
      <c r="AJ45" s="6">
        <v>0</v>
      </c>
      <c r="AK45" s="6">
        <v>1</v>
      </c>
      <c r="AL45" s="4">
        <v>0.5</v>
      </c>
      <c r="AM45" s="6" t="s">
        <v>1146</v>
      </c>
      <c r="AN45" s="6">
        <v>0</v>
      </c>
      <c r="AO45" s="6">
        <v>0</v>
      </c>
      <c r="AP45" s="6">
        <v>0</v>
      </c>
      <c r="AQ45" s="6">
        <v>1</v>
      </c>
      <c r="AR45" s="6">
        <v>6.25</v>
      </c>
      <c r="AS45" s="6">
        <v>3.13</v>
      </c>
      <c r="AT45" s="6">
        <v>0</v>
      </c>
      <c r="AU45" s="6">
        <v>0</v>
      </c>
      <c r="AV45" s="62">
        <v>0</v>
      </c>
      <c r="AW45" s="62">
        <v>0</v>
      </c>
      <c r="AX45" s="6">
        <f t="array" ref="AX45">IFERROR(INDEX(Datos_Consumo[CANTIDAD],MATCH(TABLATRANSFERENCIA[[#This Row],[CODIGO]]&amp;TABLATRANSFERENCIA[[#Headers],[2016-5]],Datos_Consumo[CODIGO]&amp;Datos_Consumo[FECHA_FORMATO],0)),0)</f>
        <v>0</v>
      </c>
      <c r="AY45" s="6">
        <f t="array" ref="AY45">IFERROR(INDEX(Datos_Consumo[CANTIDAD],MATCH(TABLATRANSFERENCIA[[#This Row],[CODIGO]]&amp;TABLATRANSFERENCIA[[#Headers],[2016-6]],Datos_Consumo[CODIGO]&amp;Datos_Consumo[FECHA_FORMATO],0)),0)</f>
        <v>0</v>
      </c>
      <c r="AZ45" s="6">
        <f t="array" ref="AZ45">IFERROR(INDEX(Datos_Consumo[CANTIDAD],MATCH(TABLATRANSFERENCIA[[#This Row],[CODIGO]]&amp;TABLATRANSFERENCIA[[#Headers],[2016-7]],Datos_Consumo[CODIGO]&amp;Datos_Consumo[FECHA_FORMATO],0)),0)</f>
        <v>1</v>
      </c>
      <c r="BA45" s="6">
        <f t="array" ref="BA45">IFERROR(INDEX(Datos_Consumo[CANTIDAD],MATCH(TABLATRANSFERENCIA[[#This Row],[CODIGO]]&amp;TABLATRANSFERENCIA[[#Headers],[2016-8]],Datos_Consumo[CODIGO]&amp;Datos_Consumo[FECHA_FORMATO],0)),0)</f>
        <v>1</v>
      </c>
      <c r="BB45" s="6">
        <f t="array" ref="BB45">IFERROR(INDEX(Datos_Consumo[CANTIDAD],MATCH(TABLATRANSFERENCIA[[#This Row],[CODIGO]]&amp;TABLATRANSFERENCIA[[#Headers],[2016-9]],Datos_Consumo[CODIGO]&amp;Datos_Consumo[FECHA_FORMATO],0)),0)</f>
        <v>0</v>
      </c>
      <c r="BC45" s="6">
        <f t="array" ref="BC45">IFERROR(INDEX(Datos_Consumo[CANTIDAD],MATCH(TABLATRANSFERENCIA[[#This Row],[CODIGO]]&amp;TABLATRANSFERENCIA[[#Headers],[Columna6]],Datos_Consumo[CODIGO]&amp;Datos_Consumo[FECHA_FORMATO],0)),0)</f>
        <v>0</v>
      </c>
      <c r="BD45" s="50">
        <v>1</v>
      </c>
      <c r="BE45" s="55">
        <v>1</v>
      </c>
      <c r="BF45" s="50" t="s">
        <v>2470</v>
      </c>
      <c r="BG45" s="51"/>
      <c r="BH45"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4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4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4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4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45" s="51"/>
      <c r="BN45" s="46">
        <f>IFERROR(TABLATRANSFERENCIA[[#This Row],[REQUERIM]]/TABLATRANSFERENCIA[[#This Row],[PEDIDO PROMEDIO]],0)</f>
        <v>1</v>
      </c>
      <c r="BO45" s="51"/>
      <c r="BP45" s="63"/>
      <c r="BQ45" s="3">
        <f>IF(TABLATRANSFERENCIA[[#This Row],[RECIBIDO]]&lt;&gt;"",0,IF(TABLATRANSFERENCIA[[#This Row],[DESPACHO]]&lt;&gt;"",TABLATRANSFERENCIA[[#This Row],[DESPACHO]],TABLATRANSFERENCIA[[#This Row],[REQUERIM]]))</f>
        <v>1</v>
      </c>
      <c r="BR45" s="50"/>
      <c r="BS45" s="50"/>
      <c r="BT45" s="50" t="str">
        <f t="shared" si="0"/>
        <v>N</v>
      </c>
      <c r="BU45" s="51">
        <f t="array" ref="BU45">IF(SUM(--(TABLATRANSFERENCIA[[#This Row],[CODIGO GENERICO]]=TABLATRANSFERENCIA[CODIGO GENERICO])*TABLATRANSFERENCIA[REQUERIM])&lt;TABLATRANSFERENCIA[[#This Row],[PEDIDO MIN GRUPO]],1,0)</f>
        <v>0</v>
      </c>
      <c r="BV45"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W45" s="51">
        <v>2</v>
      </c>
      <c r="BX45" s="51">
        <v>1</v>
      </c>
    </row>
    <row r="46" spans="1:76" x14ac:dyDescent="0.25">
      <c r="A46" s="54" t="s">
        <v>1491</v>
      </c>
      <c r="B46" s="3" t="s">
        <v>2300</v>
      </c>
      <c r="C46" s="3" t="s">
        <v>1144</v>
      </c>
      <c r="D46" s="3" t="s">
        <v>1144</v>
      </c>
      <c r="E46" s="3">
        <v>0</v>
      </c>
      <c r="F46" s="3">
        <v>0</v>
      </c>
      <c r="G46" s="3">
        <v>0</v>
      </c>
      <c r="H46" s="3">
        <v>0</v>
      </c>
      <c r="I46" s="3" t="s">
        <v>2286</v>
      </c>
      <c r="J46" s="3">
        <v>0</v>
      </c>
      <c r="K46" s="3">
        <v>0</v>
      </c>
      <c r="L46" s="3" t="s">
        <v>1724</v>
      </c>
      <c r="M46" s="3">
        <v>0</v>
      </c>
      <c r="N46" s="3">
        <v>0</v>
      </c>
      <c r="O46" s="5" t="s">
        <v>1144</v>
      </c>
      <c r="P46" s="5">
        <v>586.12</v>
      </c>
      <c r="Q46" s="5">
        <v>2</v>
      </c>
      <c r="R46" s="46">
        <v>0</v>
      </c>
      <c r="S46" s="46">
        <v>-11.96</v>
      </c>
      <c r="T46" s="46">
        <v>0</v>
      </c>
      <c r="U46" s="46">
        <v>1</v>
      </c>
      <c r="V46" s="49" t="s">
        <v>1724</v>
      </c>
      <c r="W46" s="49" t="s">
        <v>1742</v>
      </c>
      <c r="X46" s="51">
        <v>2</v>
      </c>
      <c r="Y46" s="51">
        <v>2</v>
      </c>
      <c r="Z46" s="6">
        <v>2</v>
      </c>
      <c r="AA46" s="6">
        <v>1000000000</v>
      </c>
      <c r="AB46" s="6">
        <v>1</v>
      </c>
      <c r="AC46" s="4">
        <v>0.5</v>
      </c>
      <c r="AD46" s="6" t="s">
        <v>1146</v>
      </c>
      <c r="AE46" s="6">
        <v>0</v>
      </c>
      <c r="AF46" s="6">
        <v>0</v>
      </c>
      <c r="AG46" s="6">
        <v>0</v>
      </c>
      <c r="AH46" s="6">
        <v>0</v>
      </c>
      <c r="AI46" s="6">
        <v>0</v>
      </c>
      <c r="AJ46" s="6">
        <v>0</v>
      </c>
      <c r="AK46" s="6">
        <v>1</v>
      </c>
      <c r="AL46" s="4">
        <v>0.5</v>
      </c>
      <c r="AM46" s="6" t="s">
        <v>1146</v>
      </c>
      <c r="AN46" s="6">
        <v>0</v>
      </c>
      <c r="AO46" s="6">
        <v>0</v>
      </c>
      <c r="AP46" s="6">
        <v>0</v>
      </c>
      <c r="AQ46" s="6">
        <v>1</v>
      </c>
      <c r="AR46" s="6">
        <v>12.5</v>
      </c>
      <c r="AS46" s="6">
        <v>6.25</v>
      </c>
      <c r="AT46" s="6">
        <v>0</v>
      </c>
      <c r="AU46" s="6">
        <v>0</v>
      </c>
      <c r="AV46" s="62">
        <v>0</v>
      </c>
      <c r="AW46" s="62">
        <v>0</v>
      </c>
      <c r="AX46" s="6">
        <f t="array" ref="AX46">IFERROR(INDEX(Datos_Consumo[CANTIDAD],MATCH(TABLATRANSFERENCIA[[#This Row],[CODIGO]]&amp;TABLATRANSFERENCIA[[#Headers],[2016-5]],Datos_Consumo[CODIGO]&amp;Datos_Consumo[FECHA_FORMATO],0)),0)</f>
        <v>0</v>
      </c>
      <c r="AY46" s="6">
        <f t="array" ref="AY46">IFERROR(INDEX(Datos_Consumo[CANTIDAD],MATCH(TABLATRANSFERENCIA[[#This Row],[CODIGO]]&amp;TABLATRANSFERENCIA[[#Headers],[2016-6]],Datos_Consumo[CODIGO]&amp;Datos_Consumo[FECHA_FORMATO],0)),0)</f>
        <v>0</v>
      </c>
      <c r="AZ46" s="6">
        <f t="array" ref="AZ46">IFERROR(INDEX(Datos_Consumo[CANTIDAD],MATCH(TABLATRANSFERENCIA[[#This Row],[CODIGO]]&amp;TABLATRANSFERENCIA[[#Headers],[2016-7]],Datos_Consumo[CODIGO]&amp;Datos_Consumo[FECHA_FORMATO],0)),0)</f>
        <v>1</v>
      </c>
      <c r="BA46" s="6">
        <f t="array" ref="BA46">IFERROR(INDEX(Datos_Consumo[CANTIDAD],MATCH(TABLATRANSFERENCIA[[#This Row],[CODIGO]]&amp;TABLATRANSFERENCIA[[#Headers],[2016-8]],Datos_Consumo[CODIGO]&amp;Datos_Consumo[FECHA_FORMATO],0)),0)</f>
        <v>0</v>
      </c>
      <c r="BB46" s="6">
        <f t="array" ref="BB46">IFERROR(INDEX(Datos_Consumo[CANTIDAD],MATCH(TABLATRANSFERENCIA[[#This Row],[CODIGO]]&amp;TABLATRANSFERENCIA[[#Headers],[2016-9]],Datos_Consumo[CODIGO]&amp;Datos_Consumo[FECHA_FORMATO],0)),0)</f>
        <v>0</v>
      </c>
      <c r="BC46" s="6">
        <f t="array" ref="BC46">IFERROR(INDEX(Datos_Consumo[CANTIDAD],MATCH(TABLATRANSFERENCIA[[#This Row],[CODIGO]]&amp;TABLATRANSFERENCIA[[#Headers],[Columna6]],Datos_Consumo[CODIGO]&amp;Datos_Consumo[FECHA_FORMATO],0)),0)</f>
        <v>0</v>
      </c>
      <c r="BD46" s="50">
        <v>1</v>
      </c>
      <c r="BE46" s="55">
        <v>1</v>
      </c>
      <c r="BF46" s="50" t="s">
        <v>2470</v>
      </c>
      <c r="BG46" s="51"/>
      <c r="BH46"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4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4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4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4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46" s="51"/>
      <c r="BN46" s="46">
        <f>IFERROR(TABLATRANSFERENCIA[[#This Row],[REQUERIM]]/TABLATRANSFERENCIA[[#This Row],[PEDIDO PROMEDIO]],0)</f>
        <v>1</v>
      </c>
      <c r="BO46" s="51"/>
      <c r="BP46" s="63"/>
      <c r="BQ46" s="3">
        <f>IF(TABLATRANSFERENCIA[[#This Row],[RECIBIDO]]&lt;&gt;"",0,IF(TABLATRANSFERENCIA[[#This Row],[DESPACHO]]&lt;&gt;"",TABLATRANSFERENCIA[[#This Row],[DESPACHO]],TABLATRANSFERENCIA[[#This Row],[REQUERIM]]))</f>
        <v>1</v>
      </c>
      <c r="BR46" s="50"/>
      <c r="BS46" s="50"/>
      <c r="BT46" s="50" t="str">
        <f t="shared" si="0"/>
        <v>N</v>
      </c>
      <c r="BU46" s="51">
        <f t="array" ref="BU46">IF(SUM(--(TABLATRANSFERENCIA[[#This Row],[CODIGO GENERICO]]=TABLATRANSFERENCIA[CODIGO GENERICO])*TABLATRANSFERENCIA[REQUERIM])&lt;TABLATRANSFERENCIA[[#This Row],[PEDIDO MIN GRUPO]],1,0)</f>
        <v>0</v>
      </c>
      <c r="BV46"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W46" s="51">
        <v>2</v>
      </c>
      <c r="BX46" s="51">
        <v>1</v>
      </c>
    </row>
    <row r="47" spans="1:76" x14ac:dyDescent="0.25">
      <c r="A47" s="54" t="s">
        <v>1444</v>
      </c>
      <c r="B47" s="3" t="s">
        <v>2323</v>
      </c>
      <c r="C47" s="3" t="s">
        <v>1144</v>
      </c>
      <c r="D47" s="3" t="s">
        <v>1144</v>
      </c>
      <c r="E47" s="3">
        <v>0</v>
      </c>
      <c r="F47" s="3">
        <v>0</v>
      </c>
      <c r="G47" s="3">
        <v>0</v>
      </c>
      <c r="H47" s="3">
        <v>0</v>
      </c>
      <c r="I47" s="3" t="s">
        <v>2324</v>
      </c>
      <c r="J47" s="3">
        <v>0</v>
      </c>
      <c r="K47" s="3">
        <v>0</v>
      </c>
      <c r="L47" s="3" t="s">
        <v>1724</v>
      </c>
      <c r="M47" s="3">
        <v>0</v>
      </c>
      <c r="N47" s="3">
        <v>0</v>
      </c>
      <c r="O47" s="5" t="s">
        <v>1144</v>
      </c>
      <c r="P47" s="5">
        <v>467.45</v>
      </c>
      <c r="Q47" s="5">
        <v>2</v>
      </c>
      <c r="R47" s="46">
        <v>0</v>
      </c>
      <c r="S47" s="46">
        <v>-11.95</v>
      </c>
      <c r="T47" s="46">
        <v>0</v>
      </c>
      <c r="U47" s="46">
        <v>1</v>
      </c>
      <c r="V47" s="49" t="s">
        <v>1724</v>
      </c>
      <c r="W47" s="49" t="s">
        <v>1742</v>
      </c>
      <c r="X47" s="51">
        <v>2</v>
      </c>
      <c r="Y47" s="51">
        <v>2</v>
      </c>
      <c r="Z47" s="6">
        <v>3</v>
      </c>
      <c r="AA47" s="6">
        <v>1000000000</v>
      </c>
      <c r="AB47" s="6">
        <v>2</v>
      </c>
      <c r="AC47" s="4">
        <v>0.33</v>
      </c>
      <c r="AD47" s="6" t="s">
        <v>1145</v>
      </c>
      <c r="AE47" s="6">
        <v>0</v>
      </c>
      <c r="AF47" s="6">
        <v>0</v>
      </c>
      <c r="AG47" s="6">
        <v>0</v>
      </c>
      <c r="AH47" s="6">
        <v>0</v>
      </c>
      <c r="AI47" s="6">
        <v>0</v>
      </c>
      <c r="AJ47" s="6">
        <v>0</v>
      </c>
      <c r="AK47" s="6">
        <v>2</v>
      </c>
      <c r="AL47" s="4">
        <v>0.33</v>
      </c>
      <c r="AM47" s="6" t="s">
        <v>1145</v>
      </c>
      <c r="AN47" s="6">
        <v>0</v>
      </c>
      <c r="AO47" s="6">
        <v>0</v>
      </c>
      <c r="AP47" s="6">
        <v>0</v>
      </c>
      <c r="AQ47" s="6">
        <v>2</v>
      </c>
      <c r="AR47" s="6">
        <v>3.75</v>
      </c>
      <c r="AS47" s="6">
        <v>2.5</v>
      </c>
      <c r="AT47" s="6">
        <v>0</v>
      </c>
      <c r="AU47" s="6">
        <v>0</v>
      </c>
      <c r="AV47" s="62">
        <v>0</v>
      </c>
      <c r="AW47" s="62">
        <v>0</v>
      </c>
      <c r="AX47" s="6">
        <f t="array" ref="AX47">IFERROR(INDEX(Datos_Consumo[CANTIDAD],MATCH(TABLATRANSFERENCIA[[#This Row],[CODIGO]]&amp;TABLATRANSFERENCIA[[#Headers],[2016-5]],Datos_Consumo[CODIGO]&amp;Datos_Consumo[FECHA_FORMATO],0)),0)</f>
        <v>0</v>
      </c>
      <c r="AY47" s="6">
        <f t="array" ref="AY47">IFERROR(INDEX(Datos_Consumo[CANTIDAD],MATCH(TABLATRANSFERENCIA[[#This Row],[CODIGO]]&amp;TABLATRANSFERENCIA[[#Headers],[2016-6]],Datos_Consumo[CODIGO]&amp;Datos_Consumo[FECHA_FORMATO],0)),0)</f>
        <v>2</v>
      </c>
      <c r="AZ47" s="6">
        <f t="array" ref="AZ47">IFERROR(INDEX(Datos_Consumo[CANTIDAD],MATCH(TABLATRANSFERENCIA[[#This Row],[CODIGO]]&amp;TABLATRANSFERENCIA[[#Headers],[2016-7]],Datos_Consumo[CODIGO]&amp;Datos_Consumo[FECHA_FORMATO],0)),0)</f>
        <v>0</v>
      </c>
      <c r="BA47" s="6">
        <f t="array" ref="BA47">IFERROR(INDEX(Datos_Consumo[CANTIDAD],MATCH(TABLATRANSFERENCIA[[#This Row],[CODIGO]]&amp;TABLATRANSFERENCIA[[#Headers],[2016-8]],Datos_Consumo[CODIGO]&amp;Datos_Consumo[FECHA_FORMATO],0)),0)</f>
        <v>1</v>
      </c>
      <c r="BB47" s="6">
        <f t="array" ref="BB47">IFERROR(INDEX(Datos_Consumo[CANTIDAD],MATCH(TABLATRANSFERENCIA[[#This Row],[CODIGO]]&amp;TABLATRANSFERENCIA[[#Headers],[2016-9]],Datos_Consumo[CODIGO]&amp;Datos_Consumo[FECHA_FORMATO],0)),0)</f>
        <v>0</v>
      </c>
      <c r="BC47" s="6">
        <f t="array" ref="BC47">IFERROR(INDEX(Datos_Consumo[CANTIDAD],MATCH(TABLATRANSFERENCIA[[#This Row],[CODIGO]]&amp;TABLATRANSFERENCIA[[#Headers],[Columna6]],Datos_Consumo[CODIGO]&amp;Datos_Consumo[FECHA_FORMATO],0)),0)</f>
        <v>0</v>
      </c>
      <c r="BD47" s="50">
        <v>1</v>
      </c>
      <c r="BE47" s="55">
        <v>1</v>
      </c>
      <c r="BF47" s="50" t="s">
        <v>2470</v>
      </c>
      <c r="BG47" s="51"/>
      <c r="BH47"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4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4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4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4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47" s="51"/>
      <c r="BN47" s="46">
        <f>IFERROR(TABLATRANSFERENCIA[[#This Row],[REQUERIM]]/TABLATRANSFERENCIA[[#This Row],[PEDIDO PROMEDIO]],0)</f>
        <v>0.5</v>
      </c>
      <c r="BO47" s="51"/>
      <c r="BP47" s="63"/>
      <c r="BQ47" s="3">
        <f>IF(TABLATRANSFERENCIA[[#This Row],[RECIBIDO]]&lt;&gt;"",0,IF(TABLATRANSFERENCIA[[#This Row],[DESPACHO]]&lt;&gt;"",TABLATRANSFERENCIA[[#This Row],[DESPACHO]],TABLATRANSFERENCIA[[#This Row],[REQUERIM]]))</f>
        <v>1</v>
      </c>
      <c r="BR47" s="50"/>
      <c r="BS47" s="50"/>
      <c r="BT47" s="50" t="str">
        <f t="shared" si="0"/>
        <v>N</v>
      </c>
      <c r="BU47" s="51">
        <f t="array" ref="BU47">IF(SUM(--(TABLATRANSFERENCIA[[#This Row],[CODIGO GENERICO]]=TABLATRANSFERENCIA[CODIGO GENERICO])*TABLATRANSFERENCIA[REQUERIM])&lt;TABLATRANSFERENCIA[[#This Row],[PEDIDO MIN GRUPO]],1,0)</f>
        <v>0</v>
      </c>
      <c r="BV47"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47" s="51">
        <v>2</v>
      </c>
      <c r="BX47" s="51">
        <v>1</v>
      </c>
    </row>
    <row r="48" spans="1:76" x14ac:dyDescent="0.25">
      <c r="A48" s="54" t="s">
        <v>2345</v>
      </c>
      <c r="B48" s="3" t="s">
        <v>2346</v>
      </c>
      <c r="C48" s="3" t="s">
        <v>1144</v>
      </c>
      <c r="D48" s="3" t="s">
        <v>1144</v>
      </c>
      <c r="E48" s="3">
        <v>0</v>
      </c>
      <c r="F48" s="3">
        <v>0</v>
      </c>
      <c r="G48" s="3">
        <v>0</v>
      </c>
      <c r="H48" s="3">
        <v>0</v>
      </c>
      <c r="I48" s="3" t="s">
        <v>2145</v>
      </c>
      <c r="J48" s="3">
        <v>0</v>
      </c>
      <c r="K48" s="3">
        <v>0</v>
      </c>
      <c r="L48" s="3" t="s">
        <v>1724</v>
      </c>
      <c r="M48" s="3">
        <v>0</v>
      </c>
      <c r="N48" s="3">
        <v>0</v>
      </c>
      <c r="O48" s="5" t="s">
        <v>1144</v>
      </c>
      <c r="P48" s="5">
        <v>1147.3699999999999</v>
      </c>
      <c r="Q48" s="5">
        <v>2</v>
      </c>
      <c r="R48" s="46">
        <v>0</v>
      </c>
      <c r="S48" s="46">
        <v>-11.98</v>
      </c>
      <c r="T48" s="46">
        <v>0</v>
      </c>
      <c r="U48" s="46">
        <v>1</v>
      </c>
      <c r="V48" s="49" t="s">
        <v>1724</v>
      </c>
      <c r="W48" s="49" t="s">
        <v>1742</v>
      </c>
      <c r="X48" s="51">
        <v>2</v>
      </c>
      <c r="Y48" s="51">
        <v>2</v>
      </c>
      <c r="Z48" s="6">
        <v>2</v>
      </c>
      <c r="AA48" s="6">
        <v>1000000000</v>
      </c>
      <c r="AB48" s="6">
        <v>1</v>
      </c>
      <c r="AC48" s="4">
        <v>0.5</v>
      </c>
      <c r="AD48" s="6" t="s">
        <v>1146</v>
      </c>
      <c r="AE48" s="6">
        <v>0</v>
      </c>
      <c r="AF48" s="6">
        <v>0</v>
      </c>
      <c r="AG48" s="6">
        <v>0</v>
      </c>
      <c r="AH48" s="6">
        <v>0</v>
      </c>
      <c r="AI48" s="6">
        <v>0</v>
      </c>
      <c r="AJ48" s="6">
        <v>0</v>
      </c>
      <c r="AK48" s="6">
        <v>1</v>
      </c>
      <c r="AL48" s="4">
        <v>0.5</v>
      </c>
      <c r="AM48" s="6" t="s">
        <v>1146</v>
      </c>
      <c r="AN48" s="6">
        <v>0</v>
      </c>
      <c r="AO48" s="6">
        <v>0</v>
      </c>
      <c r="AP48" s="6">
        <v>0</v>
      </c>
      <c r="AQ48" s="6">
        <v>1</v>
      </c>
      <c r="AR48" s="6">
        <v>12.5</v>
      </c>
      <c r="AS48" s="6">
        <v>6.25</v>
      </c>
      <c r="AT48" s="6">
        <v>0</v>
      </c>
      <c r="AU48" s="6">
        <v>0</v>
      </c>
      <c r="AV48" s="62">
        <v>0</v>
      </c>
      <c r="AW48" s="62">
        <v>0</v>
      </c>
      <c r="AX48" s="6">
        <f t="array" ref="AX48">IFERROR(INDEX(Datos_Consumo[CANTIDAD],MATCH(TABLATRANSFERENCIA[[#This Row],[CODIGO]]&amp;TABLATRANSFERENCIA[[#Headers],[2016-5]],Datos_Consumo[CODIGO]&amp;Datos_Consumo[FECHA_FORMATO],0)),0)</f>
        <v>0</v>
      </c>
      <c r="AY48" s="6">
        <f t="array" ref="AY48">IFERROR(INDEX(Datos_Consumo[CANTIDAD],MATCH(TABLATRANSFERENCIA[[#This Row],[CODIGO]]&amp;TABLATRANSFERENCIA[[#Headers],[2016-6]],Datos_Consumo[CODIGO]&amp;Datos_Consumo[FECHA_FORMATO],0)),0)</f>
        <v>0</v>
      </c>
      <c r="AZ48" s="6">
        <f t="array" ref="AZ48">IFERROR(INDEX(Datos_Consumo[CANTIDAD],MATCH(TABLATRANSFERENCIA[[#This Row],[CODIGO]]&amp;TABLATRANSFERENCIA[[#Headers],[2016-7]],Datos_Consumo[CODIGO]&amp;Datos_Consumo[FECHA_FORMATO],0)),0)</f>
        <v>1</v>
      </c>
      <c r="BA48" s="6">
        <f t="array" ref="BA48">IFERROR(INDEX(Datos_Consumo[CANTIDAD],MATCH(TABLATRANSFERENCIA[[#This Row],[CODIGO]]&amp;TABLATRANSFERENCIA[[#Headers],[2016-8]],Datos_Consumo[CODIGO]&amp;Datos_Consumo[FECHA_FORMATO],0)),0)</f>
        <v>0</v>
      </c>
      <c r="BB48" s="6">
        <f t="array" ref="BB48">IFERROR(INDEX(Datos_Consumo[CANTIDAD],MATCH(TABLATRANSFERENCIA[[#This Row],[CODIGO]]&amp;TABLATRANSFERENCIA[[#Headers],[2016-9]],Datos_Consumo[CODIGO]&amp;Datos_Consumo[FECHA_FORMATO],0)),0)</f>
        <v>0</v>
      </c>
      <c r="BC48" s="6">
        <f t="array" ref="BC48">IFERROR(INDEX(Datos_Consumo[CANTIDAD],MATCH(TABLATRANSFERENCIA[[#This Row],[CODIGO]]&amp;TABLATRANSFERENCIA[[#Headers],[Columna6]],Datos_Consumo[CODIGO]&amp;Datos_Consumo[FECHA_FORMATO],0)),0)</f>
        <v>0</v>
      </c>
      <c r="BD48" s="50">
        <v>1</v>
      </c>
      <c r="BE48" s="55">
        <v>1</v>
      </c>
      <c r="BF48" s="50" t="s">
        <v>2470</v>
      </c>
      <c r="BG48" s="51"/>
      <c r="BH48"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4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4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4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4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48" s="51"/>
      <c r="BN48" s="46">
        <f>IFERROR(TABLATRANSFERENCIA[[#This Row],[REQUERIM]]/TABLATRANSFERENCIA[[#This Row],[PEDIDO PROMEDIO]],0)</f>
        <v>1</v>
      </c>
      <c r="BO48" s="51"/>
      <c r="BP48" s="63"/>
      <c r="BQ48" s="3">
        <f>IF(TABLATRANSFERENCIA[[#This Row],[RECIBIDO]]&lt;&gt;"",0,IF(TABLATRANSFERENCIA[[#This Row],[DESPACHO]]&lt;&gt;"",TABLATRANSFERENCIA[[#This Row],[DESPACHO]],TABLATRANSFERENCIA[[#This Row],[REQUERIM]]))</f>
        <v>1</v>
      </c>
      <c r="BR48" s="50"/>
      <c r="BS48" s="50"/>
      <c r="BT48" s="50" t="str">
        <f t="shared" si="0"/>
        <v>N</v>
      </c>
      <c r="BU48" s="51">
        <f t="array" ref="BU48">IF(SUM(--(TABLATRANSFERENCIA[[#This Row],[CODIGO GENERICO]]=TABLATRANSFERENCIA[CODIGO GENERICO])*TABLATRANSFERENCIA[REQUERIM])&lt;TABLATRANSFERENCIA[[#This Row],[PEDIDO MIN GRUPO]],1,0)</f>
        <v>0</v>
      </c>
      <c r="BV48"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W48" s="51">
        <v>2</v>
      </c>
      <c r="BX48" s="51">
        <v>1</v>
      </c>
    </row>
    <row r="49" spans="1:76" x14ac:dyDescent="0.25">
      <c r="A49" s="54" t="s">
        <v>1739</v>
      </c>
      <c r="B49" s="3" t="s">
        <v>2348</v>
      </c>
      <c r="C49" s="3" t="s">
        <v>1144</v>
      </c>
      <c r="D49" s="3" t="s">
        <v>1144</v>
      </c>
      <c r="E49" s="3">
        <v>0</v>
      </c>
      <c r="F49" s="3">
        <v>0</v>
      </c>
      <c r="G49" s="3">
        <v>0</v>
      </c>
      <c r="H49" s="3">
        <v>0</v>
      </c>
      <c r="I49" s="3" t="s">
        <v>2145</v>
      </c>
      <c r="J49" s="3">
        <v>0</v>
      </c>
      <c r="K49" s="3">
        <v>0</v>
      </c>
      <c r="L49" s="3" t="s">
        <v>1724</v>
      </c>
      <c r="M49" s="3">
        <v>0</v>
      </c>
      <c r="N49" s="3">
        <v>0</v>
      </c>
      <c r="O49" s="5" t="s">
        <v>1144</v>
      </c>
      <c r="P49" s="5">
        <v>1178.23</v>
      </c>
      <c r="Q49" s="5">
        <v>2</v>
      </c>
      <c r="R49" s="46">
        <v>0</v>
      </c>
      <c r="S49" s="46">
        <v>-11.98</v>
      </c>
      <c r="T49" s="46">
        <v>0</v>
      </c>
      <c r="U49" s="46">
        <v>1</v>
      </c>
      <c r="V49" s="49" t="s">
        <v>1724</v>
      </c>
      <c r="W49" s="49" t="s">
        <v>1742</v>
      </c>
      <c r="X49" s="51">
        <v>2</v>
      </c>
      <c r="Y49" s="51">
        <v>2</v>
      </c>
      <c r="Z49" s="6">
        <v>5</v>
      </c>
      <c r="AA49" s="6">
        <v>1000000000</v>
      </c>
      <c r="AB49" s="6">
        <v>2</v>
      </c>
      <c r="AC49" s="4">
        <v>0.6</v>
      </c>
      <c r="AD49" s="6" t="s">
        <v>1146</v>
      </c>
      <c r="AE49" s="6">
        <v>0</v>
      </c>
      <c r="AF49" s="6">
        <v>0</v>
      </c>
      <c r="AG49" s="6">
        <v>0</v>
      </c>
      <c r="AH49" s="6">
        <v>0</v>
      </c>
      <c r="AI49" s="6">
        <v>0</v>
      </c>
      <c r="AJ49" s="6">
        <v>0</v>
      </c>
      <c r="AK49" s="6">
        <v>2</v>
      </c>
      <c r="AL49" s="4">
        <v>0.6</v>
      </c>
      <c r="AM49" s="6" t="s">
        <v>1146</v>
      </c>
      <c r="AN49" s="6">
        <v>0</v>
      </c>
      <c r="AO49" s="6">
        <v>0</v>
      </c>
      <c r="AP49" s="6">
        <v>0</v>
      </c>
      <c r="AQ49" s="6">
        <v>3</v>
      </c>
      <c r="AR49" s="6">
        <v>0</v>
      </c>
      <c r="AS49" s="6">
        <v>0</v>
      </c>
      <c r="AT49" s="6">
        <v>0</v>
      </c>
      <c r="AU49" s="6">
        <v>0</v>
      </c>
      <c r="AV49" s="62">
        <v>0</v>
      </c>
      <c r="AW49" s="62">
        <v>0</v>
      </c>
      <c r="AX49" s="6">
        <f t="array" ref="AX49">IFERROR(INDEX(Datos_Consumo[CANTIDAD],MATCH(TABLATRANSFERENCIA[[#This Row],[CODIGO]]&amp;TABLATRANSFERENCIA[[#Headers],[2016-5]],Datos_Consumo[CODIGO]&amp;Datos_Consumo[FECHA_FORMATO],0)),0)</f>
        <v>0</v>
      </c>
      <c r="AY49" s="6">
        <f t="array" ref="AY49">IFERROR(INDEX(Datos_Consumo[CANTIDAD],MATCH(TABLATRANSFERENCIA[[#This Row],[CODIGO]]&amp;TABLATRANSFERENCIA[[#Headers],[2016-6]],Datos_Consumo[CODIGO]&amp;Datos_Consumo[FECHA_FORMATO],0)),0)</f>
        <v>0</v>
      </c>
      <c r="AZ49" s="6">
        <f t="array" ref="AZ49">IFERROR(INDEX(Datos_Consumo[CANTIDAD],MATCH(TABLATRANSFERENCIA[[#This Row],[CODIGO]]&amp;TABLATRANSFERENCIA[[#Headers],[2016-7]],Datos_Consumo[CODIGO]&amp;Datos_Consumo[FECHA_FORMATO],0)),0)</f>
        <v>0</v>
      </c>
      <c r="BA49" s="6">
        <f t="array" ref="BA49">IFERROR(INDEX(Datos_Consumo[CANTIDAD],MATCH(TABLATRANSFERENCIA[[#This Row],[CODIGO]]&amp;TABLATRANSFERENCIA[[#Headers],[2016-8]],Datos_Consumo[CODIGO]&amp;Datos_Consumo[FECHA_FORMATO],0)),0)</f>
        <v>0</v>
      </c>
      <c r="BB49" s="6">
        <f t="array" ref="BB49">IFERROR(INDEX(Datos_Consumo[CANTIDAD],MATCH(TABLATRANSFERENCIA[[#This Row],[CODIGO]]&amp;TABLATRANSFERENCIA[[#Headers],[2016-9]],Datos_Consumo[CODIGO]&amp;Datos_Consumo[FECHA_FORMATO],0)),0)</f>
        <v>0</v>
      </c>
      <c r="BC49" s="6">
        <f t="array" ref="BC49">IFERROR(INDEX(Datos_Consumo[CANTIDAD],MATCH(TABLATRANSFERENCIA[[#This Row],[CODIGO]]&amp;TABLATRANSFERENCIA[[#Headers],[Columna6]],Datos_Consumo[CODIGO]&amp;Datos_Consumo[FECHA_FORMATO],0)),0)</f>
        <v>0</v>
      </c>
      <c r="BD49" s="50">
        <v>3</v>
      </c>
      <c r="BE49" s="55">
        <v>3</v>
      </c>
      <c r="BF49" s="50" t="s">
        <v>2470</v>
      </c>
      <c r="BG49" s="51"/>
      <c r="BH49" s="51">
        <f>IF(RIGHT(TABLATRANSFERENCIA[[#Headers],[Emb1]],1)*1&lt;=TABLATRANSFERENCIA[[#This Row],[EMBARQUES]],IF(ISBLANK(TABLATRANSFERENCIA[[#This Row],[EMBARQUES]]),TABLATRANSFERENCIA[[#This Row],[REQUERIM]],ROUND(TABLATRANSFERENCIA[[#This Row],[REQUERIM]]/TABLATRANSFERENCIA[[#This Row],[EMBARQUES]],0)),TABLATRANSFERENCIA[[#This Row],[REQUERIM]])</f>
        <v>3</v>
      </c>
      <c r="BI4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4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4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4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49" s="51"/>
      <c r="BN49" s="46">
        <f>IFERROR(TABLATRANSFERENCIA[[#This Row],[REQUERIM]]/TABLATRANSFERENCIA[[#This Row],[PEDIDO PROMEDIO]],0)</f>
        <v>1</v>
      </c>
      <c r="BO49" s="51"/>
      <c r="BP49" s="63"/>
      <c r="BQ49" s="3">
        <f>IF(TABLATRANSFERENCIA[[#This Row],[RECIBIDO]]&lt;&gt;"",0,IF(TABLATRANSFERENCIA[[#This Row],[DESPACHO]]&lt;&gt;"",TABLATRANSFERENCIA[[#This Row],[DESPACHO]],TABLATRANSFERENCIA[[#This Row],[REQUERIM]]))</f>
        <v>3</v>
      </c>
      <c r="BR49" s="50"/>
      <c r="BS49" s="50"/>
      <c r="BT49" s="50" t="str">
        <f t="shared" si="0"/>
        <v>N</v>
      </c>
      <c r="BU49" s="51">
        <f t="array" ref="BU49">IF(SUM(--(TABLATRANSFERENCIA[[#This Row],[CODIGO GENERICO]]=TABLATRANSFERENCIA[CODIGO GENERICO])*TABLATRANSFERENCIA[REQUERIM])&lt;TABLATRANSFERENCIA[[#This Row],[PEDIDO MIN GRUPO]],1,0)</f>
        <v>0</v>
      </c>
      <c r="BV49"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49" s="51">
        <v>3</v>
      </c>
      <c r="BX49" s="51">
        <v>2</v>
      </c>
    </row>
    <row r="50" spans="1:76" x14ac:dyDescent="0.25">
      <c r="A50" s="54" t="s">
        <v>1740</v>
      </c>
      <c r="B50" s="3" t="s">
        <v>2382</v>
      </c>
      <c r="C50" s="3" t="s">
        <v>1144</v>
      </c>
      <c r="D50" s="3" t="s">
        <v>1144</v>
      </c>
      <c r="E50" s="3">
        <v>0</v>
      </c>
      <c r="F50" s="3">
        <v>0</v>
      </c>
      <c r="G50" s="3">
        <v>0</v>
      </c>
      <c r="H50" s="3">
        <v>0</v>
      </c>
      <c r="I50" s="3" t="s">
        <v>2381</v>
      </c>
      <c r="J50" s="3">
        <v>0</v>
      </c>
      <c r="K50" s="3">
        <v>0</v>
      </c>
      <c r="L50" s="3" t="s">
        <v>1724</v>
      </c>
      <c r="M50" s="3">
        <v>0</v>
      </c>
      <c r="N50" s="3">
        <v>0</v>
      </c>
      <c r="O50" s="5" t="s">
        <v>1144</v>
      </c>
      <c r="P50" s="5">
        <v>108.67</v>
      </c>
      <c r="Q50" s="5">
        <v>0</v>
      </c>
      <c r="R50" s="46">
        <v>0</v>
      </c>
      <c r="S50" s="46">
        <v>-12</v>
      </c>
      <c r="T50" s="46">
        <v>0</v>
      </c>
      <c r="U50" s="46">
        <v>1</v>
      </c>
      <c r="V50" s="49" t="s">
        <v>1724</v>
      </c>
      <c r="W50" s="49" t="s">
        <v>1742</v>
      </c>
      <c r="X50" s="51">
        <v>2</v>
      </c>
      <c r="Y50" s="51">
        <v>2</v>
      </c>
      <c r="Z50" s="6">
        <v>10</v>
      </c>
      <c r="AA50" s="6">
        <v>1000000000</v>
      </c>
      <c r="AB50" s="6">
        <v>0</v>
      </c>
      <c r="AC50" s="4">
        <v>1</v>
      </c>
      <c r="AD50" s="6" t="s">
        <v>838</v>
      </c>
      <c r="AE50" s="6">
        <v>0</v>
      </c>
      <c r="AF50" s="6">
        <v>0</v>
      </c>
      <c r="AG50" s="6">
        <v>0</v>
      </c>
      <c r="AH50" s="6">
        <v>0</v>
      </c>
      <c r="AI50" s="6">
        <v>0</v>
      </c>
      <c r="AJ50" s="6">
        <v>0</v>
      </c>
      <c r="AK50" s="6">
        <v>0</v>
      </c>
      <c r="AL50" s="4">
        <v>1</v>
      </c>
      <c r="AM50" s="6" t="s">
        <v>838</v>
      </c>
      <c r="AN50" s="6">
        <v>0</v>
      </c>
      <c r="AO50" s="6">
        <v>0</v>
      </c>
      <c r="AP50" s="6">
        <v>6</v>
      </c>
      <c r="AQ50" s="6">
        <v>5</v>
      </c>
      <c r="AR50" s="6">
        <v>10.87</v>
      </c>
      <c r="AS50" s="6">
        <v>0</v>
      </c>
      <c r="AT50" s="6">
        <v>0</v>
      </c>
      <c r="AU50" s="6">
        <v>18</v>
      </c>
      <c r="AV50" s="62">
        <v>0</v>
      </c>
      <c r="AW50" s="62">
        <v>0</v>
      </c>
      <c r="AX50" s="6">
        <f t="array" ref="AX50">IFERROR(INDEX(Datos_Consumo[CANTIDAD],MATCH(TABLATRANSFERENCIA[[#This Row],[CODIGO]]&amp;TABLATRANSFERENCIA[[#Headers],[2016-5]],Datos_Consumo[CODIGO]&amp;Datos_Consumo[FECHA_FORMATO],0)),0)</f>
        <v>0</v>
      </c>
      <c r="AY50" s="6">
        <f t="array" ref="AY50">IFERROR(INDEX(Datos_Consumo[CANTIDAD],MATCH(TABLATRANSFERENCIA[[#This Row],[CODIGO]]&amp;TABLATRANSFERENCIA[[#Headers],[2016-6]],Datos_Consumo[CODIGO]&amp;Datos_Consumo[FECHA_FORMATO],0)),0)</f>
        <v>0</v>
      </c>
      <c r="AZ50" s="6">
        <f t="array" ref="AZ50">IFERROR(INDEX(Datos_Consumo[CANTIDAD],MATCH(TABLATRANSFERENCIA[[#This Row],[CODIGO]]&amp;TABLATRANSFERENCIA[[#Headers],[2016-7]],Datos_Consumo[CODIGO]&amp;Datos_Consumo[FECHA_FORMATO],0)),0)</f>
        <v>0</v>
      </c>
      <c r="BA50" s="6">
        <f t="array" ref="BA50">IFERROR(INDEX(Datos_Consumo[CANTIDAD],MATCH(TABLATRANSFERENCIA[[#This Row],[CODIGO]]&amp;TABLATRANSFERENCIA[[#Headers],[2016-8]],Datos_Consumo[CODIGO]&amp;Datos_Consumo[FECHA_FORMATO],0)),0)</f>
        <v>0</v>
      </c>
      <c r="BB50" s="6">
        <f t="array" ref="BB50">IFERROR(INDEX(Datos_Consumo[CANTIDAD],MATCH(TABLATRANSFERENCIA[[#This Row],[CODIGO]]&amp;TABLATRANSFERENCIA[[#Headers],[2016-9]],Datos_Consumo[CODIGO]&amp;Datos_Consumo[FECHA_FORMATO],0)),0)</f>
        <v>0</v>
      </c>
      <c r="BC50" s="6">
        <f t="array" ref="BC50">IFERROR(INDEX(Datos_Consumo[CANTIDAD],MATCH(TABLATRANSFERENCIA[[#This Row],[CODIGO]]&amp;TABLATRANSFERENCIA[[#Headers],[Columna6]],Datos_Consumo[CODIGO]&amp;Datos_Consumo[FECHA_FORMATO],0)),0)</f>
        <v>0</v>
      </c>
      <c r="BD50" s="50">
        <v>12</v>
      </c>
      <c r="BE50" s="55">
        <v>12</v>
      </c>
      <c r="BF50" s="50" t="s">
        <v>2470</v>
      </c>
      <c r="BG50" s="51"/>
      <c r="BH50" s="51">
        <f>IF(RIGHT(TABLATRANSFERENCIA[[#Headers],[Emb1]],1)*1&lt;=TABLATRANSFERENCIA[[#This Row],[EMBARQUES]],IF(ISBLANK(TABLATRANSFERENCIA[[#This Row],[EMBARQUES]]),TABLATRANSFERENCIA[[#This Row],[REQUERIM]],ROUND(TABLATRANSFERENCIA[[#This Row],[REQUERIM]]/TABLATRANSFERENCIA[[#This Row],[EMBARQUES]],0)),TABLATRANSFERENCIA[[#This Row],[REQUERIM]])</f>
        <v>12</v>
      </c>
      <c r="BI5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5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5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5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50" s="51"/>
      <c r="BN50" s="46">
        <f>IFERROR(TABLATRANSFERENCIA[[#This Row],[REQUERIM]]/TABLATRANSFERENCIA[[#This Row],[PEDIDO PROMEDIO]],0)</f>
        <v>2.4</v>
      </c>
      <c r="BO50" s="51"/>
      <c r="BP50" s="63"/>
      <c r="BQ50" s="3">
        <f>IF(TABLATRANSFERENCIA[[#This Row],[RECIBIDO]]&lt;&gt;"",0,IF(TABLATRANSFERENCIA[[#This Row],[DESPACHO]]&lt;&gt;"",TABLATRANSFERENCIA[[#This Row],[DESPACHO]],TABLATRANSFERENCIA[[#This Row],[REQUERIM]]))</f>
        <v>12</v>
      </c>
      <c r="BR50" s="50"/>
      <c r="BS50" s="50"/>
      <c r="BT50" s="50" t="str">
        <f t="shared" si="0"/>
        <v>N</v>
      </c>
      <c r="BU50" s="51">
        <f t="array" ref="BU50">IF(SUM(--(TABLATRANSFERENCIA[[#This Row],[CODIGO GENERICO]]=TABLATRANSFERENCIA[CODIGO GENERICO])*TABLATRANSFERENCIA[REQUERIM])&lt;TABLATRANSFERENCIA[[#This Row],[PEDIDO MIN GRUPO]],1,0)</f>
        <v>0</v>
      </c>
      <c r="BV50"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W50" s="51">
        <v>7</v>
      </c>
      <c r="BX50" s="51">
        <v>3</v>
      </c>
    </row>
  </sheetData>
  <sheetProtection algorithmName="SHA-512" hashValue="XCbTSx0gmrkYRuNNTkA5HHQx1LzFkQHfgtKy/PtYJQN/RJYXyYhv02SjG1VZMmVmMqDEWMeCtmDeZlrFD3vOpA==" saltValue="uNJtrzue3QAhA2PCJR5Csg==" spinCount="100000" sheet="1" objects="1" scenarios="1" formatCells="0" sort="0" autoFilter="0"/>
  <conditionalFormatting sqref="BO9:BP50">
    <cfRule type="expression" dxfId="206" priority="34">
      <formula>ISBLANK(BO9)</formula>
    </cfRule>
  </conditionalFormatting>
  <conditionalFormatting sqref="B5">
    <cfRule type="expression" dxfId="205" priority="26">
      <formula>ISBLANK(REFERENCIA)</formula>
    </cfRule>
  </conditionalFormatting>
  <conditionalFormatting sqref="D3">
    <cfRule type="expression" dxfId="204" priority="24">
      <formula>AND(ISNUMBER($D$3),$D$3&lt;$D$2)</formula>
    </cfRule>
    <cfRule type="expression" dxfId="203" priority="33">
      <formula>ISBLANK(FECHACIERRE)</formula>
    </cfRule>
  </conditionalFormatting>
  <conditionalFormatting sqref="B6 D3">
    <cfRule type="expression" dxfId="202" priority="25">
      <formula>ISBLANK(FECHAARRIBO)</formula>
    </cfRule>
  </conditionalFormatting>
  <conditionalFormatting sqref="B7">
    <cfRule type="expression" dxfId="201" priority="23">
      <formula>NOT((B7=""))</formula>
    </cfRule>
  </conditionalFormatting>
  <conditionalFormatting sqref="AK9:AK50 AB9:AB50">
    <cfRule type="expression" dxfId="200" priority="15">
      <formula>AD9="G"</formula>
    </cfRule>
    <cfRule type="expression" dxfId="199" priority="16">
      <formula>AD9="L"</formula>
    </cfRule>
    <cfRule type="expression" dxfId="198" priority="17">
      <formula>AD9="V"</formula>
    </cfRule>
    <cfRule type="expression" dxfId="197" priority="18">
      <formula>AD9="A"</formula>
    </cfRule>
    <cfRule type="expression" dxfId="196" priority="19">
      <formula>AD9="N"</formula>
    </cfRule>
    <cfRule type="expression" dxfId="195" priority="20">
      <formula>AD9="R"</formula>
    </cfRule>
  </conditionalFormatting>
  <conditionalFormatting sqref="BS9:BS50">
    <cfRule type="expression" dxfId="194" priority="17384">
      <formula>AND(ISNUMBER($BP9),$BO9&lt;&gt;$BP9)</formula>
    </cfRule>
  </conditionalFormatting>
  <conditionalFormatting sqref="AO9:AO50">
    <cfRule type="expression" dxfId="193" priority="8">
      <formula>$BU9=1</formula>
    </cfRule>
  </conditionalFormatting>
  <conditionalFormatting sqref="BD9:BD50">
    <cfRule type="expression" dxfId="192" priority="2">
      <formula>$BV9="N"</formula>
    </cfRule>
    <cfRule type="expression" dxfId="191" priority="3">
      <formula>$BV9="R"</formula>
    </cfRule>
    <cfRule type="expression" dxfId="190" priority="4">
      <formula>$BV9="A"</formula>
    </cfRule>
    <cfRule type="expression" dxfId="189" priority="5">
      <formula>$BV9="L"</formula>
    </cfRule>
    <cfRule type="expression" dxfId="188" priority="6">
      <formula>$BV9="V"</formula>
    </cfRule>
    <cfRule type="expression" dxfId="187" priority="7">
      <formula>$BV9="G"</formula>
    </cfRule>
  </conditionalFormatting>
  <conditionalFormatting sqref="BR9:BR50">
    <cfRule type="expression" dxfId="186" priority="35604">
      <formula>AND(ISNUMBER($BO9),$BD9&lt;&gt;$BO9)</formula>
    </cfRule>
  </conditionalFormatting>
  <conditionalFormatting sqref="AV9:AV50">
    <cfRule type="expression" dxfId="185" priority="1">
      <formula>TODAY()&lt;=(AV9+Y9*7)</formula>
    </cfRule>
  </conditionalFormatting>
  <conditionalFormatting sqref="R1:S1">
    <cfRule type="expression" dxfId="184" priority="62626">
      <formula>COUNTA($BP$9:$BP$50)=0</formula>
    </cfRule>
  </conditionalFormatting>
  <dataValidations count="6">
    <dataValidation type="date" operator="greaterThan" allowBlank="1" showInputMessage="1" showErrorMessage="1" sqref="B6 D3">
      <formula1>1</formula1>
    </dataValidation>
    <dataValidation type="custom" allowBlank="1" showInputMessage="1" showErrorMessage="1" sqref="B7 B2:B4 D2 D5 D6:E6">
      <formula1>"="</formula1>
    </dataValidation>
    <dataValidation type="list" allowBlank="1" showInputMessage="1" showErrorMessage="1" sqref="BR9:BS50">
      <formula1>RangoCausas</formula1>
    </dataValidation>
    <dataValidation type="whole" allowBlank="1" showErrorMessage="1" promptTitle="Número de Embarques" sqref="BH9:BL50">
      <formula1>0</formula1>
      <formula2>1000000</formula2>
    </dataValidation>
    <dataValidation type="whole" allowBlank="1" showErrorMessage="1" promptTitle="Número de Embarques" sqref="BG9:BG50">
      <formula1>1</formula1>
      <formula2>5</formula2>
    </dataValidation>
    <dataValidation allowBlank="1" showErrorMessage="1" promptTitle="Número de Embarques" sqref="BM9:BM50"/>
  </dataValidation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1082" r:id="rId4" name="cmdCambiarPropiedad">
          <controlPr defaultSize="0" autoLine="0" r:id="rId5">
            <anchor>
              <from>
                <xdr:col>1</xdr:col>
                <xdr:colOff>47625</xdr:colOff>
                <xdr:row>0</xdr:row>
                <xdr:rowOff>333375</xdr:rowOff>
              </from>
              <to>
                <xdr:col>1</xdr:col>
                <xdr:colOff>704850</xdr:colOff>
                <xdr:row>0</xdr:row>
                <xdr:rowOff>600075</xdr:rowOff>
              </to>
            </anchor>
          </controlPr>
        </control>
      </mc:Choice>
      <mc:Fallback>
        <control shapeId="1082" r:id="rId4" name="cmdCambiarPropiedad"/>
      </mc:Fallback>
    </mc:AlternateContent>
    <mc:AlternateContent xmlns:mc="http://schemas.openxmlformats.org/markup-compatibility/2006">
      <mc:Choice Requires="x14">
        <control shapeId="1074" r:id="rId6" name="cmdRefrescar">
          <controlPr defaultSize="0" print="0" autoLine="0" r:id="rId7">
            <anchor>
              <from>
                <xdr:col>0</xdr:col>
                <xdr:colOff>828675</xdr:colOff>
                <xdr:row>0</xdr:row>
                <xdr:rowOff>28575</xdr:rowOff>
              </from>
              <to>
                <xdr:col>0</xdr:col>
                <xdr:colOff>1085850</xdr:colOff>
                <xdr:row>0</xdr:row>
                <xdr:rowOff>295275</xdr:rowOff>
              </to>
            </anchor>
          </controlPr>
        </control>
      </mc:Choice>
      <mc:Fallback>
        <control shapeId="1074" r:id="rId6" name="cmdRefrescar"/>
      </mc:Fallback>
    </mc:AlternateContent>
    <mc:AlternateContent xmlns:mc="http://schemas.openxmlformats.org/markup-compatibility/2006">
      <mc:Choice Requires="x14">
        <control shapeId="1073" r:id="rId8" name="cmdVistas">
          <controlPr defaultSize="0" autoLine="0" r:id="rId9">
            <anchor>
              <from>
                <xdr:col>0</xdr:col>
                <xdr:colOff>533400</xdr:colOff>
                <xdr:row>0</xdr:row>
                <xdr:rowOff>28575</xdr:rowOff>
              </from>
              <to>
                <xdr:col>0</xdr:col>
                <xdr:colOff>828675</xdr:colOff>
                <xdr:row>0</xdr:row>
                <xdr:rowOff>295275</xdr:rowOff>
              </to>
            </anchor>
          </controlPr>
        </control>
      </mc:Choice>
      <mc:Fallback>
        <control shapeId="1073" r:id="rId8" name="cmdVistas"/>
      </mc:Fallback>
    </mc:AlternateContent>
    <mc:AlternateContent xmlns:mc="http://schemas.openxmlformats.org/markup-compatibility/2006">
      <mc:Choice Requires="x14">
        <control shapeId="1069" r:id="rId10" name="cmdQuitaFiltros">
          <controlPr defaultSize="0" autoLine="0" r:id="rId11">
            <anchor>
              <from>
                <xdr:col>1</xdr:col>
                <xdr:colOff>2276475</xdr:colOff>
                <xdr:row>0</xdr:row>
                <xdr:rowOff>28575</xdr:rowOff>
              </from>
              <to>
                <xdr:col>1</xdr:col>
                <xdr:colOff>2505075</xdr:colOff>
                <xdr:row>0</xdr:row>
                <xdr:rowOff>276225</xdr:rowOff>
              </to>
            </anchor>
          </controlPr>
        </control>
      </mc:Choice>
      <mc:Fallback>
        <control shapeId="1069" r:id="rId10" name="cmdQuitaFiltros"/>
      </mc:Fallback>
    </mc:AlternateContent>
    <mc:AlternateContent xmlns:mc="http://schemas.openxmlformats.org/markup-compatibility/2006">
      <mc:Choice Requires="x14">
        <control shapeId="1068" r:id="rId12" name="txtBusqueda">
          <controlPr defaultSize="0" autoLine="0" r:id="rId13">
            <anchor>
              <from>
                <xdr:col>1</xdr:col>
                <xdr:colOff>933450</xdr:colOff>
                <xdr:row>0</xdr:row>
                <xdr:rowOff>28575</xdr:rowOff>
              </from>
              <to>
                <xdr:col>1</xdr:col>
                <xdr:colOff>2276475</xdr:colOff>
                <xdr:row>0</xdr:row>
                <xdr:rowOff>314325</xdr:rowOff>
              </to>
            </anchor>
          </controlPr>
        </control>
      </mc:Choice>
      <mc:Fallback>
        <control shapeId="1068" r:id="rId12" name="txtBusqueda"/>
      </mc:Fallback>
    </mc:AlternateContent>
    <mc:AlternateContent xmlns:mc="http://schemas.openxmlformats.org/markup-compatibility/2006">
      <mc:Choice Requires="x14">
        <control shapeId="1031" r:id="rId14" name="cmdBuscaItem">
          <controlPr defaultSize="0" autoLine="0" r:id="rId15">
            <anchor>
              <from>
                <xdr:col>0</xdr:col>
                <xdr:colOff>0</xdr:colOff>
                <xdr:row>0</xdr:row>
                <xdr:rowOff>28575</xdr:rowOff>
              </from>
              <to>
                <xdr:col>0</xdr:col>
                <xdr:colOff>276225</xdr:colOff>
                <xdr:row>0</xdr:row>
                <xdr:rowOff>295275</xdr:rowOff>
              </to>
            </anchor>
          </controlPr>
        </control>
      </mc:Choice>
      <mc:Fallback>
        <control shapeId="1031" r:id="rId14" name="cmdBuscaItem"/>
      </mc:Fallback>
    </mc:AlternateContent>
    <mc:AlternateContent xmlns:mc="http://schemas.openxmlformats.org/markup-compatibility/2006">
      <mc:Choice Requires="x14">
        <control shapeId="1029" r:id="rId16" name="cmdLlenarTransfer">
          <controlPr defaultSize="0" autoLine="0" r:id="rId17">
            <anchor>
              <from>
                <xdr:col>25</xdr:col>
                <xdr:colOff>276225</xdr:colOff>
                <xdr:row>0</xdr:row>
                <xdr:rowOff>276225</xdr:rowOff>
              </from>
              <to>
                <xdr:col>27</xdr:col>
                <xdr:colOff>85725</xdr:colOff>
                <xdr:row>0</xdr:row>
                <xdr:rowOff>542925</xdr:rowOff>
              </to>
            </anchor>
          </controlPr>
        </control>
      </mc:Choice>
      <mc:Fallback>
        <control shapeId="1029" r:id="rId16" name="cmdLlenarTransfer"/>
      </mc:Fallback>
    </mc:AlternateContent>
    <mc:AlternateContent xmlns:mc="http://schemas.openxmlformats.org/markup-compatibility/2006">
      <mc:Choice Requires="x14">
        <control shapeId="1026" r:id="rId18" name="cmdCancelar">
          <controlPr defaultSize="0" autoLine="0" r:id="rId19">
            <anchor>
              <from>
                <xdr:col>0</xdr:col>
                <xdr:colOff>685800</xdr:colOff>
                <xdr:row>0</xdr:row>
                <xdr:rowOff>333375</xdr:rowOff>
              </from>
              <to>
                <xdr:col>1</xdr:col>
                <xdr:colOff>38100</xdr:colOff>
                <xdr:row>0</xdr:row>
                <xdr:rowOff>600075</xdr:rowOff>
              </to>
            </anchor>
          </controlPr>
        </control>
      </mc:Choice>
      <mc:Fallback>
        <control shapeId="1026" r:id="rId18" name="cmdCancelar"/>
      </mc:Fallback>
    </mc:AlternateContent>
    <mc:AlternateContent xmlns:mc="http://schemas.openxmlformats.org/markup-compatibility/2006">
      <mc:Choice Requires="x14">
        <control shapeId="1025" r:id="rId20" name="cmdConfirmar">
          <controlPr defaultSize="0" autoLine="0" r:id="rId21">
            <anchor>
              <from>
                <xdr:col>0</xdr:col>
                <xdr:colOff>19050</xdr:colOff>
                <xdr:row>0</xdr:row>
                <xdr:rowOff>333375</xdr:rowOff>
              </from>
              <to>
                <xdr:col>0</xdr:col>
                <xdr:colOff>676275</xdr:colOff>
                <xdr:row>0</xdr:row>
                <xdr:rowOff>600075</xdr:rowOff>
              </to>
            </anchor>
          </controlPr>
        </control>
      </mc:Choice>
      <mc:Fallback>
        <control shapeId="1025" r:id="rId20" name="cmdConfirmar"/>
      </mc:Fallback>
    </mc:AlternateContent>
    <mc:AlternateContent xmlns:mc="http://schemas.openxmlformats.org/markup-compatibility/2006">
      <mc:Choice Requires="x14">
        <control shapeId="1028" r:id="rId22" name="cmdDarDeBaja">
          <controlPr defaultSize="0" autoLine="0" r:id="rId23">
            <anchor>
              <from>
                <xdr:col>0</xdr:col>
                <xdr:colOff>1123950</xdr:colOff>
                <xdr:row>0</xdr:row>
                <xdr:rowOff>28575</xdr:rowOff>
              </from>
              <to>
                <xdr:col>1</xdr:col>
                <xdr:colOff>219075</xdr:colOff>
                <xdr:row>0</xdr:row>
                <xdr:rowOff>295275</xdr:rowOff>
              </to>
            </anchor>
          </controlPr>
        </control>
      </mc:Choice>
      <mc:Fallback>
        <control shapeId="1028" r:id="rId22" name="cmdDarDeBaja"/>
      </mc:Fallback>
    </mc:AlternateContent>
    <mc:AlternateContent xmlns:mc="http://schemas.openxmlformats.org/markup-compatibility/2006">
      <mc:Choice Requires="x14">
        <control shapeId="1030" r:id="rId24" name="cmdLlenarTransferEspecial">
          <controlPr defaultSize="0" autoLine="0" r:id="rId25">
            <anchor>
              <from>
                <xdr:col>11</xdr:col>
                <xdr:colOff>1038225</xdr:colOff>
                <xdr:row>0</xdr:row>
                <xdr:rowOff>276225</xdr:rowOff>
              </from>
              <to>
                <xdr:col>25</xdr:col>
                <xdr:colOff>704850</xdr:colOff>
                <xdr:row>0</xdr:row>
                <xdr:rowOff>542925</xdr:rowOff>
              </to>
            </anchor>
          </controlPr>
        </control>
      </mc:Choice>
      <mc:Fallback>
        <control shapeId="1030" r:id="rId24" name="cmdLlenarTransferEspecial"/>
      </mc:Fallback>
    </mc:AlternateContent>
    <mc:AlternateContent xmlns:mc="http://schemas.openxmlformats.org/markup-compatibility/2006">
      <mc:Choice Requires="x14">
        <control shapeId="1037" r:id="rId26" name="cmdFechaArribo">
          <controlPr defaultSize="0" autoLine="0" r:id="rId27">
            <anchor moveWithCells="1">
              <from>
                <xdr:col>1</xdr:col>
                <xdr:colOff>2905125</xdr:colOff>
                <xdr:row>5</xdr:row>
                <xdr:rowOff>0</xdr:rowOff>
              </from>
              <to>
                <xdr:col>1</xdr:col>
                <xdr:colOff>3067050</xdr:colOff>
                <xdr:row>5</xdr:row>
                <xdr:rowOff>209550</xdr:rowOff>
              </to>
            </anchor>
          </controlPr>
        </control>
      </mc:Choice>
      <mc:Fallback>
        <control shapeId="1037" r:id="rId26" name="cmdFechaArribo"/>
      </mc:Fallback>
    </mc:AlternateContent>
    <mc:AlternateContent xmlns:mc="http://schemas.openxmlformats.org/markup-compatibility/2006">
      <mc:Choice Requires="x14">
        <control shapeId="1038" r:id="rId28" name="cmdFechaCierre">
          <controlPr defaultSize="0" autoLine="0" r:id="rId29">
            <anchor moveWithCells="1">
              <from>
                <xdr:col>3</xdr:col>
                <xdr:colOff>971550</xdr:colOff>
                <xdr:row>0</xdr:row>
                <xdr:rowOff>638175</xdr:rowOff>
              </from>
              <to>
                <xdr:col>3</xdr:col>
                <xdr:colOff>1152525</xdr:colOff>
                <xdr:row>2</xdr:row>
                <xdr:rowOff>0</xdr:rowOff>
              </to>
            </anchor>
          </controlPr>
        </control>
      </mc:Choice>
      <mc:Fallback>
        <control shapeId="1038" r:id="rId28" name="cmdFechaCierre"/>
      </mc:Fallback>
    </mc:AlternateContent>
    <mc:AlternateContent xmlns:mc="http://schemas.openxmlformats.org/markup-compatibility/2006">
      <mc:Choice Requires="x14">
        <control shapeId="1039" r:id="rId30" name="cmdMRP">
          <controlPr defaultSize="0" autoLine="0" r:id="rId31">
            <anchor>
              <from>
                <xdr:col>1</xdr:col>
                <xdr:colOff>581025</xdr:colOff>
                <xdr:row>0</xdr:row>
                <xdr:rowOff>28575</xdr:rowOff>
              </from>
              <to>
                <xdr:col>1</xdr:col>
                <xdr:colOff>923925</xdr:colOff>
                <xdr:row>0</xdr:row>
                <xdr:rowOff>295275</xdr:rowOff>
              </to>
            </anchor>
          </controlPr>
        </control>
      </mc:Choice>
      <mc:Fallback>
        <control shapeId="1039" r:id="rId30" name="cmdMRP"/>
      </mc:Fallback>
    </mc:AlternateContent>
    <mc:AlternateContent xmlns:mc="http://schemas.openxmlformats.org/markup-compatibility/2006">
      <mc:Choice Requires="x14">
        <control shapeId="1067" r:id="rId32" name="cmdImprimir">
          <controlPr defaultSize="0" autoLine="0" r:id="rId33">
            <anchor>
              <from>
                <xdr:col>1</xdr:col>
                <xdr:colOff>209550</xdr:colOff>
                <xdr:row>0</xdr:row>
                <xdr:rowOff>28575</xdr:rowOff>
              </from>
              <to>
                <xdr:col>1</xdr:col>
                <xdr:colOff>581025</xdr:colOff>
                <xdr:row>0</xdr:row>
                <xdr:rowOff>295275</xdr:rowOff>
              </to>
            </anchor>
          </controlPr>
        </control>
      </mc:Choice>
      <mc:Fallback>
        <control shapeId="1067" r:id="rId32" name="cmdImprimir"/>
      </mc:Fallback>
    </mc:AlternateContent>
    <mc:AlternateContent xmlns:mc="http://schemas.openxmlformats.org/markup-compatibility/2006">
      <mc:Choice Requires="x14">
        <control shapeId="1070" r:id="rId34" name="cmdBorraRegistro">
          <controlPr defaultSize="0" autoLine="0" r:id="rId35">
            <anchor>
              <from>
                <xdr:col>2</xdr:col>
                <xdr:colOff>76200</xdr:colOff>
                <xdr:row>0</xdr:row>
                <xdr:rowOff>28575</xdr:rowOff>
              </from>
              <to>
                <xdr:col>2</xdr:col>
                <xdr:colOff>266700</xdr:colOff>
                <xdr:row>0</xdr:row>
                <xdr:rowOff>266700</xdr:rowOff>
              </to>
            </anchor>
          </controlPr>
        </control>
      </mc:Choice>
      <mc:Fallback>
        <control shapeId="1070" r:id="rId34" name="cmdBorraRegistro"/>
      </mc:Fallback>
    </mc:AlternateContent>
    <mc:AlternateContent xmlns:mc="http://schemas.openxmlformats.org/markup-compatibility/2006">
      <mc:Choice Requires="x14">
        <control shapeId="1071" r:id="rId36" name="cmdAscendente">
          <controlPr defaultSize="0" autoLine="0" r:id="rId37">
            <anchor>
              <from>
                <xdr:col>1</xdr:col>
                <xdr:colOff>2514600</xdr:colOff>
                <xdr:row>0</xdr:row>
                <xdr:rowOff>28575</xdr:rowOff>
              </from>
              <to>
                <xdr:col>1</xdr:col>
                <xdr:colOff>2686050</xdr:colOff>
                <xdr:row>0</xdr:row>
                <xdr:rowOff>266700</xdr:rowOff>
              </to>
            </anchor>
          </controlPr>
        </control>
      </mc:Choice>
      <mc:Fallback>
        <control shapeId="1071" r:id="rId36" name="cmdAscendente"/>
      </mc:Fallback>
    </mc:AlternateContent>
    <mc:AlternateContent xmlns:mc="http://schemas.openxmlformats.org/markup-compatibility/2006">
      <mc:Choice Requires="x14">
        <control shapeId="1072" r:id="rId38" name="cmdDescendente">
          <controlPr defaultSize="0" autoLine="0" r:id="rId39">
            <anchor>
              <from>
                <xdr:col>1</xdr:col>
                <xdr:colOff>2695575</xdr:colOff>
                <xdr:row>0</xdr:row>
                <xdr:rowOff>28575</xdr:rowOff>
              </from>
              <to>
                <xdr:col>1</xdr:col>
                <xdr:colOff>2867025</xdr:colOff>
                <xdr:row>0</xdr:row>
                <xdr:rowOff>266700</xdr:rowOff>
              </to>
            </anchor>
          </controlPr>
        </control>
      </mc:Choice>
      <mc:Fallback>
        <control shapeId="1072" r:id="rId38" name="cmdDescendente"/>
      </mc:Fallback>
    </mc:AlternateContent>
    <mc:AlternateContent xmlns:mc="http://schemas.openxmlformats.org/markup-compatibility/2006">
      <mc:Choice Requires="x14">
        <control shapeId="1077" r:id="rId40" name="cmdOrdenamientoMultiple">
          <controlPr defaultSize="0" autoLine="0" r:id="rId41">
            <anchor>
              <from>
                <xdr:col>1</xdr:col>
                <xdr:colOff>2886075</xdr:colOff>
                <xdr:row>0</xdr:row>
                <xdr:rowOff>28575</xdr:rowOff>
              </from>
              <to>
                <xdr:col>2</xdr:col>
                <xdr:colOff>66675</xdr:colOff>
                <xdr:row>0</xdr:row>
                <xdr:rowOff>266700</xdr:rowOff>
              </to>
            </anchor>
          </controlPr>
        </control>
      </mc:Choice>
      <mc:Fallback>
        <control shapeId="1077" r:id="rId40" name="cmdOrdenamientoMultiple"/>
      </mc:Fallback>
    </mc:AlternateContent>
    <mc:AlternateContent xmlns:mc="http://schemas.openxmlformats.org/markup-compatibility/2006">
      <mc:Choice Requires="x14">
        <control shapeId="1079" r:id="rId42" name="cmdAnadeRegistro">
          <controlPr defaultSize="0" autoLine="0" r:id="rId43">
            <anchor>
              <from>
                <xdr:col>2</xdr:col>
                <xdr:colOff>247650</xdr:colOff>
                <xdr:row>0</xdr:row>
                <xdr:rowOff>28575</xdr:rowOff>
              </from>
              <to>
                <xdr:col>2</xdr:col>
                <xdr:colOff>438150</xdr:colOff>
                <xdr:row>0</xdr:row>
                <xdr:rowOff>266700</xdr:rowOff>
              </to>
            </anchor>
          </controlPr>
        </control>
      </mc:Choice>
      <mc:Fallback>
        <control shapeId="1079" r:id="rId42" name="cmdAnadeRegistro"/>
      </mc:Fallback>
    </mc:AlternateContent>
  </controls>
  <tableParts count="1">
    <tablePart r:id="rId4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BW2"/>
  <sheetViews>
    <sheetView topLeftCell="BK1" workbookViewId="0">
      <selection activeCell="BK2" sqref="BK2"/>
    </sheetView>
  </sheetViews>
  <sheetFormatPr baseColWidth="10" defaultRowHeight="15" x14ac:dyDescent="0.25"/>
  <sheetData>
    <row r="1" spans="1:75" ht="60" x14ac:dyDescent="0.25">
      <c r="A1" s="61" t="s">
        <v>26</v>
      </c>
      <c r="B1" s="48" t="s">
        <v>851</v>
      </c>
      <c r="C1" s="48" t="s">
        <v>909</v>
      </c>
      <c r="D1" s="48" t="s">
        <v>1020</v>
      </c>
      <c r="E1" s="48" t="s">
        <v>892</v>
      </c>
      <c r="F1" s="48" t="s">
        <v>903</v>
      </c>
      <c r="G1" s="48" t="s">
        <v>891</v>
      </c>
      <c r="H1" s="48" t="s">
        <v>884</v>
      </c>
      <c r="I1" s="48" t="s">
        <v>885</v>
      </c>
      <c r="J1" s="48" t="s">
        <v>886</v>
      </c>
      <c r="K1" s="48" t="s">
        <v>887</v>
      </c>
      <c r="L1" s="48" t="s">
        <v>888</v>
      </c>
      <c r="M1" s="48" t="s">
        <v>889</v>
      </c>
      <c r="N1" s="48" t="s">
        <v>890</v>
      </c>
      <c r="O1" s="43" t="s">
        <v>1038</v>
      </c>
      <c r="P1" s="43" t="s">
        <v>18</v>
      </c>
      <c r="Q1" s="43" t="s">
        <v>19</v>
      </c>
      <c r="R1" s="43" t="s">
        <v>10</v>
      </c>
      <c r="S1" s="43" t="s">
        <v>980</v>
      </c>
      <c r="T1" s="43" t="s">
        <v>37</v>
      </c>
      <c r="U1" s="43" t="s">
        <v>38</v>
      </c>
      <c r="V1" s="43" t="s">
        <v>844</v>
      </c>
      <c r="W1" s="43" t="s">
        <v>908</v>
      </c>
      <c r="X1" s="43" t="s">
        <v>1027</v>
      </c>
      <c r="Y1" s="43" t="s">
        <v>1028</v>
      </c>
      <c r="Z1" s="45" t="s">
        <v>8</v>
      </c>
      <c r="AA1" s="45" t="s">
        <v>1155</v>
      </c>
      <c r="AB1" s="45" t="s">
        <v>904</v>
      </c>
      <c r="AC1" s="45" t="s">
        <v>9</v>
      </c>
      <c r="AD1" s="45" t="s">
        <v>977</v>
      </c>
      <c r="AE1" s="45" t="s">
        <v>907</v>
      </c>
      <c r="AF1" s="45" t="s">
        <v>916</v>
      </c>
      <c r="AG1" s="45" t="s">
        <v>917</v>
      </c>
      <c r="AH1" s="45" t="s">
        <v>918</v>
      </c>
      <c r="AI1" s="45" t="s">
        <v>905</v>
      </c>
      <c r="AJ1" s="45" t="s">
        <v>906</v>
      </c>
      <c r="AK1" s="45" t="s">
        <v>913</v>
      </c>
      <c r="AL1" s="45" t="s">
        <v>973</v>
      </c>
      <c r="AM1" s="45" t="s">
        <v>978</v>
      </c>
      <c r="AN1" s="45" t="s">
        <v>910</v>
      </c>
      <c r="AO1" s="45" t="s">
        <v>911</v>
      </c>
      <c r="AP1" s="45" t="s">
        <v>914</v>
      </c>
      <c r="AQ1" s="44" t="s">
        <v>912</v>
      </c>
      <c r="AR1" s="45" t="s">
        <v>974</v>
      </c>
      <c r="AS1" s="45" t="s">
        <v>975</v>
      </c>
      <c r="AT1" s="45" t="s">
        <v>976</v>
      </c>
      <c r="AU1" s="45" t="s">
        <v>979</v>
      </c>
      <c r="AV1" s="44" t="s">
        <v>1039</v>
      </c>
      <c r="AW1" s="44" t="s">
        <v>1040</v>
      </c>
      <c r="AX1" s="52" t="s">
        <v>1715</v>
      </c>
      <c r="AY1" s="52" t="s">
        <v>1716</v>
      </c>
      <c r="AZ1" s="52" t="s">
        <v>1720</v>
      </c>
      <c r="BA1" s="52" t="s">
        <v>1721</v>
      </c>
      <c r="BB1" s="52" t="s">
        <v>1722</v>
      </c>
      <c r="BC1" s="52" t="s">
        <v>1723</v>
      </c>
      <c r="BD1" s="44" t="s">
        <v>11</v>
      </c>
      <c r="BE1" s="44" t="s">
        <v>17</v>
      </c>
      <c r="BF1" s="58" t="s">
        <v>1044</v>
      </c>
      <c r="BG1" s="57" t="s">
        <v>1045</v>
      </c>
      <c r="BH1" s="57" t="s">
        <v>1046</v>
      </c>
      <c r="BI1" s="57" t="s">
        <v>1047</v>
      </c>
      <c r="BJ1" s="57" t="s">
        <v>1048</v>
      </c>
      <c r="BK1" s="57" t="s">
        <v>1049</v>
      </c>
      <c r="BL1" s="44" t="s">
        <v>1050</v>
      </c>
      <c r="BM1" s="45" t="s">
        <v>919</v>
      </c>
      <c r="BN1" s="44" t="s">
        <v>13</v>
      </c>
      <c r="BO1" s="44" t="s">
        <v>14</v>
      </c>
      <c r="BP1" s="40" t="s">
        <v>15</v>
      </c>
      <c r="BQ1" s="39" t="s">
        <v>20</v>
      </c>
      <c r="BR1" s="39" t="s">
        <v>21</v>
      </c>
      <c r="BS1" s="39" t="s">
        <v>22</v>
      </c>
      <c r="BT1" s="42" t="s">
        <v>915</v>
      </c>
      <c r="BU1" s="42" t="s">
        <v>1032</v>
      </c>
      <c r="BV1" s="42" t="s">
        <v>1033</v>
      </c>
      <c r="BW1" s="42" t="s">
        <v>1034</v>
      </c>
    </row>
    <row r="2" spans="1:75" x14ac:dyDescent="0.25">
      <c r="A2" s="54" t="s">
        <v>1379</v>
      </c>
      <c r="B2" s="59" t="str">
        <f ca="1">IFERROR(INDEX(OFFSET(INDIRECT("v_buffer_hist_hoy!$A$1"),1,MATCH("pro_descripcion",INDIRECT("v_buffer_hist_hoy!$1:$1"),0)-1,100000,1),MATCH(CLEAN(TABLATRANSFERENCIA[[#This Row],[CODIGO]]),OFFSET(INDIRECT("v_buffer_hist_hoy!$A$1"),1,MATCH("buh_codigo",INDIRECT("v_buffer_hist_hoy!$1:$1"),0)-1,100000,1),0)),"")</f>
        <v/>
      </c>
      <c r="C2" s="3" t="str">
        <f ca="1">IFERROR(INDEX(OFFSET(INDIRECT("v_buffer_hist_hoy!$A$1"),1,MATCH("buh_codigo_generico",INDIRECT("v_buffer_hist_hoy!$1:$1"),0)-1,100000,1),MATCH(CLEAN(TABLATRANSFERENCIA[[#This Row],[CODIGO]]),OFFSET(INDIRECT("v_buffer_hist_hoy!$A$1"),1,MATCH("buh_codigo",INDIRECT("v_buffer_hist_hoy!$1:$1"),0)-1,100000,1),0)),"")</f>
        <v/>
      </c>
      <c r="D2" s="3" t="str">
        <f ca="1">IFERROR(INDEX(OFFSET(INDIRECT("v_buffer_hist_hoy!$A$1"),1,MATCH("buh_codigo_vinculado",INDIRECT("v_buffer_hist_hoy!$1:$1"),0)-1,100000,1),MATCH(CLEAN(TABLATRANSFERENCIA[[#This Row],[CODIGO]]),OFFSET(INDIRECT("v_buffer_hist_hoy!$A$1"),1,MATCH("buh_codigo",INDIRECT("v_buffer_hist_hoy!$1:$1"),0)-1,100000,1),0)),"")</f>
        <v/>
      </c>
      <c r="E2" s="3" t="str">
        <f ca="1">IFERROR(INDEX(OFFSET(INDIRECT("v_buffer_hist_hoy!$A$1"),1,MATCH("pro_linea",INDIRECT("v_buffer_hist_hoy!$1:$1"),0)-1,100000,1),MATCH(CLEAN(TABLATRANSFERENCIA[[#This Row],[CODIGO]]),OFFSET(INDIRECT("v_buffer_hist_hoy!$A$1"),1,MATCH("buh_codigo",INDIRECT("v_buffer_hist_hoy!$1:$1"),0)-1,100000,1),0)),"")</f>
        <v/>
      </c>
      <c r="F2" s="3" t="str">
        <f ca="1">IFERROR(INDEX(OFFSET(INDIRECT("v_buffer_hist_hoy!$A$1"),1,MATCH("pro_sublinea",INDIRECT("v_buffer_hist_hoy!$1:$1"),0)-1,100000,1),MATCH(CLEAN(TABLATRANSFERENCIA[[#This Row],[CODIGO]]),OFFSET(INDIRECT("v_buffer_hist_hoy!$A$1"),1,MATCH("buh_codigo",INDIRECT("v_buffer_hist_hoy!$1:$1"),0)-1,100000,1),0)),"")</f>
        <v/>
      </c>
      <c r="G2" s="3" t="str">
        <f ca="1">IFERROR(INDEX(OFFSET(INDIRECT("v_buffer_hist_hoy!$A$1"),1,MATCH("pro_grupo",INDIRECT("v_buffer_hist_hoy!$1:$1"),0)-1,100000,1),MATCH(CLEAN(TABLATRANSFERENCIA[[#This Row],[CODIGO]]),OFFSET(INDIRECT("v_buffer_hist_hoy!$A$1"),1,MATCH("buh_codigo",INDIRECT("v_buffer_hist_hoy!$1:$1"),0)-1,100000,1),0)),"")</f>
        <v/>
      </c>
      <c r="H2" s="3" t="str">
        <f ca="1">IFERROR(INDEX(OFFSET(INDIRECT("v_buffer_hist_hoy!$A$1"),1,MATCH("pro_familia",INDIRECT("v_buffer_hist_hoy!$1:$1"),0)-1,100000,1),MATCH(CLEAN(TABLATRANSFERENCIA[[#This Row],[CODIGO]]),OFFSET(INDIRECT("v_buffer_hist_hoy!$A$1"),1,MATCH("buh_codigo",INDIRECT("v_buffer_hist_hoy!$1:$1"),0)-1,100000,1),0)),"")</f>
        <v/>
      </c>
      <c r="I2" s="3" t="str">
        <f ca="1">IFERROR(INDEX(OFFSET(INDIRECT("v_buffer_hist_hoy!$A$1"),1,MATCH("pro_subfamilia",INDIRECT("v_buffer_hist_hoy!$1:$1"),0)-1,100000,1),MATCH(CLEAN(TABLATRANSFERENCIA[[#This Row],[CODIGO]]),OFFSET(INDIRECT("v_buffer_hist_hoy!$A$1"),1,MATCH("buh_codigo",INDIRECT("v_buffer_hist_hoy!$1:$1"),0)-1,100000,1),0)),"")</f>
        <v/>
      </c>
      <c r="J2" s="3" t="str">
        <f ca="1">IFERROR(INDEX(OFFSET(INDIRECT("v_buffer_hist_hoy!$A$1"),1,MATCH("pro_categoria",INDIRECT("v_buffer_hist_hoy!$1:$1"),0)-1,100000,1),MATCH(CLEAN(TABLATRANSFERENCIA[[#This Row],[CODIGO]]),OFFSET(INDIRECT("v_buffer_hist_hoy!$A$1"),1,MATCH("buh_codigo",INDIRECT("v_buffer_hist_hoy!$1:$1"),0)-1,100000,1),0)),"")</f>
        <v/>
      </c>
      <c r="K2" s="3" t="str">
        <f ca="1">IFERROR(INDEX(OFFSET(INDIRECT("v_buffer_hist_hoy!$A$1"),1,MATCH("pro_tipo",INDIRECT("v_buffer_hist_hoy!$1:$1"),0)-1,100000,1),MATCH(CLEAN(TABLATRANSFERENCIA[[#This Row],[CODIGO]]),OFFSET(INDIRECT("v_buffer_hist_hoy!$A$1"),1,MATCH("buh_codigo",INDIRECT("v_buffer_hist_hoy!$1:$1"),0)-1,100000,1),0)),"")</f>
        <v/>
      </c>
      <c r="L2" s="3" t="str">
        <f ca="1">IFERROR(INDEX(OFFSET(INDIRECT("v_buffer_hist_hoy!$A$1"),1,MATCH("pro_marca",INDIRECT("v_buffer_hist_hoy!$1:$1"),0)-1,100000,1),MATCH(CLEAN(TABLATRANSFERENCIA[[#This Row],[CODIGO]]),OFFSET(INDIRECT("v_buffer_hist_hoy!$A$1"),1,MATCH("buh_codigo",INDIRECT("v_buffer_hist_hoy!$1:$1"),0)-1,100000,1),0)),"")</f>
        <v/>
      </c>
      <c r="M2" s="3" t="str">
        <f ca="1">IFERROR(INDEX(OFFSET(INDIRECT("v_buffer_hist_hoy!$A$1"),1,MATCH("pro_modelo",INDIRECT("v_buffer_hist_hoy!$1:$1"),0)-1,100000,1),MATCH(CLEAN(TABLATRANSFERENCIA[[#This Row],[CODIGO]]),OFFSET(INDIRECT("v_buffer_hist_hoy!$A$1"),1,MATCH("buh_codigo",INDIRECT("v_buffer_hist_hoy!$1:$1"),0)-1,100000,1),0)),"")</f>
        <v/>
      </c>
      <c r="N2" s="3" t="str">
        <f ca="1">IFERROR(INDEX(OFFSET(INDIRECT("v_buffer_hist_hoy!$A$1"),1,MATCH("pro_cat_management",INDIRECT("v_buffer_hist_hoy!$1:$1"),0)-1,100000,1),MATCH(CLEAN(TABLATRANSFERENCIA[[#This Row],[CODIGO]]),OFFSET(INDIRECT("v_buffer_hist_hoy!$A$1"),1,MATCH("buh_codigo",INDIRECT("v_buffer_hist_hoy!$1:$1"),0)-1,100000,1),0)),"")</f>
        <v/>
      </c>
      <c r="O2" s="5" t="str">
        <f ca="1">IFERROR(INDEX(OFFSET(INDIRECT("v_buffer_hist_hoy!$A$1"),1,MATCH("buh_estatus",INDIRECT("v_buffer_hist_hoy!$1:$1"),0)-1,100000,1),MATCH(CLEAN(TABLATRANSFERENCIA[[#This Row],[CODIGO]]),OFFSET(INDIRECT("v_buffer_hist_hoy!$A$1"),1,MATCH("buh_codigo",INDIRECT("v_buffer_hist_hoy!$1:$1"),0)-1,100000,1),0)),"")</f>
        <v/>
      </c>
      <c r="P2" s="5" t="str">
        <f ca="1">IFERROR(INDEX(OFFSET(INDIRECT("v_buffer_hist_hoy!$A$1"),1,MATCH("buh_ctv",INDIRECT("v_buffer_hist_hoy!$1:$1"),0)-1,100000,1),MATCH(CLEAN(TABLATRANSFERENCIA[[#This Row],[CODIGO]]),OFFSET(INDIRECT("v_buffer_hist_hoy!$A$1"),1,MATCH("buh_codigo",INDIRECT("v_buffer_hist_hoy!$1:$1"),0)-1,100000,1),0)),"")</f>
        <v/>
      </c>
      <c r="Q2" s="5" t="str">
        <f ca="1">IFERROR(INDEX(OFFSET(INDIRECT("v_buffer_hist_hoy!$A$1"),1,MATCH("buh_pv",INDIRECT("v_buffer_hist_hoy!$1:$1"),0)-1,100000,1),MATCH(CLEAN(TABLATRANSFERENCIA[[#This Row],[CODIGO]]),OFFSET(INDIRECT("v_buffer_hist_hoy!$A$1"),1,MATCH("buh_codigo",INDIRECT("v_buffer_hist_hoy!$1:$1"),0)-1,100000,1),0)),"")</f>
        <v/>
      </c>
      <c r="R2" s="46" t="str">
        <f ca="1">IFERROR(INDEX(OFFSET(INDIRECT("v_buffer_hist_hoy!$A$1"),1,MATCH("buh_roi_pasado",INDIRECT("v_buffer_hist_hoy!$1:$1"),0)-1,100000,1),MATCH(CLEAN(TABLATRANSFERENCIA[[#This Row],[CODIGO]]),OFFSET(INDIRECT("v_buffer_hist_hoy!$A$1"),1,MATCH("buh_codigo",INDIRECT("v_buffer_hist_hoy!$1:$1"),0)-1,100000,1),0)),"")</f>
        <v/>
      </c>
      <c r="S2" s="46" t="str">
        <f ca="1">IFERROR(INDEX(OFFSET(INDIRECT("v_buffer_hist_hoy!$A$1"),1,MATCH("buh_roi_proyectado",INDIRECT("v_buffer_hist_hoy!$1:$1"),0)-1,100000,1),MATCH(CLEAN(TABLATRANSFERENCIA[[#This Row],[CODIGO]]),OFFSET(INDIRECT("v_buffer_hist_hoy!$A$1"),1,MATCH("buh_codigo",INDIRECT("v_buffer_hist_hoy!$1:$1"),0)-1,100000,1),0)),"")</f>
        <v/>
      </c>
      <c r="T2" s="46" t="str">
        <f ca="1">IFERROR(INDEX(OFFSET(INDIRECT("v_buffer_hist_hoy!$A$1"),1,MATCH("buh_velocity",INDIRECT("v_buffer_hist_hoy!$1:$1"),0)-1,100000,1),MATCH(CLEAN(TABLATRANSFERENCIA[[#This Row],[CODIGO]]),OFFSET(INDIRECT("v_buffer_hist_hoy!$A$1"),1,MATCH("buh_codigo",INDIRECT("v_buffer_hist_hoy!$1:$1"),0)-1,100000,1),0)),"")</f>
        <v/>
      </c>
      <c r="U2" s="46" t="str">
        <f ca="1">IFERROR(INDEX(OFFSET(INDIRECT("v_buffer_hist_hoy!$A$1"),1,MATCH("buh_nivel_servicio",INDIRECT("v_buffer_hist_hoy!$1:$1"),0)-1,100000,1),MATCH(CLEAN(TABLATRANSFERENCIA[[#This Row],[CODIGO]]),OFFSET(INDIRECT("v_buffer_hist_hoy!$A$1"),1,MATCH("buh_codigo",INDIRECT("v_buffer_hist_hoy!$1:$1"),0)-1,100000,1),0)),"")</f>
        <v/>
      </c>
      <c r="V2" s="49" t="str">
        <f ca="1">IFERROR(INDEX(OFFSET(INDIRECT("v_buffer_hist_hoy!$A$1"),1,MATCH("pro_nombre",INDIRECT("v_buffer_hist_hoy!$1:$1"),0)-1,100000,1),MATCH(CLEAN(TABLATRANSFERENCIA[[#This Row],[CODIGO]]),OFFSET(INDIRECT("v_buffer_hist_hoy!$A$1"),1,MATCH("buh_codigo",INDIRECT("v_buffer_hist_hoy!$1:$1"),0)-1,100000,1),0)),"")</f>
        <v/>
      </c>
      <c r="W2" s="49" t="str">
        <f ca="1">IFERROR(INDEX(OFFSET(INDIRECT("v_buffer_hist_hoy!$A$1"),1,MATCH("pre_nombre",INDIRECT("v_buffer_hist_hoy!$1:$1"),0)-1,100000,1),MATCH(CLEAN(TABLATRANSFERENCIA[[#This Row],[CODIGO]]),OFFSET(INDIRECT("v_buffer_hist_hoy!$A$1"),1,MATCH("buh_codigo",INDIRECT("v_buffer_hist_hoy!$1:$1"),0)-1,100000,1),0)),"")</f>
        <v/>
      </c>
      <c r="X2" s="51" t="str">
        <f ca="1">IFERROR(INDEX(OFFSET(INDIRECT("v_buffer_hist_hoy!$A$1"),1,MATCH("buh_tiempo_suministro",INDIRECT("v_buffer_hist_hoy!$1:$1"),0)-1,100000,1),MATCH(CLEAN(TABLATRANSFERENCIA[[#This Row],[CODIGO]]),OFFSET(INDIRECT("v_buffer_hist_hoy!$A$1"),1,MATCH("buh_codigo",INDIRECT("v_buffer_hist_hoy!$1:$1"),0)-1,100000,1),0)),"")</f>
        <v/>
      </c>
      <c r="Y2" s="51" t="str">
        <f ca="1">IFERROR(INDEX(OFFSET(INDIRECT("v_buffer_hist_hoy!$A$1"),1,MATCH("buh_frecuencia_reposicion",INDIRECT("v_buffer_hist_hoy!$1:$1"),0)-1,100000,1),MATCH(CLEAN(TABLATRANSFERENCIA[[#This Row],[CODIGO]]),OFFSET(INDIRECT("v_buffer_hist_hoy!$A$1"),1,MATCH("buh_codigo",INDIRECT("v_buffer_hist_hoy!$1:$1"),0)-1,100000,1),0)),"")</f>
        <v/>
      </c>
      <c r="Z2" s="51" t="str">
        <f ca="1">IFERROR(INDEX(OFFSET(INDIRECT("v_buffer_hist_hoy!$A$1"),1,MATCH("buh_buffer_actual",INDIRECT("v_buffer_hist_hoy!$1:$1"),0)-1,100000,1),MATCH(CLEAN(TABLATRANSFERENCIA[[#This Row],[CODIGO]]),OFFSET(INDIRECT("v_buffer_hist_hoy!$A$1"),1,MATCH("buh_codigo",INDIRECT("v_buffer_hist_hoy!$1:$1"),0)-1,100000,1),0)),"")</f>
        <v/>
      </c>
      <c r="AA2" s="51" t="str">
        <f ca="1">IFERROR(INDEX(OFFSET(INDIRECT("v_buffer_hist_hoy!$A$1"),1,MATCH("buh_inventario_proveedor",INDIRECT("v_buffer_hist_hoy!$1:$1"),0)-1,100000,1),MATCH(CLEAN(TABLATRANSFERENCIA[[#This Row],[CODIGO]]),OFFSET(INDIRECT("v_buffer_hist_hoy!$A$1"),1,MATCH("buh_codigo",INDIRECT("v_buffer_hist_hoy!$1:$1"),0)-1,100000,1),0)),"")</f>
        <v/>
      </c>
      <c r="AB2" s="6" t="str">
        <f ca="1">IFERROR(INDEX(OFFSET(INDIRECT("v_buffer_hist_hoy!$A$1"),1,MATCH("buh_inventario_fisico",INDIRECT("v_buffer_hist_hoy!$1:$1"),0)-1,100000,1),MATCH(CLEAN(TABLATRANSFERENCIA[[#This Row],[CODIGO]]),OFFSET(INDIRECT("v_buffer_hist_hoy!$A$1"),1,MATCH("buh_codigo",INDIRECT("v_buffer_hist_hoy!$1:$1"),0)-1,100000,1),0)),"")</f>
        <v/>
      </c>
      <c r="AC2" s="4" t="str">
        <f ca="1">IFERROR(INDEX(OFFSET(INDIRECT("v_buffer_hist_hoy!$A$1"),1,MATCH("buh_estado_inventario_fisico",INDIRECT("v_buffer_hist_hoy!$1:$1"),0)-1,100000,1),MATCH(CLEAN(TABLATRANSFERENCIA[[#This Row],[CODIGO]]),OFFSET(INDIRECT("v_buffer_hist_hoy!$A$1"),1,MATCH("buh_codigo",INDIRECT("v_buffer_hist_hoy!$1:$1"),0)-1,100000,1),0)),"")</f>
        <v/>
      </c>
      <c r="AD2" s="6" t="str">
        <f ca="1">IFERROR(INDEX(OFFSET(INDIRECT("v_buffer_hist_hoy!$A$1"),1,MATCH("buh_color_inventario_fisico",INDIRECT("v_buffer_hist_hoy!$1:$1"),0)-1,100000,1),MATCH(CLEAN(TABLATRANSFERENCIA[[#This Row],[CODIGO]]),OFFSET(INDIRECT("v_buffer_hist_hoy!$A$1"),1,MATCH("buh_codigo",INDIRECT("v_buffer_hist_hoy!$1:$1"),0)-1,100000,1),0)),"")</f>
        <v/>
      </c>
      <c r="AE2" s="6" t="str">
        <f ca="1">IFERROR(INDEX(OFFSET(INDIRECT("v_buffer_hist_hoy!$A$1"),1,MATCH("buh_transito",INDIRECT("v_buffer_hist_hoy!$1:$1"),0)-1,100000,1),MATCH(CLEAN(TABLATRANSFERENCIA[[#This Row],[CODIGO]]),OFFSET(INDIRECT("v_buffer_hist_hoy!$A$1"),1,MATCH("buh_codigo",INDIRECT("v_buffer_hist_hoy!$1:$1"),0)-1,100000,1),0)),"")</f>
        <v/>
      </c>
      <c r="AF2" s="6" t="str">
        <f ca="1">IFERROR(INDEX(OFFSET(INDIRECT("v_buffer_hist_hoy!$A$1"),1,MATCH("buh_negociacion",INDIRECT("v_buffer_hist_hoy!$1:$1"),0)-1,100000,1),MATCH(CLEAN(TABLATRANSFERENCIA[[#This Row],[CODIGO]]),OFFSET(INDIRECT("v_buffer_hist_hoy!$A$1"),1,MATCH("buh_codigo",INDIRECT("v_buffer_hist_hoy!$1:$1"),0)-1,100000,1),0)),"")</f>
        <v/>
      </c>
      <c r="AG2" s="6" t="str">
        <f ca="1">IFERROR(INDEX(OFFSET(INDIRECT("v_buffer_hist_hoy!$A$1"),1,MATCH("buh_produccion",INDIRECT("v_buffer_hist_hoy!$1:$1"),0)-1,100000,1),MATCH(CLEAN(TABLATRANSFERENCIA[[#This Row],[CODIGO]]),OFFSET(INDIRECT("v_buffer_hist_hoy!$A$1"),1,MATCH("buh_codigo",INDIRECT("v_buffer_hist_hoy!$1:$1"),0)-1,100000,1),0)),"")</f>
        <v/>
      </c>
      <c r="AH2" s="6" t="str">
        <f ca="1">IFERROR(INDEX(OFFSET(INDIRECT("v_buffer_hist_hoy!$A$1"),1,MATCH("buh_embarcado",INDIRECT("v_buffer_hist_hoy!$1:$1"),0)-1,100000,1),MATCH(CLEAN(TABLATRANSFERENCIA[[#This Row],[CODIGO]]),OFFSET(INDIRECT("v_buffer_hist_hoy!$A$1"),1,MATCH("buh_codigo",INDIRECT("v_buffer_hist_hoy!$1:$1"),0)-1,100000,1),0)),"")</f>
        <v/>
      </c>
      <c r="AI2" s="6" t="str">
        <f ca="1">IFERROR(INDEX(OFFSET(INDIRECT("v_buffer_hist_hoy!$A$1"),1,MATCH("buh_comprometido",INDIRECT("v_buffer_hist_hoy!$1:$1"),0)-1,100000,1),MATCH(CLEAN(TABLATRANSFERENCIA[[#This Row],[CODIGO]]),OFFSET(INDIRECT("v_buffer_hist_hoy!$A$1"),1,MATCH("buh_codigo",INDIRECT("v_buffer_hist_hoy!$1:$1"),0)-1,100000,1),0)),"")</f>
        <v/>
      </c>
      <c r="AJ2" s="6" t="str">
        <f ca="1">IFERROR(INDEX(OFFSET(INDIRECT("v_buffer_hist_hoy!$A$1"),1,MATCH("buh_backorder",INDIRECT("v_buffer_hist_hoy!$1:$1"),0)-1,100000,1),MATCH(CLEAN(TABLATRANSFERENCIA[[#This Row],[CODIGO]]),OFFSET(INDIRECT("v_buffer_hist_hoy!$A$1"),1,MATCH("buh_codigo",INDIRECT("v_buffer_hist_hoy!$1:$1"),0)-1,100000,1),0)),"")</f>
        <v/>
      </c>
      <c r="AK2" s="6" t="str">
        <f ca="1">IFERROR(INDEX(OFFSET(INDIRECT("v_buffer_hist_hoy!$A$1"),1,MATCH("buh_inventario_proyectado",INDIRECT("v_buffer_hist_hoy!$1:$1"),0)-1,100000,1),MATCH(CLEAN(TABLATRANSFERENCIA[[#This Row],[CODIGO]]),OFFSET(INDIRECT("v_buffer_hist_hoy!$A$1"),1,MATCH("buh_codigo",INDIRECT("v_buffer_hist_hoy!$1:$1"),0)-1,100000,1),0)),"")</f>
        <v/>
      </c>
      <c r="AL2" s="4" t="str">
        <f ca="1">IFERROR(INDEX(OFFSET(INDIRECT("v_buffer_hist_hoy!$A$1"),1,MATCH("buh_estado_inventario_proyectado",INDIRECT("v_buffer_hist_hoy!$1:$1"),0)-1,100000,1),MATCH(CLEAN(TABLATRANSFERENCIA[[#This Row],[CODIGO]]),OFFSET(INDIRECT("v_buffer_hist_hoy!$A$1"),1,MATCH("buh_codigo",INDIRECT("v_buffer_hist_hoy!$1:$1"),0)-1,100000,1),0)),"")</f>
        <v/>
      </c>
      <c r="AM2" s="6" t="str">
        <f ca="1">IFERROR(INDEX(OFFSET(INDIRECT("v_buffer_hist_hoy!$A$1"),1,MATCH("buh_color_inventario_proyectado",INDIRECT("v_buffer_hist_hoy!$1:$1"),0)-1,100000,1),MATCH(CLEAN(TABLATRANSFERENCIA[[#This Row],[CODIGO]]),OFFSET(INDIRECT("v_buffer_hist_hoy!$A$1"),1,MATCH("buh_codigo",INDIRECT("v_buffer_hist_hoy!$1:$1"),0)-1,100000,1),0)),"")</f>
        <v/>
      </c>
      <c r="AN2" s="6" t="str">
        <f ca="1">IFERROR(INDEX(OFFSET(INDIRECT("v_buffer_hist_hoy!$A$1"),1,MATCH("buh_pedido_minimo",INDIRECT("v_buffer_hist_hoy!$1:$1"),0)-1,100000,1),MATCH(CLEAN(TABLATRANSFERENCIA[[#This Row],[CODIGO]]),OFFSET(INDIRECT("v_buffer_hist_hoy!$A$1"),1,MATCH("buh_codigo",INDIRECT("v_buffer_hist_hoy!$1:$1"),0)-1,100000,1),0)),"")</f>
        <v/>
      </c>
      <c r="AO2" s="6" t="str">
        <f ca="1">IFERROR(INDEX(OFFSET(INDIRECT("v_buffer_hist_hoy!$A$1"),1,MATCH("buh_pedido_minimo_grupo",INDIRECT("v_buffer_hist_hoy!$1:$1"),0)-1,100000,1),MATCH(CLEAN(TABLATRANSFERENCIA[[#This Row],[CODIGO]]),OFFSET(INDIRECT("v_buffer_hist_hoy!$A$1"),1,MATCH("buh_codigo",INDIRECT("v_buffer_hist_hoy!$1:$1"),0)-1,100000,1),0)),"")</f>
        <v/>
      </c>
      <c r="AP2" s="6" t="str">
        <f ca="1">IFERROR(INDEX(OFFSET(INDIRECT("v_buffer_hist_hoy!$A$1"),1,MATCH("buh_unidad_empaque",INDIRECT("v_buffer_hist_hoy!$1:$1"),0)-1,100000,1),MATCH(CLEAN(TABLATRANSFERENCIA[[#This Row],[CODIGO]]),OFFSET(INDIRECT("v_buffer_hist_hoy!$A$1"),1,MATCH("buh_codigo",INDIRECT("v_buffer_hist_hoy!$1:$1"),0)-1,100000,1),0)),"")</f>
        <v/>
      </c>
      <c r="AQ2" s="6" t="str">
        <f ca="1">IFERROR(INDEX(OFFSET(INDIRECT("v_buffer_hist_hoy!$A$1"),1,MATCH("buh_pedido_promedio",INDIRECT("v_buffer_hist_hoy!$1:$1"),0)-1,100000,1),MATCH(CLEAN(TABLATRANSFERENCIA[[#This Row],[CODIGO]]),OFFSET(INDIRECT("v_buffer_hist_hoy!$A$1"),1,MATCH("buh_codigo",INDIRECT("v_buffer_hist_hoy!$1:$1"),0)-1,100000,1),0)),"")</f>
        <v/>
      </c>
      <c r="AR2" s="6" t="str">
        <f ca="1">IFERROR(INDEX(OFFSET(INDIRECT("v_buffer_hist_hoy!$A$1"),1,MATCH("buh_cobertura_buffer",INDIRECT("v_buffer_hist_hoy!$1:$1"),0)-1,100000,1),MATCH(CLEAN(TABLATRANSFERENCIA[[#This Row],[CODIGO]]),OFFSET(INDIRECT("v_buffer_hist_hoy!$A$1"),1,MATCH("buh_codigo",INDIRECT("v_buffer_hist_hoy!$1:$1"),0)-1,100000,1),0)),"")</f>
        <v/>
      </c>
      <c r="AS2" s="6" t="str">
        <f ca="1">IFERROR(INDEX(OFFSET(INDIRECT("v_buffer_hist_hoy!$A$1"),1,MATCH("buh_cobertura_inventario_proyectado",INDIRECT("v_buffer_hist_hoy!$1:$1"),0)-1,100000,1),MATCH(CLEAN(TABLATRANSFERENCIA[[#This Row],[CODIGO]]),OFFSET(INDIRECT("v_buffer_hist_hoy!$A$1"),1,MATCH("buh_codigo",INDIRECT("v_buffer_hist_hoy!$1:$1"),0)-1,100000,1),0)),"")</f>
        <v/>
      </c>
      <c r="AT2" s="6" t="str">
        <f ca="1">IFERROR(INDEX(OFFSET(INDIRECT("v_buffer_hist_hoy!$A$1"),1,MATCH("buh_cobertura_pedido_minimo",INDIRECT("v_buffer_hist_hoy!$1:$1"),0)-1,100000,1),MATCH(CLEAN(TABLATRANSFERENCIA[[#This Row],[CODIGO]]),OFFSET(INDIRECT("v_buffer_hist_hoy!$A$1"),1,MATCH("buh_codigo",INDIRECT("v_buffer_hist_hoy!$1:$1"),0)-1,100000,1),0)),"")</f>
        <v/>
      </c>
      <c r="AU2" s="6" t="str">
        <f ca="1">IFERROR(INDEX(OFFSET(INDIRECT("v_buffer_hist_hoy!$A$1"),1,MATCH("buh_dias_desabastecimiento",INDIRECT("v_buffer_hist_hoy!$1:$1"),0)-1,100000,1),MATCH(CLEAN(TABLATRANSFERENCIA[[#This Row],[CODIGO]]),OFFSET(INDIRECT("v_buffer_hist_hoy!$A$1"),1,MATCH("buh_codigo",INDIRECT("v_buffer_hist_hoy!$1:$1"),0)-1,100000,1),0)),"")</f>
        <v/>
      </c>
      <c r="AV2" s="56" t="str">
        <f ca="1">IFERROR(INDEX(OFFSET(INDIRECT("v_buffer_hist_hoy!$A$1"),1,MATCH("buh_ultima_transferencia_ini",INDIRECT("v_buffer_hist_hoy!$1:$1"),0)-1,100000,1),MATCH(CLEAN(TABLATRANSFERENCIA[[#This Row],[CODIGO]]),OFFSET(INDIRECT("v_buffer_hist_hoy!$A$1"),1,MATCH("buh_codigo",INDIRECT("v_buffer_hist_hoy!$1:$1"),0)-1,100000,1),0)),"")</f>
        <v/>
      </c>
      <c r="AW2" s="56" t="str">
        <f ca="1">IFERROR(INDEX(OFFSET(INDIRECT("v_buffer_hist_hoy!$A$1"),1,MATCH("buh_ultima_transferencia_fin",INDIRECT("v_buffer_hist_hoy!$1:$1"),0)-1,100000,1),MATCH(CLEAN(TABLATRANSFERENCIA[[#This Row],[CODIGO]]),OFFSET(INDIRECT("v_buffer_hist_hoy!$A$1"),1,MATCH("buh_codigo",INDIRECT("v_buffer_hist_hoy!$1:$1"),0)-1,100000,1),0)),"")</f>
        <v/>
      </c>
      <c r="AX2" s="6">
        <f t="array" ref="AX2">IFERROR(INDEX(Datos_Consumo[CANTIDAD],MATCH(XXYY[[#This Row],[CODIGO]]&amp;XXYY[[#Headers],[2016-5]],Datos_Consumo[CODIGO]&amp;Datos_Consumo[FECHA_FORMATO],0)),0)</f>
        <v>0</v>
      </c>
      <c r="AY2" s="6">
        <f t="array" ref="AY2">IFERROR(INDEX(Datos_Consumo[CANTIDAD],MATCH(XXYY[[#This Row],[CODIGO]]&amp;XXYY[[#Headers],[2016-6]],Datos_Consumo[CODIGO]&amp;Datos_Consumo[FECHA_FORMATO],0)),0)</f>
        <v>0</v>
      </c>
      <c r="AZ2" s="6">
        <f t="array" ref="AZ2">IFERROR(INDEX(Datos_Consumo[CANTIDAD],MATCH(XXYY[[#This Row],[CODIGO]]&amp;XXYY[[#Headers],[Columna3]],Datos_Consumo[CODIGO]&amp;Datos_Consumo[FECHA_FORMATO],0)),0)</f>
        <v>0</v>
      </c>
      <c r="BA2" s="6">
        <f t="array" ref="BA2">IFERROR(INDEX(Datos_Consumo[CANTIDAD],MATCH(XXYY[[#This Row],[CODIGO]]&amp;XXYY[[#Headers],[Columna4]],Datos_Consumo[CODIGO]&amp;Datos_Consumo[FECHA_FORMATO],0)),0)</f>
        <v>0</v>
      </c>
      <c r="BB2" s="6">
        <f t="array" ref="BB2">IFERROR(INDEX(Datos_Consumo[CANTIDAD],MATCH(XXYY[[#This Row],[CODIGO]]&amp;XXYY[[#Headers],[Columna5]],Datos_Consumo[CODIGO]&amp;Datos_Consumo[FECHA_FORMATO],0)),0)</f>
        <v>0</v>
      </c>
      <c r="BC2" s="6">
        <f t="array" ref="BC2">IFERROR(INDEX(Datos_Consumo[CANTIDAD],MATCH(XXYY[[#This Row],[CODIGO]]&amp;XXYY[[#Headers],[Columna6]],Datos_Consumo[CODIGO]&amp;Datos_Consumo[FECHA_FORMATO],0)),0)</f>
        <v>0</v>
      </c>
      <c r="BD2" s="50">
        <v>3</v>
      </c>
      <c r="BE2" s="55">
        <v>3</v>
      </c>
      <c r="BF2" s="51"/>
      <c r="BG2" s="51">
        <f>IF(RIGHT(XXYY[[#Headers],[Emb1]],1)*1&lt;=XXYY[[#This Row],[EMBARQUES]],IF(ISBLANK(XXYY[[#This Row],[EMBARQUES]]),XXYY[[#This Row],[REQUERIM]],ROUND(XXYY[[#This Row],[REQUERIM]]/XXYY[[#This Row],[EMBARQUES]],0)),XXYY[[#This Row],[REQUERIM]])</f>
        <v>3</v>
      </c>
      <c r="BH2" s="51">
        <f>IF(RIGHT(XXYY[[#Headers],[Emb2]],1)*1&lt;XXYY[[#This Row],[EMBARQUES]],ROUND(XXYY[[#This Row],[REQUERIM]]/XXYY[[#This Row],[EMBARQUES]],0),IF(RIGHT(XXYY[[#Headers],[Emb2]],1)*1=XXYY[[#This Row],[EMBARQUES]],XXYY[[#This Row],[REQUERIM]]-SUM(XXYY[[#This Row],[Emb1]]),0))</f>
        <v>0</v>
      </c>
      <c r="BI2" s="51">
        <f>IF(RIGHT(XXYY[[#Headers],[Emb3]],1)*1&lt;XXYY[[#This Row],[EMBARQUES]],ROUND(XXYY[[#This Row],[REQUERIM]]/XXYY[[#This Row],[EMBARQUES]],0),IF(RIGHT(XXYY[[#Headers],[Emb3]],1)*1=XXYY[[#This Row],[EMBARQUES]],XXYY[[#This Row],[REQUERIM]]-SUM(XXYY[[#This Row],[Emb1]:[Emb2]]),0))</f>
        <v>0</v>
      </c>
      <c r="BJ2" s="51">
        <f>IF(RIGHT(XXYY[[#Headers],[Emb4]],1)*1&lt;XXYY[[#This Row],[EMBARQUES]],ROUND(XXYY[[#This Row],[REQUERIM]]/XXYY[[#This Row],[EMBARQUES]],0),IF(RIGHT(XXYY[[#Headers],[Emb4]],1)*1=XXYY[[#This Row],[EMBARQUES]],XXYY[[#This Row],[REQUERIM]]-SUM(XXYY[[#This Row],[Emb1]:[Emb3]]),0))</f>
        <v>0</v>
      </c>
      <c r="BK2" s="51">
        <f>IF(RIGHT(XXYY[[#Headers],[Emb5]],1)*1&lt;XXYY[[#This Row],[EMBARQUES]],ROUND(XXYY[[#This Row],[REQUERIM]]/XXYY[[#This Row],[EMBARQUES]],0),IF(RIGHT(XXYY[[#Headers],[Emb5]],1)*1=XXYY[[#This Row],[EMBARQUES]],XXYY[[#This Row],[REQUERIM]]-SUM(XXYY[[#This Row],[Emb1]:[Emb4]]),0))</f>
        <v>0</v>
      </c>
      <c r="BL2" s="51"/>
      <c r="BM2" s="46">
        <f ca="1">IFERROR(XXYY[[#This Row],[REQUERIM]]/XXYY[[#This Row],[PEDIDO PROMEDIO]],0)</f>
        <v>0</v>
      </c>
      <c r="BN2" s="51"/>
      <c r="BO2" s="60"/>
      <c r="BP2" s="3">
        <f>IF(XXYY[[#This Row],[RECIBIDO]]&lt;&gt;"",0,IF(XXYY[[#This Row],[DESPACHO]]&lt;&gt;"",XXYY[[#This Row],[DESPACHO]],XXYY[[#This Row],[REQUERIM]]))</f>
        <v>3</v>
      </c>
      <c r="BQ2" s="50"/>
      <c r="BR2" s="50"/>
      <c r="BS2" s="50" t="str">
        <f>"N"</f>
        <v>N</v>
      </c>
      <c r="BT2" s="51">
        <f t="array" aca="1" ref="BT2" ca="1">IF(SUM(--(XXYY[[#This Row],[CODIGO GENERICO]]=XXYY[CODIGO GENERICO])*XXYY[REQUERIM])&lt;XXYY[[#This Row],[PEDIDO MIN GRUPO]],1,0)</f>
        <v>1</v>
      </c>
      <c r="BU2" s="51" t="str">
        <f ca="1">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f>
        <v>G</v>
      </c>
      <c r="BV2" s="51" t="str">
        <f ca="1">IFERROR(INDEX(OFFSET(INDIRECT("v_buffer_hist_hoy!$A$1"),1,MATCH("buh_zona_amarilla",INDIRECT("v_buffer_hist_hoy!$1:$1"),0)-1,100000,1),MATCH(CLEAN(TABLATRANSFERENCIA[[#This Row],[CODIGO]]),OFFSET(INDIRECT("v_buffer_hist_hoy!$A$1"),1,MATCH("buh_codigo",INDIRECT("v_buffer_hist_hoy!$1:$1"),0)-1,100000,1),0)),"")</f>
        <v/>
      </c>
      <c r="BW2" s="51" t="str">
        <f ca="1">IFERROR(INDEX(OFFSET(INDIRECT("v_buffer_hist_hoy!$A$1"),1,MATCH("buh_zona_roja",INDIRECT("v_buffer_hist_hoy!$1:$1"),0)-1,100000,1),MATCH(CLEAN(TABLATRANSFERENCIA[[#This Row],[CODIGO]]),OFFSET(INDIRECT("v_buffer_hist_hoy!$A$1"),1,MATCH("buh_codigo",INDIRECT("v_buffer_hist_hoy!$1:$1"),0)-1,100000,1),0)),"")</f>
        <v/>
      </c>
    </row>
  </sheetData>
  <conditionalFormatting sqref="BN2:BO2">
    <cfRule type="expression" dxfId="111" priority="15">
      <formula>ISBLANK(BN2)</formula>
    </cfRule>
  </conditionalFormatting>
  <conditionalFormatting sqref="AK2 AB2">
    <cfRule type="expression" dxfId="110" priority="9">
      <formula>AD2="G"</formula>
    </cfRule>
    <cfRule type="expression" dxfId="109" priority="10">
      <formula>AD2="L"</formula>
    </cfRule>
    <cfRule type="expression" dxfId="108" priority="11">
      <formula>AD2="V"</formula>
    </cfRule>
    <cfRule type="expression" dxfId="107" priority="12">
      <formula>AD2="A"</formula>
    </cfRule>
    <cfRule type="expression" dxfId="106" priority="13">
      <formula>AD2="N"</formula>
    </cfRule>
    <cfRule type="expression" dxfId="105" priority="14">
      <formula>AD2="R"</formula>
    </cfRule>
  </conditionalFormatting>
  <conditionalFormatting sqref="BR2">
    <cfRule type="expression" dxfId="104" priority="16">
      <formula>AND(ISNUMBER($BO2),$BN2&lt;&gt;$BO2)</formula>
    </cfRule>
  </conditionalFormatting>
  <conditionalFormatting sqref="AO2">
    <cfRule type="expression" dxfId="103" priority="8">
      <formula>$BT2=1</formula>
    </cfRule>
  </conditionalFormatting>
  <conditionalFormatting sqref="BD2">
    <cfRule type="expression" dxfId="102" priority="2">
      <formula>$BU2="N"</formula>
    </cfRule>
    <cfRule type="expression" dxfId="101" priority="3">
      <formula>$BU2="R"</formula>
    </cfRule>
    <cfRule type="expression" dxfId="100" priority="4">
      <formula>$BU2="A"</formula>
    </cfRule>
    <cfRule type="expression" dxfId="99" priority="5">
      <formula>$BU2="L"</formula>
    </cfRule>
    <cfRule type="expression" dxfId="98" priority="6">
      <formula>$BU2="V"</formula>
    </cfRule>
    <cfRule type="expression" dxfId="97" priority="7">
      <formula>$BU2="G"</formula>
    </cfRule>
  </conditionalFormatting>
  <conditionalFormatting sqref="BQ2">
    <cfRule type="expression" dxfId="96" priority="17">
      <formula>AND(ISNUMBER($BN2),$BD2&lt;&gt;$BN2)</formula>
    </cfRule>
  </conditionalFormatting>
  <conditionalFormatting sqref="AV2">
    <cfRule type="expression" dxfId="95" priority="1">
      <formula>TODAY()&lt;=(AV2+Y2*7)</formula>
    </cfRule>
  </conditionalFormatting>
  <dataValidations count="4">
    <dataValidation allowBlank="1" showErrorMessage="1" promptTitle="Número de Embarques" sqref="BL2"/>
    <dataValidation type="whole" allowBlank="1" showErrorMessage="1" promptTitle="Número de Embarques" sqref="BF2">
      <formula1>1</formula1>
      <formula2>5</formula2>
    </dataValidation>
    <dataValidation type="whole" allowBlank="1" showErrorMessage="1" promptTitle="Número de Embarques" sqref="BG2:BK2">
      <formula1>0</formula1>
      <formula2>1000000</formula2>
    </dataValidation>
    <dataValidation type="list" allowBlank="1" showInputMessage="1" showErrorMessage="1" sqref="BQ2:BR2">
      <formula1>RangoCausas</formula1>
    </dataValidation>
  </dataValidations>
  <pageMargins left="0.7" right="0.7" top="0.75" bottom="0.75" header="0.3" footer="0.3"/>
  <legacy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A3"/>
  <sheetViews>
    <sheetView workbookViewId="0">
      <selection activeCell="A2" sqref="A2"/>
    </sheetView>
  </sheetViews>
  <sheetFormatPr baseColWidth="10" defaultRowHeight="15" x14ac:dyDescent="0.25"/>
  <sheetData>
    <row r="1" spans="1:1" x14ac:dyDescent="0.25">
      <c r="A1" t="s">
        <v>2466</v>
      </c>
    </row>
    <row r="3" spans="1:1" x14ac:dyDescent="0.25">
      <c r="A3">
        <v>-1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
  <sheetViews>
    <sheetView workbookViewId="0">
      <selection activeCell="D24" sqref="D24"/>
    </sheetView>
  </sheetViews>
  <sheetFormatPr baseColWidth="10"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W111"/>
  <sheetViews>
    <sheetView showGridLines="0" workbookViewId="0">
      <selection activeCell="K2" sqref="K2"/>
    </sheetView>
  </sheetViews>
  <sheetFormatPr baseColWidth="10" defaultRowHeight="15" x14ac:dyDescent="0.25"/>
  <cols>
    <col min="1" max="1" width="10.85546875" customWidth="1"/>
    <col min="2" max="2" width="9.85546875" customWidth="1"/>
    <col min="3" max="3" width="9.42578125" customWidth="1"/>
    <col min="4" max="4" width="10"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31.28515625" customWidth="1"/>
    <col min="17" max="17" width="16.28515625" customWidth="1"/>
    <col min="18" max="18" width="15.28515625" customWidth="1"/>
    <col min="20" max="20" width="16.28515625" bestFit="1" customWidth="1"/>
    <col min="21" max="21" width="15.28515625" bestFit="1" customWidth="1"/>
    <col min="22" max="22" width="21" bestFit="1" customWidth="1"/>
    <col min="23" max="23" width="54.5703125" bestFit="1" customWidth="1"/>
    <col min="24" max="24" width="12.42578125" customWidth="1"/>
    <col min="25" max="25" width="17.7109375" customWidth="1"/>
    <col min="26" max="26" width="22.140625" customWidth="1"/>
    <col min="27" max="27" width="73" bestFit="1" customWidth="1"/>
    <col min="28" max="28" width="10.140625" customWidth="1"/>
    <col min="29" max="29" width="12.85546875" customWidth="1"/>
  </cols>
  <sheetData>
    <row r="1" spans="1:23" x14ac:dyDescent="0.25">
      <c r="A1" t="s">
        <v>30</v>
      </c>
      <c r="B1" t="s">
        <v>31</v>
      </c>
      <c r="C1" t="s">
        <v>4</v>
      </c>
      <c r="D1" t="s">
        <v>32</v>
      </c>
      <c r="E1" t="s">
        <v>33</v>
      </c>
      <c r="G1" t="s">
        <v>34</v>
      </c>
      <c r="H1" t="s">
        <v>35</v>
      </c>
      <c r="I1" t="s">
        <v>36</v>
      </c>
      <c r="K1" t="s">
        <v>34</v>
      </c>
      <c r="L1" t="s">
        <v>35</v>
      </c>
      <c r="M1" t="s">
        <v>36</v>
      </c>
      <c r="N1" t="s">
        <v>881</v>
      </c>
      <c r="Q1" t="s">
        <v>969</v>
      </c>
      <c r="R1" t="s">
        <v>970</v>
      </c>
      <c r="T1" t="s">
        <v>969</v>
      </c>
      <c r="U1" t="s">
        <v>970</v>
      </c>
      <c r="V1" t="s">
        <v>971</v>
      </c>
      <c r="W1" t="s">
        <v>972</v>
      </c>
    </row>
    <row r="2" spans="1:23" x14ac:dyDescent="0.25">
      <c r="E2" s="3"/>
      <c r="L2" s="41"/>
      <c r="M2" s="41"/>
      <c r="N2" s="41"/>
      <c r="Q2" t="s">
        <v>1024</v>
      </c>
      <c r="R2" t="s">
        <v>1154</v>
      </c>
      <c r="T2" t="s">
        <v>1024</v>
      </c>
      <c r="U2" t="s">
        <v>1154</v>
      </c>
      <c r="V2" t="s">
        <v>1158</v>
      </c>
      <c r="W2" t="s">
        <v>1159</v>
      </c>
    </row>
    <row r="3" spans="1:23" x14ac:dyDescent="0.25">
      <c r="Q3" t="s">
        <v>1156</v>
      </c>
      <c r="R3" t="s">
        <v>1157</v>
      </c>
      <c r="T3" t="s">
        <v>1024</v>
      </c>
      <c r="U3" t="s">
        <v>1154</v>
      </c>
      <c r="V3" t="s">
        <v>1160</v>
      </c>
      <c r="W3" t="s">
        <v>1161</v>
      </c>
    </row>
    <row r="4" spans="1:23" x14ac:dyDescent="0.25">
      <c r="T4" t="s">
        <v>1024</v>
      </c>
      <c r="U4" t="s">
        <v>1154</v>
      </c>
      <c r="V4" t="s">
        <v>1162</v>
      </c>
      <c r="W4" t="s">
        <v>1163</v>
      </c>
    </row>
    <row r="5" spans="1:23" x14ac:dyDescent="0.25">
      <c r="T5" t="s">
        <v>1024</v>
      </c>
      <c r="U5" t="s">
        <v>1154</v>
      </c>
      <c r="V5" t="s">
        <v>1164</v>
      </c>
      <c r="W5" t="s">
        <v>1165</v>
      </c>
    </row>
    <row r="6" spans="1:23" x14ac:dyDescent="0.25">
      <c r="T6" t="s">
        <v>1024</v>
      </c>
      <c r="U6" t="s">
        <v>1154</v>
      </c>
      <c r="V6" t="s">
        <v>1166</v>
      </c>
      <c r="W6" t="s">
        <v>1167</v>
      </c>
    </row>
    <row r="7" spans="1:23" x14ac:dyDescent="0.25">
      <c r="T7" t="s">
        <v>1024</v>
      </c>
      <c r="U7" t="s">
        <v>1154</v>
      </c>
      <c r="V7" t="s">
        <v>1168</v>
      </c>
      <c r="W7" t="s">
        <v>1169</v>
      </c>
    </row>
    <row r="8" spans="1:23" x14ac:dyDescent="0.25">
      <c r="D8" s="41"/>
      <c r="T8" t="s">
        <v>1024</v>
      </c>
      <c r="U8" t="s">
        <v>1154</v>
      </c>
      <c r="V8" t="s">
        <v>1170</v>
      </c>
      <c r="W8" t="s">
        <v>1171</v>
      </c>
    </row>
    <row r="9" spans="1:23" x14ac:dyDescent="0.25">
      <c r="T9" t="s">
        <v>1024</v>
      </c>
      <c r="U9" t="s">
        <v>1154</v>
      </c>
      <c r="V9" t="s">
        <v>1172</v>
      </c>
      <c r="W9" t="s">
        <v>1173</v>
      </c>
    </row>
    <row r="10" spans="1:23" x14ac:dyDescent="0.25">
      <c r="T10" t="s">
        <v>1024</v>
      </c>
      <c r="U10" t="s">
        <v>1154</v>
      </c>
      <c r="V10" t="s">
        <v>1174</v>
      </c>
      <c r="W10" t="s">
        <v>1175</v>
      </c>
    </row>
    <row r="11" spans="1:23" x14ac:dyDescent="0.25">
      <c r="T11" t="s">
        <v>1024</v>
      </c>
      <c r="U11" t="s">
        <v>1154</v>
      </c>
      <c r="V11" t="s">
        <v>1176</v>
      </c>
      <c r="W11" t="s">
        <v>1177</v>
      </c>
    </row>
    <row r="12" spans="1:23" x14ac:dyDescent="0.25">
      <c r="T12" t="s">
        <v>1024</v>
      </c>
      <c r="U12" t="s">
        <v>1154</v>
      </c>
      <c r="V12" t="s">
        <v>1178</v>
      </c>
      <c r="W12" t="s">
        <v>1179</v>
      </c>
    </row>
    <row r="13" spans="1:23" x14ac:dyDescent="0.25">
      <c r="T13" t="s">
        <v>1024</v>
      </c>
      <c r="U13" t="s">
        <v>1154</v>
      </c>
      <c r="V13" t="s">
        <v>1180</v>
      </c>
      <c r="W13" t="s">
        <v>1181</v>
      </c>
    </row>
    <row r="14" spans="1:23" x14ac:dyDescent="0.25">
      <c r="T14" t="s">
        <v>1024</v>
      </c>
      <c r="U14" t="s">
        <v>1154</v>
      </c>
      <c r="V14" t="s">
        <v>1182</v>
      </c>
      <c r="W14" t="s">
        <v>1183</v>
      </c>
    </row>
    <row r="15" spans="1:23" x14ac:dyDescent="0.25">
      <c r="T15" t="s">
        <v>1024</v>
      </c>
      <c r="U15" t="s">
        <v>1154</v>
      </c>
      <c r="V15" t="s">
        <v>1184</v>
      </c>
      <c r="W15" t="s">
        <v>1185</v>
      </c>
    </row>
    <row r="16" spans="1:23" x14ac:dyDescent="0.25">
      <c r="T16" t="s">
        <v>1024</v>
      </c>
      <c r="U16" t="s">
        <v>1154</v>
      </c>
      <c r="V16" t="s">
        <v>1186</v>
      </c>
      <c r="W16" t="s">
        <v>1187</v>
      </c>
    </row>
    <row r="17" spans="6:23" x14ac:dyDescent="0.25">
      <c r="T17" t="s">
        <v>1024</v>
      </c>
      <c r="U17" t="s">
        <v>1154</v>
      </c>
      <c r="V17" t="s">
        <v>1188</v>
      </c>
      <c r="W17" t="s">
        <v>1189</v>
      </c>
    </row>
    <row r="18" spans="6:23" x14ac:dyDescent="0.25">
      <c r="T18" t="s">
        <v>1024</v>
      </c>
      <c r="U18" t="s">
        <v>1154</v>
      </c>
      <c r="V18" t="s">
        <v>1190</v>
      </c>
      <c r="W18" t="s">
        <v>1191</v>
      </c>
    </row>
    <row r="19" spans="6:23" x14ac:dyDescent="0.25">
      <c r="T19" t="s">
        <v>1024</v>
      </c>
      <c r="U19" t="s">
        <v>1154</v>
      </c>
      <c r="V19" t="s">
        <v>1192</v>
      </c>
      <c r="W19" t="s">
        <v>1193</v>
      </c>
    </row>
    <row r="20" spans="6:23" x14ac:dyDescent="0.25">
      <c r="T20" t="s">
        <v>1024</v>
      </c>
      <c r="U20" t="s">
        <v>1154</v>
      </c>
      <c r="V20" t="s">
        <v>1194</v>
      </c>
      <c r="W20" t="s">
        <v>1195</v>
      </c>
    </row>
    <row r="21" spans="6:23" x14ac:dyDescent="0.25">
      <c r="T21" t="s">
        <v>1024</v>
      </c>
      <c r="U21" t="s">
        <v>1154</v>
      </c>
      <c r="V21" t="s">
        <v>1196</v>
      </c>
      <c r="W21" t="s">
        <v>1197</v>
      </c>
    </row>
    <row r="22" spans="6:23" x14ac:dyDescent="0.25">
      <c r="T22" t="s">
        <v>1024</v>
      </c>
      <c r="U22" t="s">
        <v>1154</v>
      </c>
      <c r="V22" t="s">
        <v>1198</v>
      </c>
      <c r="W22" t="s">
        <v>1199</v>
      </c>
    </row>
    <row r="23" spans="6:23" x14ac:dyDescent="0.25">
      <c r="T23" t="s">
        <v>1024</v>
      </c>
      <c r="U23" t="s">
        <v>1154</v>
      </c>
      <c r="V23" t="s">
        <v>1200</v>
      </c>
      <c r="W23" t="s">
        <v>1201</v>
      </c>
    </row>
    <row r="24" spans="6:23" x14ac:dyDescent="0.25">
      <c r="T24" t="s">
        <v>1024</v>
      </c>
      <c r="U24" t="s">
        <v>1154</v>
      </c>
      <c r="V24" t="s">
        <v>1202</v>
      </c>
      <c r="W24" t="s">
        <v>1203</v>
      </c>
    </row>
    <row r="25" spans="6:23" x14ac:dyDescent="0.25">
      <c r="F25" s="41"/>
      <c r="T25" t="s">
        <v>1024</v>
      </c>
      <c r="U25" t="s">
        <v>1154</v>
      </c>
      <c r="V25" t="s">
        <v>1204</v>
      </c>
      <c r="W25" t="s">
        <v>1205</v>
      </c>
    </row>
    <row r="26" spans="6:23" x14ac:dyDescent="0.25">
      <c r="T26" t="s">
        <v>1024</v>
      </c>
      <c r="U26" t="s">
        <v>1154</v>
      </c>
      <c r="V26" t="s">
        <v>1206</v>
      </c>
      <c r="W26" t="s">
        <v>1207</v>
      </c>
    </row>
    <row r="27" spans="6:23" x14ac:dyDescent="0.25">
      <c r="T27" t="s">
        <v>1024</v>
      </c>
      <c r="U27" t="s">
        <v>1154</v>
      </c>
      <c r="V27" t="s">
        <v>1208</v>
      </c>
      <c r="W27" t="s">
        <v>1209</v>
      </c>
    </row>
    <row r="28" spans="6:23" x14ac:dyDescent="0.25">
      <c r="T28" t="s">
        <v>1024</v>
      </c>
      <c r="U28" t="s">
        <v>1154</v>
      </c>
      <c r="V28" t="s">
        <v>1210</v>
      </c>
      <c r="W28" t="s">
        <v>1211</v>
      </c>
    </row>
    <row r="29" spans="6:23" x14ac:dyDescent="0.25">
      <c r="T29" t="s">
        <v>1024</v>
      </c>
      <c r="U29" t="s">
        <v>1154</v>
      </c>
      <c r="V29" t="s">
        <v>1212</v>
      </c>
      <c r="W29" t="s">
        <v>612</v>
      </c>
    </row>
    <row r="30" spans="6:23" x14ac:dyDescent="0.25">
      <c r="T30" t="s">
        <v>1024</v>
      </c>
      <c r="U30" t="s">
        <v>1154</v>
      </c>
      <c r="V30" t="s">
        <v>1213</v>
      </c>
      <c r="W30" t="s">
        <v>1214</v>
      </c>
    </row>
    <row r="31" spans="6:23" x14ac:dyDescent="0.25">
      <c r="T31" t="s">
        <v>1024</v>
      </c>
      <c r="U31" t="s">
        <v>1154</v>
      </c>
      <c r="V31" t="s">
        <v>1215</v>
      </c>
      <c r="W31" t="s">
        <v>1216</v>
      </c>
    </row>
    <row r="32" spans="6:23" x14ac:dyDescent="0.25">
      <c r="T32" t="s">
        <v>1024</v>
      </c>
      <c r="U32" t="s">
        <v>1154</v>
      </c>
      <c r="V32" t="s">
        <v>1217</v>
      </c>
      <c r="W32" t="s">
        <v>1218</v>
      </c>
    </row>
    <row r="33" spans="20:23" x14ac:dyDescent="0.25">
      <c r="T33" t="s">
        <v>1024</v>
      </c>
      <c r="U33" t="s">
        <v>1154</v>
      </c>
      <c r="V33" t="s">
        <v>1219</v>
      </c>
      <c r="W33" t="s">
        <v>1220</v>
      </c>
    </row>
    <row r="34" spans="20:23" x14ac:dyDescent="0.25">
      <c r="T34" t="s">
        <v>1024</v>
      </c>
      <c r="U34" t="s">
        <v>1154</v>
      </c>
      <c r="V34" t="s">
        <v>1221</v>
      </c>
      <c r="W34" t="s">
        <v>1222</v>
      </c>
    </row>
    <row r="35" spans="20:23" x14ac:dyDescent="0.25">
      <c r="T35" t="s">
        <v>1024</v>
      </c>
      <c r="U35" t="s">
        <v>1154</v>
      </c>
      <c r="V35" t="s">
        <v>1223</v>
      </c>
      <c r="W35" t="s">
        <v>1224</v>
      </c>
    </row>
    <row r="36" spans="20:23" x14ac:dyDescent="0.25">
      <c r="T36" t="s">
        <v>1024</v>
      </c>
      <c r="U36" t="s">
        <v>1154</v>
      </c>
      <c r="V36" t="s">
        <v>1225</v>
      </c>
      <c r="W36" t="s">
        <v>1226</v>
      </c>
    </row>
    <row r="37" spans="20:23" x14ac:dyDescent="0.25">
      <c r="T37" t="s">
        <v>1024</v>
      </c>
      <c r="U37" t="s">
        <v>1154</v>
      </c>
      <c r="V37" t="s">
        <v>1227</v>
      </c>
      <c r="W37" t="s">
        <v>1228</v>
      </c>
    </row>
    <row r="38" spans="20:23" x14ac:dyDescent="0.25">
      <c r="T38" t="s">
        <v>1024</v>
      </c>
      <c r="U38" t="s">
        <v>1154</v>
      </c>
      <c r="V38" t="s">
        <v>1229</v>
      </c>
      <c r="W38" t="s">
        <v>1230</v>
      </c>
    </row>
    <row r="39" spans="20:23" x14ac:dyDescent="0.25">
      <c r="T39" t="s">
        <v>1024</v>
      </c>
      <c r="U39" t="s">
        <v>1154</v>
      </c>
      <c r="V39" t="s">
        <v>1231</v>
      </c>
      <c r="W39" t="s">
        <v>1232</v>
      </c>
    </row>
    <row r="40" spans="20:23" x14ac:dyDescent="0.25">
      <c r="T40" t="s">
        <v>1024</v>
      </c>
      <c r="U40" t="s">
        <v>1154</v>
      </c>
      <c r="V40" t="s">
        <v>1233</v>
      </c>
      <c r="W40" t="s">
        <v>1234</v>
      </c>
    </row>
    <row r="41" spans="20:23" x14ac:dyDescent="0.25">
      <c r="T41" t="s">
        <v>1024</v>
      </c>
      <c r="U41" t="s">
        <v>1154</v>
      </c>
      <c r="V41" t="s">
        <v>1235</v>
      </c>
      <c r="W41" t="s">
        <v>1236</v>
      </c>
    </row>
    <row r="42" spans="20:23" x14ac:dyDescent="0.25">
      <c r="T42" t="s">
        <v>1024</v>
      </c>
      <c r="U42" t="s">
        <v>1154</v>
      </c>
      <c r="V42" t="s">
        <v>1237</v>
      </c>
      <c r="W42" t="s">
        <v>1238</v>
      </c>
    </row>
    <row r="43" spans="20:23" x14ac:dyDescent="0.25">
      <c r="T43" t="s">
        <v>1024</v>
      </c>
      <c r="U43" t="s">
        <v>1154</v>
      </c>
      <c r="V43" t="s">
        <v>1239</v>
      </c>
      <c r="W43" t="s">
        <v>1240</v>
      </c>
    </row>
    <row r="44" spans="20:23" x14ac:dyDescent="0.25">
      <c r="T44" t="s">
        <v>1024</v>
      </c>
      <c r="U44" t="s">
        <v>1154</v>
      </c>
      <c r="V44" t="s">
        <v>1241</v>
      </c>
      <c r="W44" t="s">
        <v>1242</v>
      </c>
    </row>
    <row r="45" spans="20:23" x14ac:dyDescent="0.25">
      <c r="T45" t="s">
        <v>1024</v>
      </c>
      <c r="U45" t="s">
        <v>1154</v>
      </c>
      <c r="V45" t="s">
        <v>1243</v>
      </c>
      <c r="W45" t="s">
        <v>1244</v>
      </c>
    </row>
    <row r="46" spans="20:23" x14ac:dyDescent="0.25">
      <c r="T46" t="s">
        <v>1024</v>
      </c>
      <c r="U46" t="s">
        <v>1154</v>
      </c>
      <c r="V46" t="s">
        <v>1245</v>
      </c>
      <c r="W46" t="s">
        <v>1246</v>
      </c>
    </row>
    <row r="47" spans="20:23" x14ac:dyDescent="0.25">
      <c r="T47" t="s">
        <v>1024</v>
      </c>
      <c r="U47" t="s">
        <v>1154</v>
      </c>
      <c r="V47" t="s">
        <v>1247</v>
      </c>
      <c r="W47" t="s">
        <v>1248</v>
      </c>
    </row>
    <row r="48" spans="20:23" x14ac:dyDescent="0.25">
      <c r="T48" t="s">
        <v>1024</v>
      </c>
      <c r="U48" t="s">
        <v>1154</v>
      </c>
      <c r="V48" t="s">
        <v>1249</v>
      </c>
      <c r="W48" t="s">
        <v>1250</v>
      </c>
    </row>
    <row r="49" spans="20:23" x14ac:dyDescent="0.25">
      <c r="T49" t="s">
        <v>1024</v>
      </c>
      <c r="U49" t="s">
        <v>1154</v>
      </c>
      <c r="V49" t="s">
        <v>1251</v>
      </c>
      <c r="W49" t="s">
        <v>1252</v>
      </c>
    </row>
    <row r="50" spans="20:23" x14ac:dyDescent="0.25">
      <c r="T50" t="s">
        <v>1024</v>
      </c>
      <c r="U50" t="s">
        <v>1154</v>
      </c>
      <c r="V50" t="s">
        <v>1253</v>
      </c>
      <c r="W50" t="s">
        <v>1254</v>
      </c>
    </row>
    <row r="51" spans="20:23" x14ac:dyDescent="0.25">
      <c r="T51" t="s">
        <v>1024</v>
      </c>
      <c r="U51" t="s">
        <v>1154</v>
      </c>
      <c r="V51" t="s">
        <v>1255</v>
      </c>
      <c r="W51" t="s">
        <v>1256</v>
      </c>
    </row>
    <row r="52" spans="20:23" x14ac:dyDescent="0.25">
      <c r="T52" t="s">
        <v>1024</v>
      </c>
      <c r="U52" t="s">
        <v>1154</v>
      </c>
      <c r="V52" t="s">
        <v>1257</v>
      </c>
      <c r="W52" t="s">
        <v>1258</v>
      </c>
    </row>
    <row r="53" spans="20:23" x14ac:dyDescent="0.25">
      <c r="T53" t="s">
        <v>1024</v>
      </c>
      <c r="U53" t="s">
        <v>1154</v>
      </c>
      <c r="V53" t="s">
        <v>1259</v>
      </c>
      <c r="W53" t="s">
        <v>1260</v>
      </c>
    </row>
    <row r="54" spans="20:23" x14ac:dyDescent="0.25">
      <c r="T54" t="s">
        <v>1024</v>
      </c>
      <c r="U54" t="s">
        <v>1154</v>
      </c>
      <c r="V54" t="s">
        <v>1261</v>
      </c>
      <c r="W54" t="s">
        <v>1262</v>
      </c>
    </row>
    <row r="55" spans="20:23" x14ac:dyDescent="0.25">
      <c r="T55" t="s">
        <v>1024</v>
      </c>
      <c r="U55" t="s">
        <v>1154</v>
      </c>
      <c r="V55" t="s">
        <v>1263</v>
      </c>
      <c r="W55" t="s">
        <v>1264</v>
      </c>
    </row>
    <row r="56" spans="20:23" x14ac:dyDescent="0.25">
      <c r="T56" t="s">
        <v>1024</v>
      </c>
      <c r="U56" t="s">
        <v>1154</v>
      </c>
      <c r="V56" t="s">
        <v>1265</v>
      </c>
      <c r="W56" t="s">
        <v>1266</v>
      </c>
    </row>
    <row r="57" spans="20:23" x14ac:dyDescent="0.25">
      <c r="T57" t="s">
        <v>1024</v>
      </c>
      <c r="U57" t="s">
        <v>1154</v>
      </c>
      <c r="V57" t="s">
        <v>1267</v>
      </c>
      <c r="W57" t="s">
        <v>1268</v>
      </c>
    </row>
    <row r="58" spans="20:23" x14ac:dyDescent="0.25">
      <c r="T58" t="s">
        <v>1024</v>
      </c>
      <c r="U58" t="s">
        <v>1154</v>
      </c>
      <c r="V58" t="s">
        <v>1269</v>
      </c>
      <c r="W58" t="s">
        <v>1270</v>
      </c>
    </row>
    <row r="59" spans="20:23" x14ac:dyDescent="0.25">
      <c r="T59" t="s">
        <v>1024</v>
      </c>
      <c r="U59" t="s">
        <v>1154</v>
      </c>
      <c r="V59" t="s">
        <v>1271</v>
      </c>
      <c r="W59" t="s">
        <v>1272</v>
      </c>
    </row>
    <row r="60" spans="20:23" x14ac:dyDescent="0.25">
      <c r="T60" t="s">
        <v>1024</v>
      </c>
      <c r="U60" t="s">
        <v>1154</v>
      </c>
      <c r="V60" t="s">
        <v>1273</v>
      </c>
      <c r="W60" t="s">
        <v>1274</v>
      </c>
    </row>
    <row r="61" spans="20:23" x14ac:dyDescent="0.25">
      <c r="T61" t="s">
        <v>1024</v>
      </c>
      <c r="U61" t="s">
        <v>1154</v>
      </c>
      <c r="V61" t="s">
        <v>1275</v>
      </c>
      <c r="W61" t="s">
        <v>1276</v>
      </c>
    </row>
    <row r="62" spans="20:23" x14ac:dyDescent="0.25">
      <c r="T62" t="s">
        <v>1024</v>
      </c>
      <c r="U62" t="s">
        <v>1154</v>
      </c>
      <c r="V62" t="s">
        <v>1277</v>
      </c>
      <c r="W62" t="s">
        <v>1278</v>
      </c>
    </row>
    <row r="63" spans="20:23" x14ac:dyDescent="0.25">
      <c r="T63" t="s">
        <v>1024</v>
      </c>
      <c r="U63" t="s">
        <v>1154</v>
      </c>
      <c r="V63" t="s">
        <v>1279</v>
      </c>
      <c r="W63" t="s">
        <v>1280</v>
      </c>
    </row>
    <row r="64" spans="20:23" x14ac:dyDescent="0.25">
      <c r="T64" t="s">
        <v>1024</v>
      </c>
      <c r="U64" t="s">
        <v>1154</v>
      </c>
      <c r="V64" t="s">
        <v>1281</v>
      </c>
      <c r="W64" t="s">
        <v>1282</v>
      </c>
    </row>
    <row r="65" spans="20:23" x14ac:dyDescent="0.25">
      <c r="T65" t="s">
        <v>1024</v>
      </c>
      <c r="U65" t="s">
        <v>1154</v>
      </c>
      <c r="V65" t="s">
        <v>1283</v>
      </c>
      <c r="W65" t="s">
        <v>1284</v>
      </c>
    </row>
    <row r="66" spans="20:23" x14ac:dyDescent="0.25">
      <c r="T66" t="s">
        <v>1024</v>
      </c>
      <c r="U66" t="s">
        <v>1154</v>
      </c>
      <c r="V66" t="s">
        <v>1285</v>
      </c>
      <c r="W66" t="s">
        <v>1286</v>
      </c>
    </row>
    <row r="67" spans="20:23" x14ac:dyDescent="0.25">
      <c r="T67" t="s">
        <v>1024</v>
      </c>
      <c r="U67" t="s">
        <v>1154</v>
      </c>
      <c r="V67" t="s">
        <v>1287</v>
      </c>
      <c r="W67" t="s">
        <v>1288</v>
      </c>
    </row>
    <row r="68" spans="20:23" x14ac:dyDescent="0.25">
      <c r="T68" t="s">
        <v>1024</v>
      </c>
      <c r="U68" t="s">
        <v>1154</v>
      </c>
      <c r="V68" t="s">
        <v>1289</v>
      </c>
      <c r="W68" t="s">
        <v>1290</v>
      </c>
    </row>
    <row r="69" spans="20:23" x14ac:dyDescent="0.25">
      <c r="T69" t="s">
        <v>1024</v>
      </c>
      <c r="U69" t="s">
        <v>1154</v>
      </c>
      <c r="V69" t="s">
        <v>1291</v>
      </c>
      <c r="W69" t="s">
        <v>1292</v>
      </c>
    </row>
    <row r="70" spans="20:23" x14ac:dyDescent="0.25">
      <c r="T70" t="s">
        <v>1024</v>
      </c>
      <c r="U70" t="s">
        <v>1154</v>
      </c>
      <c r="V70" t="s">
        <v>1293</v>
      </c>
      <c r="W70" t="s">
        <v>1294</v>
      </c>
    </row>
    <row r="71" spans="20:23" x14ac:dyDescent="0.25">
      <c r="T71" t="s">
        <v>1024</v>
      </c>
      <c r="U71" t="s">
        <v>1154</v>
      </c>
      <c r="V71" t="s">
        <v>1295</v>
      </c>
      <c r="W71" t="s">
        <v>1296</v>
      </c>
    </row>
    <row r="72" spans="20:23" x14ac:dyDescent="0.25">
      <c r="T72" t="s">
        <v>1024</v>
      </c>
      <c r="U72" t="s">
        <v>1154</v>
      </c>
      <c r="V72" t="s">
        <v>1297</v>
      </c>
      <c r="W72" t="s">
        <v>1298</v>
      </c>
    </row>
    <row r="73" spans="20:23" x14ac:dyDescent="0.25">
      <c r="T73" t="s">
        <v>1024</v>
      </c>
      <c r="U73" t="s">
        <v>1154</v>
      </c>
      <c r="V73" t="s">
        <v>1299</v>
      </c>
      <c r="W73" t="s">
        <v>1300</v>
      </c>
    </row>
    <row r="74" spans="20:23" x14ac:dyDescent="0.25">
      <c r="T74" t="s">
        <v>1024</v>
      </c>
      <c r="U74" t="s">
        <v>1154</v>
      </c>
      <c r="V74" t="s">
        <v>1301</v>
      </c>
      <c r="W74" t="s">
        <v>1302</v>
      </c>
    </row>
    <row r="75" spans="20:23" x14ac:dyDescent="0.25">
      <c r="T75" t="s">
        <v>1024</v>
      </c>
      <c r="U75" t="s">
        <v>1154</v>
      </c>
      <c r="V75" t="s">
        <v>1303</v>
      </c>
      <c r="W75" t="s">
        <v>1304</v>
      </c>
    </row>
    <row r="76" spans="20:23" x14ac:dyDescent="0.25">
      <c r="T76" t="s">
        <v>1024</v>
      </c>
      <c r="U76" t="s">
        <v>1154</v>
      </c>
      <c r="V76" t="s">
        <v>1305</v>
      </c>
      <c r="W76" t="s">
        <v>1306</v>
      </c>
    </row>
    <row r="77" spans="20:23" x14ac:dyDescent="0.25">
      <c r="T77" t="s">
        <v>1024</v>
      </c>
      <c r="U77" t="s">
        <v>1154</v>
      </c>
      <c r="V77" t="s">
        <v>1307</v>
      </c>
      <c r="W77" t="s">
        <v>1308</v>
      </c>
    </row>
    <row r="78" spans="20:23" x14ac:dyDescent="0.25">
      <c r="T78" t="s">
        <v>1024</v>
      </c>
      <c r="U78" t="s">
        <v>1154</v>
      </c>
      <c r="V78" t="s">
        <v>1309</v>
      </c>
      <c r="W78" t="s">
        <v>1310</v>
      </c>
    </row>
    <row r="79" spans="20:23" x14ac:dyDescent="0.25">
      <c r="T79" t="s">
        <v>1024</v>
      </c>
      <c r="U79" t="s">
        <v>1154</v>
      </c>
      <c r="V79" t="s">
        <v>1311</v>
      </c>
      <c r="W79" t="s">
        <v>1312</v>
      </c>
    </row>
    <row r="80" spans="20:23" x14ac:dyDescent="0.25">
      <c r="T80" t="s">
        <v>1024</v>
      </c>
      <c r="U80" t="s">
        <v>1154</v>
      </c>
      <c r="V80" t="s">
        <v>1313</v>
      </c>
      <c r="W80" t="s">
        <v>1314</v>
      </c>
    </row>
    <row r="81" spans="20:23" x14ac:dyDescent="0.25">
      <c r="T81" t="s">
        <v>1024</v>
      </c>
      <c r="U81" t="s">
        <v>1154</v>
      </c>
      <c r="V81" t="s">
        <v>1315</v>
      </c>
      <c r="W81" t="s">
        <v>1316</v>
      </c>
    </row>
    <row r="82" spans="20:23" x14ac:dyDescent="0.25">
      <c r="T82" t="s">
        <v>1024</v>
      </c>
      <c r="U82" t="s">
        <v>1154</v>
      </c>
      <c r="V82" t="s">
        <v>1317</v>
      </c>
      <c r="W82" t="s">
        <v>1318</v>
      </c>
    </row>
    <row r="83" spans="20:23" x14ac:dyDescent="0.25">
      <c r="T83" t="s">
        <v>1024</v>
      </c>
      <c r="U83" t="s">
        <v>1154</v>
      </c>
      <c r="V83" t="s">
        <v>1319</v>
      </c>
      <c r="W83" t="s">
        <v>1320</v>
      </c>
    </row>
    <row r="84" spans="20:23" x14ac:dyDescent="0.25">
      <c r="T84" t="s">
        <v>1024</v>
      </c>
      <c r="U84" t="s">
        <v>1154</v>
      </c>
      <c r="V84" t="s">
        <v>1321</v>
      </c>
      <c r="W84" t="s">
        <v>1322</v>
      </c>
    </row>
    <row r="85" spans="20:23" x14ac:dyDescent="0.25">
      <c r="T85" t="s">
        <v>1024</v>
      </c>
      <c r="U85" t="s">
        <v>1154</v>
      </c>
      <c r="V85" t="s">
        <v>1323</v>
      </c>
      <c r="W85" t="s">
        <v>1324</v>
      </c>
    </row>
    <row r="86" spans="20:23" x14ac:dyDescent="0.25">
      <c r="T86" t="s">
        <v>1024</v>
      </c>
      <c r="U86" t="s">
        <v>1154</v>
      </c>
      <c r="V86" t="s">
        <v>1325</v>
      </c>
      <c r="W86" t="s">
        <v>1326</v>
      </c>
    </row>
    <row r="87" spans="20:23" x14ac:dyDescent="0.25">
      <c r="T87" t="s">
        <v>1024</v>
      </c>
      <c r="U87" t="s">
        <v>1154</v>
      </c>
      <c r="V87" t="s">
        <v>1327</v>
      </c>
      <c r="W87" t="s">
        <v>1328</v>
      </c>
    </row>
    <row r="88" spans="20:23" x14ac:dyDescent="0.25">
      <c r="T88" t="s">
        <v>1024</v>
      </c>
      <c r="U88" t="s">
        <v>1154</v>
      </c>
      <c r="V88" t="s">
        <v>1329</v>
      </c>
      <c r="W88" t="s">
        <v>1330</v>
      </c>
    </row>
    <row r="89" spans="20:23" x14ac:dyDescent="0.25">
      <c r="T89" t="s">
        <v>1024</v>
      </c>
      <c r="U89" t="s">
        <v>1154</v>
      </c>
      <c r="V89" t="s">
        <v>1331</v>
      </c>
      <c r="W89" t="s">
        <v>1332</v>
      </c>
    </row>
    <row r="90" spans="20:23" x14ac:dyDescent="0.25">
      <c r="T90" t="s">
        <v>1024</v>
      </c>
      <c r="U90" t="s">
        <v>1154</v>
      </c>
      <c r="V90" t="s">
        <v>1333</v>
      </c>
      <c r="W90" t="s">
        <v>1334</v>
      </c>
    </row>
    <row r="91" spans="20:23" x14ac:dyDescent="0.25">
      <c r="T91" t="s">
        <v>1024</v>
      </c>
      <c r="U91" t="s">
        <v>1154</v>
      </c>
      <c r="V91" t="s">
        <v>1153</v>
      </c>
      <c r="W91" t="s">
        <v>1153</v>
      </c>
    </row>
    <row r="92" spans="20:23" x14ac:dyDescent="0.25">
      <c r="T92" t="s">
        <v>1156</v>
      </c>
      <c r="U92" t="s">
        <v>1157</v>
      </c>
      <c r="V92" t="s">
        <v>1335</v>
      </c>
      <c r="W92" t="s">
        <v>1336</v>
      </c>
    </row>
    <row r="93" spans="20:23" x14ac:dyDescent="0.25">
      <c r="T93" t="s">
        <v>1156</v>
      </c>
      <c r="U93" t="s">
        <v>1157</v>
      </c>
      <c r="V93" t="s">
        <v>1337</v>
      </c>
      <c r="W93" t="s">
        <v>1338</v>
      </c>
    </row>
    <row r="94" spans="20:23" x14ac:dyDescent="0.25">
      <c r="T94" t="s">
        <v>1156</v>
      </c>
      <c r="U94" t="s">
        <v>1157</v>
      </c>
      <c r="V94" t="s">
        <v>1339</v>
      </c>
      <c r="W94" t="s">
        <v>1340</v>
      </c>
    </row>
    <row r="95" spans="20:23" x14ac:dyDescent="0.25">
      <c r="T95" t="s">
        <v>1156</v>
      </c>
      <c r="U95" t="s">
        <v>1157</v>
      </c>
      <c r="V95" t="s">
        <v>1341</v>
      </c>
      <c r="W95" t="s">
        <v>1342</v>
      </c>
    </row>
    <row r="96" spans="20:23" x14ac:dyDescent="0.25">
      <c r="T96" t="s">
        <v>1156</v>
      </c>
      <c r="U96" t="s">
        <v>1157</v>
      </c>
      <c r="V96" t="s">
        <v>1343</v>
      </c>
      <c r="W96" t="s">
        <v>1344</v>
      </c>
    </row>
    <row r="97" spans="20:23" x14ac:dyDescent="0.25">
      <c r="T97" t="s">
        <v>1156</v>
      </c>
      <c r="U97" t="s">
        <v>1157</v>
      </c>
      <c r="V97" t="s">
        <v>1345</v>
      </c>
      <c r="W97" t="s">
        <v>1346</v>
      </c>
    </row>
    <row r="98" spans="20:23" x14ac:dyDescent="0.25">
      <c r="T98" t="s">
        <v>1156</v>
      </c>
      <c r="U98" t="s">
        <v>1157</v>
      </c>
      <c r="V98" t="s">
        <v>1347</v>
      </c>
      <c r="W98" t="s">
        <v>1348</v>
      </c>
    </row>
    <row r="99" spans="20:23" x14ac:dyDescent="0.25">
      <c r="T99" t="s">
        <v>1156</v>
      </c>
      <c r="U99" t="s">
        <v>1157</v>
      </c>
      <c r="V99" t="s">
        <v>1349</v>
      </c>
      <c r="W99" t="s">
        <v>1350</v>
      </c>
    </row>
    <row r="100" spans="20:23" x14ac:dyDescent="0.25">
      <c r="T100" t="s">
        <v>1156</v>
      </c>
      <c r="U100" t="s">
        <v>1157</v>
      </c>
      <c r="V100" t="s">
        <v>1351</v>
      </c>
      <c r="W100" t="s">
        <v>1352</v>
      </c>
    </row>
    <row r="101" spans="20:23" x14ac:dyDescent="0.25">
      <c r="T101" t="s">
        <v>1156</v>
      </c>
      <c r="U101" t="s">
        <v>1157</v>
      </c>
      <c r="V101" t="s">
        <v>1353</v>
      </c>
      <c r="W101" t="s">
        <v>1354</v>
      </c>
    </row>
    <row r="102" spans="20:23" x14ac:dyDescent="0.25">
      <c r="T102" t="s">
        <v>1156</v>
      </c>
      <c r="U102" t="s">
        <v>1157</v>
      </c>
      <c r="V102" t="s">
        <v>1355</v>
      </c>
      <c r="W102" t="s">
        <v>1356</v>
      </c>
    </row>
    <row r="103" spans="20:23" x14ac:dyDescent="0.25">
      <c r="T103" t="s">
        <v>1156</v>
      </c>
      <c r="U103" t="s">
        <v>1157</v>
      </c>
      <c r="V103" t="s">
        <v>1357</v>
      </c>
      <c r="W103" t="s">
        <v>1358</v>
      </c>
    </row>
    <row r="104" spans="20:23" x14ac:dyDescent="0.25">
      <c r="T104" t="s">
        <v>1156</v>
      </c>
      <c r="U104" t="s">
        <v>1157</v>
      </c>
      <c r="V104" t="s">
        <v>1359</v>
      </c>
      <c r="W104" t="s">
        <v>1360</v>
      </c>
    </row>
    <row r="105" spans="20:23" x14ac:dyDescent="0.25">
      <c r="T105" t="s">
        <v>1156</v>
      </c>
      <c r="U105" t="s">
        <v>1157</v>
      </c>
      <c r="V105" t="s">
        <v>1361</v>
      </c>
      <c r="W105" t="s">
        <v>1362</v>
      </c>
    </row>
    <row r="106" spans="20:23" x14ac:dyDescent="0.25">
      <c r="T106" t="s">
        <v>1156</v>
      </c>
      <c r="U106" t="s">
        <v>1157</v>
      </c>
      <c r="V106" t="s">
        <v>1363</v>
      </c>
      <c r="W106" t="s">
        <v>1364</v>
      </c>
    </row>
    <row r="107" spans="20:23" x14ac:dyDescent="0.25">
      <c r="T107" t="s">
        <v>1156</v>
      </c>
      <c r="U107" t="s">
        <v>1157</v>
      </c>
      <c r="V107" t="s">
        <v>1365</v>
      </c>
      <c r="W107" t="s">
        <v>1366</v>
      </c>
    </row>
    <row r="108" spans="20:23" x14ac:dyDescent="0.25">
      <c r="T108" t="s">
        <v>1156</v>
      </c>
      <c r="U108" t="s">
        <v>1157</v>
      </c>
      <c r="V108" t="s">
        <v>1367</v>
      </c>
      <c r="W108" t="s">
        <v>1368</v>
      </c>
    </row>
    <row r="109" spans="20:23" x14ac:dyDescent="0.25">
      <c r="T109" t="s">
        <v>1156</v>
      </c>
      <c r="U109" t="s">
        <v>1157</v>
      </c>
      <c r="V109" t="s">
        <v>1369</v>
      </c>
      <c r="W109" t="s">
        <v>1370</v>
      </c>
    </row>
    <row r="110" spans="20:23" x14ac:dyDescent="0.25">
      <c r="T110" t="s">
        <v>1156</v>
      </c>
      <c r="U110" t="s">
        <v>1157</v>
      </c>
      <c r="V110" t="s">
        <v>1371</v>
      </c>
      <c r="W110" t="s">
        <v>1372</v>
      </c>
    </row>
    <row r="111" spans="20:23" x14ac:dyDescent="0.25">
      <c r="T111" t="s">
        <v>1156</v>
      </c>
      <c r="U111" t="s">
        <v>1157</v>
      </c>
      <c r="V111" t="s">
        <v>1373</v>
      </c>
      <c r="W111" t="s">
        <v>1374</v>
      </c>
    </row>
  </sheetData>
  <pageMargins left="0.7" right="0.7" top="0.75" bottom="0.75" header="0.3" footer="0.3"/>
  <pageSetup orientation="portrait" r:id="rId1"/>
  <tableParts count="5">
    <tablePart r:id="rId2"/>
    <tablePart r:id="rId3"/>
    <tablePart r:id="rId4"/>
    <tablePart r:id="rId5"/>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7"/>
  <sheetViews>
    <sheetView workbookViewId="0">
      <selection activeCell="A7" sqref="A7"/>
    </sheetView>
  </sheetViews>
  <sheetFormatPr baseColWidth="10" defaultRowHeight="15" x14ac:dyDescent="0.25"/>
  <sheetData>
    <row r="1" spans="1:1" x14ac:dyDescent="0.25">
      <c r="A1" t="str">
        <f>DAY(FECHAORIGEN)&amp;"-"&amp;MONTH(FECHAORIGEN)&amp;"-"&amp;YEAR(FECHAORIGEN)</f>
        <v>14-10-2016</v>
      </c>
    </row>
    <row r="2" spans="1:1" x14ac:dyDescent="0.25">
      <c r="A2" t="str">
        <f ca="1">CELL("nombrearchivo",A1)</f>
        <v>D:\Documents RAMCAS\RAM CAS\MEJORA CONTINUA\CONTROL DE BUFFERS\TRANSFERENCIAS\[PATRON TRANSFERENCIAS.xlsm]DATOS</v>
      </c>
    </row>
    <row r="3" spans="1:1" x14ac:dyDescent="0.25">
      <c r="A3" t="str">
        <f ca="1">LEFT(SUBSTITUTE(SUBSTITUTE(A2,"[",""),"]",""),FIND("xlsm",SUBSTITUTE(SUBSTITUTE(A2,"[",""),"]",""),1)+3)</f>
        <v>D:\Documents RAMCAS\RAM CAS\MEJORA CONTINUA\CONTROL DE BUFFERS\TRANSFERENCIAS\PATRON TRANSFERENCIAS.xlsm</v>
      </c>
    </row>
    <row r="6" spans="1:1" x14ac:dyDescent="0.25">
      <c r="A6" t="s">
        <v>30</v>
      </c>
    </row>
    <row r="7" spans="1:1" x14ac:dyDescent="0.25">
      <c r="A7" t="s">
        <v>1378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U13"/>
  <sheetViews>
    <sheetView workbookViewId="0">
      <selection sqref="A1:U13"/>
    </sheetView>
  </sheetViews>
  <sheetFormatPr baseColWidth="10" defaultRowHeight="15" x14ac:dyDescent="0.25"/>
  <sheetData>
    <row r="1" spans="1:21" x14ac:dyDescent="0.25">
      <c r="A1" t="s">
        <v>4</v>
      </c>
      <c r="B1" t="s">
        <v>5</v>
      </c>
      <c r="C1" t="s">
        <v>6</v>
      </c>
      <c r="D1" t="s">
        <v>7</v>
      </c>
      <c r="E1" t="s">
        <v>16</v>
      </c>
      <c r="F1" t="s">
        <v>18</v>
      </c>
      <c r="G1" t="s">
        <v>19</v>
      </c>
      <c r="H1" t="s">
        <v>8</v>
      </c>
      <c r="I1" t="s">
        <v>9</v>
      </c>
      <c r="J1" t="s">
        <v>10</v>
      </c>
      <c r="K1" t="s">
        <v>37</v>
      </c>
      <c r="L1" t="s">
        <v>38</v>
      </c>
      <c r="M1" t="s">
        <v>11</v>
      </c>
      <c r="N1" t="s">
        <v>17</v>
      </c>
      <c r="O1" t="s">
        <v>13</v>
      </c>
      <c r="P1" t="s">
        <v>14</v>
      </c>
      <c r="Q1" t="s">
        <v>15</v>
      </c>
      <c r="R1" t="s">
        <v>20</v>
      </c>
      <c r="S1" t="s">
        <v>21</v>
      </c>
      <c r="T1" t="s">
        <v>22</v>
      </c>
      <c r="U1" t="s">
        <v>844</v>
      </c>
    </row>
    <row r="2" spans="1:21" x14ac:dyDescent="0.25">
      <c r="A2" t="s">
        <v>854</v>
      </c>
      <c r="B2" t="s">
        <v>855</v>
      </c>
      <c r="C2" t="s">
        <v>856</v>
      </c>
      <c r="D2" t="s">
        <v>852</v>
      </c>
      <c r="E2">
        <v>68</v>
      </c>
      <c r="F2">
        <v>306.59879999999998</v>
      </c>
      <c r="G2">
        <v>764</v>
      </c>
      <c r="H2">
        <v>150</v>
      </c>
      <c r="I2">
        <v>0.93</v>
      </c>
      <c r="J2">
        <v>1.49</v>
      </c>
      <c r="K2">
        <v>0</v>
      </c>
      <c r="L2">
        <v>0.89371999999999996</v>
      </c>
      <c r="M2">
        <v>67</v>
      </c>
      <c r="N2">
        <v>67</v>
      </c>
      <c r="O2">
        <v>67</v>
      </c>
      <c r="P2">
        <v>67</v>
      </c>
      <c r="Q2">
        <v>0</v>
      </c>
      <c r="T2" t="s">
        <v>838</v>
      </c>
    </row>
    <row r="3" spans="1:21" x14ac:dyDescent="0.25">
      <c r="A3" t="s">
        <v>40</v>
      </c>
      <c r="B3" t="s">
        <v>857</v>
      </c>
      <c r="C3" t="s">
        <v>858</v>
      </c>
      <c r="D3" t="s">
        <v>852</v>
      </c>
      <c r="E3">
        <v>10</v>
      </c>
      <c r="F3">
        <v>229.81200000000001</v>
      </c>
      <c r="G3">
        <v>464</v>
      </c>
      <c r="H3">
        <v>20</v>
      </c>
      <c r="I3">
        <v>0.9</v>
      </c>
      <c r="J3">
        <v>0.73</v>
      </c>
      <c r="K3">
        <v>0</v>
      </c>
      <c r="L3">
        <v>0.46969699999999998</v>
      </c>
      <c r="M3">
        <v>7</v>
      </c>
      <c r="N3">
        <v>7</v>
      </c>
      <c r="O3">
        <v>7</v>
      </c>
      <c r="P3">
        <v>7</v>
      </c>
      <c r="Q3">
        <v>0</v>
      </c>
      <c r="T3" t="s">
        <v>838</v>
      </c>
    </row>
    <row r="4" spans="1:21" x14ac:dyDescent="0.25">
      <c r="A4" t="s">
        <v>859</v>
      </c>
      <c r="B4" t="s">
        <v>860</v>
      </c>
      <c r="C4" t="s">
        <v>858</v>
      </c>
      <c r="D4" t="s">
        <v>852</v>
      </c>
      <c r="E4">
        <v>8</v>
      </c>
      <c r="F4">
        <v>378.37759999999997</v>
      </c>
      <c r="G4">
        <v>780</v>
      </c>
      <c r="H4">
        <v>15</v>
      </c>
      <c r="I4">
        <v>0.87</v>
      </c>
      <c r="J4">
        <v>0.33</v>
      </c>
      <c r="K4">
        <v>0</v>
      </c>
      <c r="L4">
        <v>1</v>
      </c>
      <c r="M4">
        <v>5</v>
      </c>
      <c r="N4">
        <v>5</v>
      </c>
      <c r="O4">
        <v>5</v>
      </c>
      <c r="P4">
        <v>5</v>
      </c>
      <c r="Q4">
        <v>0</v>
      </c>
      <c r="T4" t="s">
        <v>838</v>
      </c>
    </row>
    <row r="5" spans="1:21" x14ac:dyDescent="0.25">
      <c r="A5" t="s">
        <v>39</v>
      </c>
      <c r="B5" t="s">
        <v>861</v>
      </c>
      <c r="C5" t="s">
        <v>856</v>
      </c>
      <c r="D5" t="s">
        <v>852</v>
      </c>
      <c r="E5">
        <v>290</v>
      </c>
      <c r="F5">
        <v>324.18680000000001</v>
      </c>
      <c r="G5">
        <v>795</v>
      </c>
      <c r="H5">
        <v>650</v>
      </c>
      <c r="I5">
        <v>0.78</v>
      </c>
      <c r="J5">
        <v>1.27</v>
      </c>
      <c r="K5">
        <v>0</v>
      </c>
      <c r="L5">
        <v>0.46803099999999997</v>
      </c>
      <c r="M5">
        <v>207</v>
      </c>
      <c r="N5">
        <v>207</v>
      </c>
      <c r="O5">
        <v>207</v>
      </c>
      <c r="P5">
        <v>207</v>
      </c>
      <c r="Q5">
        <v>0</v>
      </c>
      <c r="T5" t="s">
        <v>838</v>
      </c>
    </row>
    <row r="6" spans="1:21" x14ac:dyDescent="0.25">
      <c r="A6" t="s">
        <v>862</v>
      </c>
      <c r="B6" t="s">
        <v>863</v>
      </c>
      <c r="C6" t="s">
        <v>864</v>
      </c>
      <c r="D6" t="s">
        <v>852</v>
      </c>
      <c r="E6">
        <v>37</v>
      </c>
      <c r="F6">
        <v>372.49869999999999</v>
      </c>
      <c r="G6">
        <v>624</v>
      </c>
      <c r="H6">
        <v>80</v>
      </c>
      <c r="I6">
        <v>0.76</v>
      </c>
      <c r="J6">
        <v>0.19</v>
      </c>
      <c r="K6">
        <v>0</v>
      </c>
      <c r="L6">
        <v>0.52694600000000003</v>
      </c>
      <c r="M6">
        <v>31</v>
      </c>
      <c r="N6">
        <v>31</v>
      </c>
      <c r="O6">
        <v>31</v>
      </c>
      <c r="P6">
        <v>31</v>
      </c>
      <c r="Q6">
        <v>0</v>
      </c>
      <c r="T6" t="s">
        <v>838</v>
      </c>
    </row>
    <row r="7" spans="1:21" x14ac:dyDescent="0.25">
      <c r="A7" t="s">
        <v>865</v>
      </c>
      <c r="B7" t="s">
        <v>866</v>
      </c>
      <c r="C7" t="s">
        <v>853</v>
      </c>
      <c r="D7" t="s">
        <v>852</v>
      </c>
      <c r="E7">
        <v>17</v>
      </c>
      <c r="F7">
        <v>1.3399000000000001</v>
      </c>
      <c r="G7">
        <v>3.81</v>
      </c>
      <c r="H7">
        <v>36</v>
      </c>
      <c r="I7">
        <v>0.72</v>
      </c>
      <c r="J7">
        <v>1.75</v>
      </c>
      <c r="K7">
        <v>0</v>
      </c>
      <c r="L7">
        <v>0.94594599999999995</v>
      </c>
      <c r="M7">
        <v>11</v>
      </c>
      <c r="N7">
        <v>11</v>
      </c>
      <c r="O7">
        <v>11</v>
      </c>
      <c r="P7">
        <v>11</v>
      </c>
      <c r="Q7">
        <v>0</v>
      </c>
      <c r="T7" t="s">
        <v>838</v>
      </c>
    </row>
    <row r="8" spans="1:21" x14ac:dyDescent="0.25">
      <c r="A8" t="s">
        <v>41</v>
      </c>
      <c r="B8" t="s">
        <v>867</v>
      </c>
      <c r="C8" t="s">
        <v>868</v>
      </c>
      <c r="D8" t="s">
        <v>852</v>
      </c>
      <c r="E8">
        <v>48</v>
      </c>
      <c r="F8">
        <v>379.2577</v>
      </c>
      <c r="G8">
        <v>774</v>
      </c>
      <c r="H8">
        <v>105</v>
      </c>
      <c r="I8">
        <v>0.7</v>
      </c>
      <c r="J8">
        <v>0.83</v>
      </c>
      <c r="K8">
        <v>0</v>
      </c>
      <c r="L8">
        <v>0.31236900000000001</v>
      </c>
      <c r="M8">
        <v>6</v>
      </c>
      <c r="N8">
        <v>6</v>
      </c>
      <c r="O8">
        <v>6</v>
      </c>
      <c r="P8">
        <v>6</v>
      </c>
      <c r="Q8">
        <v>0</v>
      </c>
      <c r="T8" t="s">
        <v>838</v>
      </c>
    </row>
    <row r="9" spans="1:21" x14ac:dyDescent="0.25">
      <c r="A9" t="s">
        <v>869</v>
      </c>
      <c r="B9" t="s">
        <v>870</v>
      </c>
      <c r="C9" t="s">
        <v>871</v>
      </c>
      <c r="D9" t="s">
        <v>852</v>
      </c>
      <c r="E9">
        <v>2</v>
      </c>
      <c r="F9">
        <v>2.16</v>
      </c>
      <c r="G9">
        <v>4.13</v>
      </c>
      <c r="H9">
        <v>3</v>
      </c>
      <c r="I9">
        <v>0.67</v>
      </c>
      <c r="J9">
        <v>0.51</v>
      </c>
      <c r="K9">
        <v>0</v>
      </c>
      <c r="L9">
        <v>1</v>
      </c>
      <c r="M9">
        <v>2</v>
      </c>
      <c r="N9">
        <v>2</v>
      </c>
      <c r="O9">
        <v>2</v>
      </c>
      <c r="P9">
        <v>2</v>
      </c>
      <c r="Q9">
        <v>0</v>
      </c>
      <c r="T9" t="s">
        <v>838</v>
      </c>
    </row>
    <row r="10" spans="1:21" x14ac:dyDescent="0.25">
      <c r="A10" t="s">
        <v>872</v>
      </c>
      <c r="B10" t="s">
        <v>873</v>
      </c>
      <c r="C10" t="s">
        <v>853</v>
      </c>
      <c r="D10" t="s">
        <v>852</v>
      </c>
      <c r="E10">
        <v>10</v>
      </c>
      <c r="F10">
        <v>14.616899999999999</v>
      </c>
      <c r="G10">
        <v>35</v>
      </c>
      <c r="H10">
        <v>20</v>
      </c>
      <c r="I10">
        <v>0.6</v>
      </c>
      <c r="J10">
        <v>1.32</v>
      </c>
      <c r="K10">
        <v>0</v>
      </c>
      <c r="L10">
        <v>0.90909099999999998</v>
      </c>
      <c r="M10">
        <v>12</v>
      </c>
      <c r="N10">
        <v>12</v>
      </c>
      <c r="O10">
        <v>12</v>
      </c>
      <c r="P10">
        <v>12</v>
      </c>
      <c r="Q10">
        <v>0</v>
      </c>
      <c r="T10" t="s">
        <v>838</v>
      </c>
    </row>
    <row r="11" spans="1:21" x14ac:dyDescent="0.25">
      <c r="A11" t="s">
        <v>42</v>
      </c>
      <c r="B11" t="s">
        <v>874</v>
      </c>
      <c r="C11" t="s">
        <v>875</v>
      </c>
      <c r="D11" t="s">
        <v>852</v>
      </c>
      <c r="E11">
        <v>12</v>
      </c>
      <c r="F11">
        <v>301.73</v>
      </c>
      <c r="G11">
        <v>694</v>
      </c>
      <c r="H11">
        <v>24</v>
      </c>
      <c r="I11">
        <v>0.57999999999999996</v>
      </c>
      <c r="J11">
        <v>1.1399999999999999</v>
      </c>
      <c r="K11">
        <v>0</v>
      </c>
      <c r="L11">
        <v>0.293103</v>
      </c>
      <c r="M11">
        <v>6</v>
      </c>
      <c r="N11">
        <v>6</v>
      </c>
      <c r="O11">
        <v>6</v>
      </c>
      <c r="P11">
        <v>6</v>
      </c>
      <c r="Q11">
        <v>0</v>
      </c>
      <c r="T11" t="s">
        <v>838</v>
      </c>
    </row>
    <row r="12" spans="1:21" x14ac:dyDescent="0.25">
      <c r="A12" t="s">
        <v>876</v>
      </c>
      <c r="B12" t="s">
        <v>877</v>
      </c>
      <c r="C12" t="s">
        <v>878</v>
      </c>
      <c r="D12" t="s">
        <v>852</v>
      </c>
      <c r="E12">
        <v>2</v>
      </c>
      <c r="F12">
        <v>20.21</v>
      </c>
      <c r="G12">
        <v>117</v>
      </c>
      <c r="H12">
        <v>2</v>
      </c>
      <c r="I12">
        <v>0.5</v>
      </c>
      <c r="J12">
        <v>0.86</v>
      </c>
      <c r="K12">
        <v>0</v>
      </c>
      <c r="L12">
        <v>1</v>
      </c>
      <c r="M12">
        <v>1</v>
      </c>
      <c r="N12">
        <v>1</v>
      </c>
      <c r="O12">
        <v>1</v>
      </c>
      <c r="P12">
        <v>1</v>
      </c>
      <c r="Q12">
        <v>0</v>
      </c>
      <c r="T12" t="s">
        <v>838</v>
      </c>
    </row>
    <row r="13" spans="1:21" x14ac:dyDescent="0.25">
      <c r="A13" t="s">
        <v>879</v>
      </c>
      <c r="B13" t="s">
        <v>880</v>
      </c>
      <c r="C13" t="s">
        <v>856</v>
      </c>
      <c r="D13" t="s">
        <v>852</v>
      </c>
      <c r="E13">
        <v>8</v>
      </c>
      <c r="F13">
        <v>141.1199</v>
      </c>
      <c r="G13">
        <v>273</v>
      </c>
      <c r="H13">
        <v>16</v>
      </c>
      <c r="I13">
        <v>0.38</v>
      </c>
      <c r="J13">
        <v>0.25</v>
      </c>
      <c r="K13">
        <v>0</v>
      </c>
      <c r="L13">
        <v>0.38888899999999998</v>
      </c>
      <c r="M13">
        <v>2</v>
      </c>
      <c r="N13">
        <v>2</v>
      </c>
      <c r="O13">
        <v>2</v>
      </c>
      <c r="P13">
        <v>2</v>
      </c>
      <c r="Q13">
        <v>0</v>
      </c>
      <c r="T13" t="s">
        <v>838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
  <sheetViews>
    <sheetView workbookViewId="0"/>
  </sheetViews>
  <sheetFormatPr baseColWidth="10" defaultRowHeight="15" x14ac:dyDescent="0.25"/>
  <sheetData>
    <row r="1" spans="1:1" x14ac:dyDescent="0.25">
      <c r="A1" t="s">
        <v>1051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C2"/>
  <sheetViews>
    <sheetView workbookViewId="0">
      <selection activeCell="E5" sqref="E5"/>
    </sheetView>
  </sheetViews>
  <sheetFormatPr baseColWidth="10" defaultRowHeight="15" x14ac:dyDescent="0.25"/>
  <sheetData>
    <row r="1" spans="1:3" x14ac:dyDescent="0.25">
      <c r="A1" t="s">
        <v>26</v>
      </c>
      <c r="B1" t="s">
        <v>27</v>
      </c>
      <c r="C1" t="s">
        <v>28</v>
      </c>
    </row>
    <row r="2" spans="1:3" x14ac:dyDescent="0.25">
      <c r="C2" s="3"/>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I24"/>
  <sheetViews>
    <sheetView workbookViewId="0">
      <selection activeCell="A2" sqref="A2:I24"/>
    </sheetView>
  </sheetViews>
  <sheetFormatPr baseColWidth="10" defaultRowHeight="15" x14ac:dyDescent="0.25"/>
  <cols>
    <col min="1" max="1" width="42" customWidth="1"/>
    <col min="2" max="2" width="64.28515625" customWidth="1"/>
    <col min="3" max="3" width="18.42578125" customWidth="1"/>
    <col min="4" max="4" width="20" customWidth="1"/>
    <col min="5" max="5" width="70.28515625" customWidth="1"/>
    <col min="6" max="6" width="11" bestFit="1" customWidth="1"/>
    <col min="7" max="7" width="18.42578125" customWidth="1"/>
    <col min="8" max="8" width="13.5703125" bestFit="1" customWidth="1"/>
    <col min="9" max="9" width="20.7109375" bestFit="1" customWidth="1"/>
  </cols>
  <sheetData>
    <row r="1" spans="1:9" x14ac:dyDescent="0.25">
      <c r="A1" t="s">
        <v>43</v>
      </c>
      <c r="B1" t="s">
        <v>44</v>
      </c>
      <c r="C1" t="s">
        <v>45</v>
      </c>
      <c r="D1" t="s">
        <v>46</v>
      </c>
      <c r="E1" t="s">
        <v>47</v>
      </c>
      <c r="F1" t="s">
        <v>48</v>
      </c>
      <c r="G1" t="s">
        <v>49</v>
      </c>
      <c r="H1" t="s">
        <v>50</v>
      </c>
      <c r="I1" t="s">
        <v>51</v>
      </c>
    </row>
    <row r="2" spans="1:9" x14ac:dyDescent="0.25">
      <c r="A2" t="s">
        <v>215</v>
      </c>
      <c r="B2" t="s">
        <v>822</v>
      </c>
      <c r="C2" t="s">
        <v>53</v>
      </c>
      <c r="D2" t="s">
        <v>216</v>
      </c>
      <c r="E2" t="s">
        <v>823</v>
      </c>
      <c r="F2">
        <v>1</v>
      </c>
      <c r="G2" t="s">
        <v>62</v>
      </c>
      <c r="H2" s="3">
        <f>IFERROR(MATCH(Tabla_Recetas[[#This Row],[Cod Padre]],TABLATRANSFERENCIA[CODIGO],0),0)</f>
        <v>0</v>
      </c>
      <c r="I2" s="3">
        <f>IF(Tabla_Recetas[[#This Row],[ExistePadre]]=0,0,IFERROR(INDEX(TABLATRANSFERENCIA[REQUERIM],Tabla_Recetas[[#This Row],[ExistePadre]],1),0))*Tabla_Recetas[[#This Row],[Cantidad]]</f>
        <v>0</v>
      </c>
    </row>
    <row r="3" spans="1:9" x14ac:dyDescent="0.25">
      <c r="A3" t="s">
        <v>215</v>
      </c>
      <c r="B3" t="s">
        <v>822</v>
      </c>
      <c r="C3" t="s">
        <v>53</v>
      </c>
      <c r="D3" t="s">
        <v>217</v>
      </c>
      <c r="E3" t="s">
        <v>824</v>
      </c>
      <c r="F3">
        <v>5.0000000000000001E-3</v>
      </c>
      <c r="G3" t="s">
        <v>59</v>
      </c>
      <c r="H3" s="3">
        <f>IFERROR(MATCH(Tabla_Recetas[[#This Row],[Cod Padre]],TABLATRANSFERENCIA[CODIGO],0),0)</f>
        <v>0</v>
      </c>
      <c r="I3" s="3">
        <f>IF(Tabla_Recetas[[#This Row],[ExistePadre]]=0,0,IFERROR(INDEX(TABLATRANSFERENCIA[REQUERIM],Tabla_Recetas[[#This Row],[ExistePadre]],1),0))*Tabla_Recetas[[#This Row],[Cantidad]]</f>
        <v>0</v>
      </c>
    </row>
    <row r="4" spans="1:9" x14ac:dyDescent="0.25">
      <c r="A4" t="s">
        <v>215</v>
      </c>
      <c r="B4" t="s">
        <v>822</v>
      </c>
      <c r="C4" t="s">
        <v>53</v>
      </c>
      <c r="D4" t="s">
        <v>54</v>
      </c>
      <c r="E4" t="s">
        <v>55</v>
      </c>
      <c r="F4">
        <v>1</v>
      </c>
      <c r="G4" t="s">
        <v>56</v>
      </c>
      <c r="H4" s="3">
        <f>IFERROR(MATCH(Tabla_Recetas[[#This Row],[Cod Padre]],TABLATRANSFERENCIA[CODIGO],0),0)</f>
        <v>0</v>
      </c>
      <c r="I4" s="3">
        <f>IF(Tabla_Recetas[[#This Row],[ExistePadre]]=0,0,IFERROR(INDEX(TABLATRANSFERENCIA[REQUERIM],Tabla_Recetas[[#This Row],[ExistePadre]],1),0))*Tabla_Recetas[[#This Row],[Cantidad]]</f>
        <v>0</v>
      </c>
    </row>
    <row r="5" spans="1:9" x14ac:dyDescent="0.25">
      <c r="A5" t="s">
        <v>231</v>
      </c>
      <c r="B5" t="s">
        <v>825</v>
      </c>
      <c r="C5" t="s">
        <v>818</v>
      </c>
      <c r="D5" t="s">
        <v>232</v>
      </c>
      <c r="E5" t="s">
        <v>826</v>
      </c>
      <c r="F5">
        <v>1</v>
      </c>
      <c r="G5" t="s">
        <v>56</v>
      </c>
      <c r="H5" s="3">
        <f>IFERROR(MATCH(Tabla_Recetas[[#This Row],[Cod Padre]],TABLATRANSFERENCIA[CODIGO],0),0)</f>
        <v>0</v>
      </c>
      <c r="I5" s="3">
        <f>IF(Tabla_Recetas[[#This Row],[ExistePadre]]=0,0,IFERROR(INDEX(TABLATRANSFERENCIA[REQUERIM],Tabla_Recetas[[#This Row],[ExistePadre]],1),0))*Tabla_Recetas[[#This Row],[Cantidad]]</f>
        <v>0</v>
      </c>
    </row>
    <row r="6" spans="1:9" x14ac:dyDescent="0.25">
      <c r="A6" t="s">
        <v>231</v>
      </c>
      <c r="B6" t="s">
        <v>825</v>
      </c>
      <c r="C6" t="s">
        <v>818</v>
      </c>
      <c r="D6" t="s">
        <v>233</v>
      </c>
      <c r="E6" t="s">
        <v>827</v>
      </c>
      <c r="F6">
        <v>0.5</v>
      </c>
      <c r="G6" t="s">
        <v>53</v>
      </c>
      <c r="H6" s="3">
        <f>IFERROR(MATCH(Tabla_Recetas[[#This Row],[Cod Padre]],TABLATRANSFERENCIA[CODIGO],0),0)</f>
        <v>0</v>
      </c>
      <c r="I6" s="3">
        <f>IF(Tabla_Recetas[[#This Row],[ExistePadre]]=0,0,IFERROR(INDEX(TABLATRANSFERENCIA[REQUERIM],Tabla_Recetas[[#This Row],[ExistePadre]],1),0))*Tabla_Recetas[[#This Row],[Cantidad]]</f>
        <v>0</v>
      </c>
    </row>
    <row r="7" spans="1:9" x14ac:dyDescent="0.25">
      <c r="A7" t="s">
        <v>231</v>
      </c>
      <c r="B7" t="s">
        <v>825</v>
      </c>
      <c r="C7" t="s">
        <v>818</v>
      </c>
      <c r="D7" t="s">
        <v>182</v>
      </c>
      <c r="E7" t="s">
        <v>821</v>
      </c>
      <c r="F7">
        <v>1</v>
      </c>
      <c r="G7" t="s">
        <v>56</v>
      </c>
      <c r="H7" s="3">
        <f>IFERROR(MATCH(Tabla_Recetas[[#This Row],[Cod Padre]],TABLATRANSFERENCIA[CODIGO],0),0)</f>
        <v>0</v>
      </c>
      <c r="I7" s="3">
        <f>IF(Tabla_Recetas[[#This Row],[ExistePadre]]=0,0,IFERROR(INDEX(TABLATRANSFERENCIA[REQUERIM],Tabla_Recetas[[#This Row],[ExistePadre]],1),0))*Tabla_Recetas[[#This Row],[Cantidad]]</f>
        <v>0</v>
      </c>
    </row>
    <row r="8" spans="1:9" x14ac:dyDescent="0.25">
      <c r="A8" t="s">
        <v>234</v>
      </c>
      <c r="B8" t="s">
        <v>828</v>
      </c>
      <c r="C8" t="s">
        <v>817</v>
      </c>
      <c r="D8" t="s">
        <v>233</v>
      </c>
      <c r="E8" t="s">
        <v>827</v>
      </c>
      <c r="F8">
        <v>0.25</v>
      </c>
      <c r="G8" t="s">
        <v>53</v>
      </c>
      <c r="H8" s="3">
        <f>IFERROR(MATCH(Tabla_Recetas[[#This Row],[Cod Padre]],TABLATRANSFERENCIA[CODIGO],0),0)</f>
        <v>0</v>
      </c>
      <c r="I8" s="3">
        <f>IF(Tabla_Recetas[[#This Row],[ExistePadre]]=0,0,IFERROR(INDEX(TABLATRANSFERENCIA[REQUERIM],Tabla_Recetas[[#This Row],[ExistePadre]],1),0))*Tabla_Recetas[[#This Row],[Cantidad]]</f>
        <v>0</v>
      </c>
    </row>
    <row r="9" spans="1:9" x14ac:dyDescent="0.25">
      <c r="A9" t="s">
        <v>234</v>
      </c>
      <c r="B9" t="s">
        <v>828</v>
      </c>
      <c r="C9" t="s">
        <v>817</v>
      </c>
      <c r="D9" t="s">
        <v>159</v>
      </c>
      <c r="E9" t="s">
        <v>820</v>
      </c>
      <c r="F9">
        <v>1</v>
      </c>
      <c r="G9" t="s">
        <v>56</v>
      </c>
      <c r="H9" s="3">
        <f>IFERROR(MATCH(Tabla_Recetas[[#This Row],[Cod Padre]],TABLATRANSFERENCIA[CODIGO],0),0)</f>
        <v>0</v>
      </c>
      <c r="I9" s="3">
        <f>IF(Tabla_Recetas[[#This Row],[ExistePadre]]=0,0,IFERROR(INDEX(TABLATRANSFERENCIA[REQUERIM],Tabla_Recetas[[#This Row],[ExistePadre]],1),0))*Tabla_Recetas[[#This Row],[Cantidad]]</f>
        <v>0</v>
      </c>
    </row>
    <row r="10" spans="1:9" x14ac:dyDescent="0.25">
      <c r="A10" t="s">
        <v>234</v>
      </c>
      <c r="B10" t="s">
        <v>828</v>
      </c>
      <c r="C10" t="s">
        <v>817</v>
      </c>
      <c r="D10" t="s">
        <v>235</v>
      </c>
      <c r="E10" t="s">
        <v>829</v>
      </c>
      <c r="F10">
        <v>1</v>
      </c>
      <c r="G10" t="s">
        <v>56</v>
      </c>
      <c r="H10" s="3">
        <f>IFERROR(MATCH(Tabla_Recetas[[#This Row],[Cod Padre]],TABLATRANSFERENCIA[CODIGO],0),0)</f>
        <v>0</v>
      </c>
      <c r="I10" s="3">
        <f>IF(Tabla_Recetas[[#This Row],[ExistePadre]]=0,0,IFERROR(INDEX(TABLATRANSFERENCIA[REQUERIM],Tabla_Recetas[[#This Row],[ExistePadre]],1),0))*Tabla_Recetas[[#This Row],[Cantidad]]</f>
        <v>0</v>
      </c>
    </row>
    <row r="11" spans="1:9" x14ac:dyDescent="0.25">
      <c r="A11" t="s">
        <v>236</v>
      </c>
      <c r="B11" t="s">
        <v>830</v>
      </c>
      <c r="C11" t="s">
        <v>67</v>
      </c>
      <c r="D11" t="s">
        <v>237</v>
      </c>
      <c r="E11" t="s">
        <v>831</v>
      </c>
      <c r="F11">
        <v>1</v>
      </c>
      <c r="G11" t="s">
        <v>56</v>
      </c>
      <c r="H11" s="3">
        <f>IFERROR(MATCH(Tabla_Recetas[[#This Row],[Cod Padre]],TABLATRANSFERENCIA[CODIGO],0),0)</f>
        <v>0</v>
      </c>
      <c r="I11" s="3">
        <f>IF(Tabla_Recetas[[#This Row],[ExistePadre]]=0,0,IFERROR(INDEX(TABLATRANSFERENCIA[REQUERIM],Tabla_Recetas[[#This Row],[ExistePadre]],1),0))*Tabla_Recetas[[#This Row],[Cantidad]]</f>
        <v>0</v>
      </c>
    </row>
    <row r="12" spans="1:9" x14ac:dyDescent="0.25">
      <c r="A12" t="s">
        <v>236</v>
      </c>
      <c r="B12" t="s">
        <v>830</v>
      </c>
      <c r="C12" t="s">
        <v>67</v>
      </c>
      <c r="D12" t="s">
        <v>233</v>
      </c>
      <c r="E12" t="s">
        <v>827</v>
      </c>
      <c r="F12">
        <v>0.1</v>
      </c>
      <c r="G12" t="s">
        <v>53</v>
      </c>
      <c r="H12" s="3">
        <f>IFERROR(MATCH(Tabla_Recetas[[#This Row],[Cod Padre]],TABLATRANSFERENCIA[CODIGO],0),0)</f>
        <v>0</v>
      </c>
      <c r="I12" s="3">
        <f>IF(Tabla_Recetas[[#This Row],[ExistePadre]]=0,0,IFERROR(INDEX(TABLATRANSFERENCIA[REQUERIM],Tabla_Recetas[[#This Row],[ExistePadre]],1),0))*Tabla_Recetas[[#This Row],[Cantidad]]</f>
        <v>0</v>
      </c>
    </row>
    <row r="13" spans="1:9" x14ac:dyDescent="0.25">
      <c r="A13" t="s">
        <v>236</v>
      </c>
      <c r="B13" t="s">
        <v>830</v>
      </c>
      <c r="C13" t="s">
        <v>67</v>
      </c>
      <c r="D13" t="s">
        <v>147</v>
      </c>
      <c r="E13" t="s">
        <v>819</v>
      </c>
      <c r="F13">
        <v>1</v>
      </c>
      <c r="G13" t="s">
        <v>56</v>
      </c>
      <c r="H13" s="3">
        <f>IFERROR(MATCH(Tabla_Recetas[[#This Row],[Cod Padre]],TABLATRANSFERENCIA[CODIGO],0),0)</f>
        <v>0</v>
      </c>
      <c r="I13" s="3">
        <f>IF(Tabla_Recetas[[#This Row],[ExistePadre]]=0,0,IFERROR(INDEX(TABLATRANSFERENCIA[REQUERIM],Tabla_Recetas[[#This Row],[ExistePadre]],1),0))*Tabla_Recetas[[#This Row],[Cantidad]]</f>
        <v>0</v>
      </c>
    </row>
    <row r="14" spans="1:9" x14ac:dyDescent="0.25">
      <c r="A14" t="s">
        <v>238</v>
      </c>
      <c r="B14" t="s">
        <v>832</v>
      </c>
      <c r="C14" t="s">
        <v>53</v>
      </c>
      <c r="D14" t="s">
        <v>239</v>
      </c>
      <c r="E14" t="s">
        <v>833</v>
      </c>
      <c r="F14">
        <v>1</v>
      </c>
      <c r="G14" t="s">
        <v>56</v>
      </c>
      <c r="H14" s="3">
        <f>IFERROR(MATCH(Tabla_Recetas[[#This Row],[Cod Padre]],TABLATRANSFERENCIA[CODIGO],0),0)</f>
        <v>0</v>
      </c>
      <c r="I14" s="3">
        <f>IF(Tabla_Recetas[[#This Row],[ExistePadre]]=0,0,IFERROR(INDEX(TABLATRANSFERENCIA[REQUERIM],Tabla_Recetas[[#This Row],[ExistePadre]],1),0))*Tabla_Recetas[[#This Row],[Cantidad]]</f>
        <v>0</v>
      </c>
    </row>
    <row r="15" spans="1:9" x14ac:dyDescent="0.25">
      <c r="A15" t="s">
        <v>238</v>
      </c>
      <c r="B15" t="s">
        <v>832</v>
      </c>
      <c r="C15" t="s">
        <v>53</v>
      </c>
      <c r="D15" t="s">
        <v>233</v>
      </c>
      <c r="E15" t="s">
        <v>827</v>
      </c>
      <c r="F15">
        <v>1</v>
      </c>
      <c r="G15" t="s">
        <v>53</v>
      </c>
      <c r="H15" s="3">
        <f>IFERROR(MATCH(Tabla_Recetas[[#This Row],[Cod Padre]],TABLATRANSFERENCIA[CODIGO],0),0)</f>
        <v>0</v>
      </c>
      <c r="I15" s="3">
        <f>IF(Tabla_Recetas[[#This Row],[ExistePadre]]=0,0,IFERROR(INDEX(TABLATRANSFERENCIA[REQUERIM],Tabla_Recetas[[#This Row],[ExistePadre]],1),0))*Tabla_Recetas[[#This Row],[Cantidad]]</f>
        <v>0</v>
      </c>
    </row>
    <row r="16" spans="1:9" x14ac:dyDescent="0.25">
      <c r="A16" t="s">
        <v>238</v>
      </c>
      <c r="B16" t="s">
        <v>832</v>
      </c>
      <c r="C16" t="s">
        <v>53</v>
      </c>
      <c r="D16" t="s">
        <v>54</v>
      </c>
      <c r="E16" t="s">
        <v>55</v>
      </c>
      <c r="F16">
        <v>1</v>
      </c>
      <c r="G16" t="s">
        <v>56</v>
      </c>
      <c r="H16" s="3">
        <f>IFERROR(MATCH(Tabla_Recetas[[#This Row],[Cod Padre]],TABLATRANSFERENCIA[CODIGO],0),0)</f>
        <v>0</v>
      </c>
      <c r="I16" s="3">
        <f>IF(Tabla_Recetas[[#This Row],[ExistePadre]]=0,0,IFERROR(INDEX(TABLATRANSFERENCIA[REQUERIM],Tabla_Recetas[[#This Row],[ExistePadre]],1),0))*Tabla_Recetas[[#This Row],[Cantidad]]</f>
        <v>0</v>
      </c>
    </row>
    <row r="17" spans="1:9" x14ac:dyDescent="0.25">
      <c r="A17" t="s">
        <v>628</v>
      </c>
      <c r="B17" t="s">
        <v>849</v>
      </c>
      <c r="C17" t="s">
        <v>53</v>
      </c>
      <c r="D17" t="s">
        <v>245</v>
      </c>
      <c r="E17" t="s">
        <v>834</v>
      </c>
      <c r="F17">
        <v>5.0000000000000001E-3</v>
      </c>
      <c r="G17" t="s">
        <v>59</v>
      </c>
      <c r="H17" s="3">
        <f>IFERROR(MATCH(Tabla_Recetas[[#This Row],[Cod Padre]],TABLATRANSFERENCIA[CODIGO],0),0)</f>
        <v>0</v>
      </c>
      <c r="I17" s="3">
        <f>IF(Tabla_Recetas[[#This Row],[ExistePadre]]=0,0,IFERROR(INDEX(TABLATRANSFERENCIA[REQUERIM],Tabla_Recetas[[#This Row],[ExistePadre]],1),0))*Tabla_Recetas[[#This Row],[Cantidad]]</f>
        <v>0</v>
      </c>
    </row>
    <row r="18" spans="1:9" x14ac:dyDescent="0.25">
      <c r="A18" t="s">
        <v>628</v>
      </c>
      <c r="B18" t="s">
        <v>849</v>
      </c>
      <c r="C18" t="s">
        <v>53</v>
      </c>
      <c r="D18" t="s">
        <v>54</v>
      </c>
      <c r="E18" t="s">
        <v>55</v>
      </c>
      <c r="F18">
        <v>1</v>
      </c>
      <c r="G18" t="s">
        <v>56</v>
      </c>
      <c r="H18" s="3">
        <f>IFERROR(MATCH(Tabla_Recetas[[#This Row],[Cod Padre]],TABLATRANSFERENCIA[CODIGO],0),0)</f>
        <v>0</v>
      </c>
      <c r="I18" s="3">
        <f>IF(Tabla_Recetas[[#This Row],[ExistePadre]]=0,0,IFERROR(INDEX(TABLATRANSFERENCIA[REQUERIM],Tabla_Recetas[[#This Row],[ExistePadre]],1),0))*Tabla_Recetas[[#This Row],[Cantidad]]</f>
        <v>0</v>
      </c>
    </row>
    <row r="19" spans="1:9" x14ac:dyDescent="0.25">
      <c r="A19" t="s">
        <v>628</v>
      </c>
      <c r="B19" t="s">
        <v>849</v>
      </c>
      <c r="C19" t="s">
        <v>53</v>
      </c>
      <c r="D19" t="s">
        <v>277</v>
      </c>
      <c r="E19" t="s">
        <v>835</v>
      </c>
      <c r="F19">
        <v>1</v>
      </c>
      <c r="G19" t="s">
        <v>56</v>
      </c>
      <c r="H19" s="3">
        <f>IFERROR(MATCH(Tabla_Recetas[[#This Row],[Cod Padre]],TABLATRANSFERENCIA[CODIGO],0),0)</f>
        <v>0</v>
      </c>
      <c r="I19" s="3">
        <f>IF(Tabla_Recetas[[#This Row],[ExistePadre]]=0,0,IFERROR(INDEX(TABLATRANSFERENCIA[REQUERIM],Tabla_Recetas[[#This Row],[ExistePadre]],1),0))*Tabla_Recetas[[#This Row],[Cantidad]]</f>
        <v>0</v>
      </c>
    </row>
    <row r="20" spans="1:9" x14ac:dyDescent="0.25">
      <c r="A20" t="s">
        <v>388</v>
      </c>
      <c r="B20" t="s">
        <v>389</v>
      </c>
      <c r="C20" t="s">
        <v>109</v>
      </c>
      <c r="D20" t="s">
        <v>390</v>
      </c>
      <c r="E20" t="s">
        <v>391</v>
      </c>
      <c r="F20">
        <v>1</v>
      </c>
      <c r="G20" t="s">
        <v>56</v>
      </c>
      <c r="H20" s="3">
        <f>IFERROR(MATCH(Tabla_Recetas[[#This Row],[Cod Padre]],TABLATRANSFERENCIA[CODIGO],0),0)</f>
        <v>0</v>
      </c>
      <c r="I20" s="3">
        <f>IF(Tabla_Recetas[[#This Row],[ExistePadre]]=0,0,IFERROR(INDEX(TABLATRANSFERENCIA[REQUERIM],Tabla_Recetas[[#This Row],[ExistePadre]],1),0))*Tabla_Recetas[[#This Row],[Cantidad]]</f>
        <v>0</v>
      </c>
    </row>
    <row r="21" spans="1:9" x14ac:dyDescent="0.25">
      <c r="A21" t="s">
        <v>388</v>
      </c>
      <c r="B21" t="s">
        <v>389</v>
      </c>
      <c r="C21" t="s">
        <v>109</v>
      </c>
      <c r="D21" t="s">
        <v>392</v>
      </c>
      <c r="E21" t="s">
        <v>393</v>
      </c>
      <c r="F21">
        <v>1</v>
      </c>
      <c r="G21" t="s">
        <v>109</v>
      </c>
      <c r="H21" s="3">
        <f>IFERROR(MATCH(Tabla_Recetas[[#This Row],[Cod Padre]],TABLATRANSFERENCIA[CODIGO],0),0)</f>
        <v>0</v>
      </c>
      <c r="I21" s="3">
        <f>IF(Tabla_Recetas[[#This Row],[ExistePadre]]=0,0,IFERROR(INDEX(TABLATRANSFERENCIA[REQUERIM],Tabla_Recetas[[#This Row],[ExistePadre]],1),0))*Tabla_Recetas[[#This Row],[Cantidad]]</f>
        <v>0</v>
      </c>
    </row>
    <row r="22" spans="1:9" x14ac:dyDescent="0.25">
      <c r="A22" t="s">
        <v>388</v>
      </c>
      <c r="B22" t="s">
        <v>389</v>
      </c>
      <c r="C22" t="s">
        <v>109</v>
      </c>
      <c r="D22" t="s">
        <v>164</v>
      </c>
      <c r="E22" t="s">
        <v>165</v>
      </c>
      <c r="F22">
        <v>1</v>
      </c>
      <c r="G22" t="s">
        <v>56</v>
      </c>
      <c r="H22" s="3">
        <f>IFERROR(MATCH(Tabla_Recetas[[#This Row],[Cod Padre]],TABLATRANSFERENCIA[CODIGO],0),0)</f>
        <v>0</v>
      </c>
      <c r="I22" s="3">
        <f>IF(Tabla_Recetas[[#This Row],[ExistePadre]]=0,0,IFERROR(INDEX(TABLATRANSFERENCIA[REQUERIM],Tabla_Recetas[[#This Row],[ExistePadre]],1),0))*Tabla_Recetas[[#This Row],[Cantidad]]</f>
        <v>0</v>
      </c>
    </row>
    <row r="23" spans="1:9" x14ac:dyDescent="0.25">
      <c r="A23" t="s">
        <v>395</v>
      </c>
      <c r="B23" t="s">
        <v>396</v>
      </c>
      <c r="C23" t="s">
        <v>109</v>
      </c>
      <c r="D23" t="s">
        <v>397</v>
      </c>
      <c r="E23" t="s">
        <v>398</v>
      </c>
      <c r="F23">
        <v>1</v>
      </c>
      <c r="G23" t="s">
        <v>56</v>
      </c>
      <c r="H23" s="3">
        <f>IFERROR(MATCH(Tabla_Recetas[[#This Row],[Cod Padre]],TABLATRANSFERENCIA[CODIGO],0),0)</f>
        <v>0</v>
      </c>
      <c r="I23" s="3">
        <f>IF(Tabla_Recetas[[#This Row],[ExistePadre]]=0,0,IFERROR(INDEX(TABLATRANSFERENCIA[REQUERIM],Tabla_Recetas[[#This Row],[ExistePadre]],1),0))*Tabla_Recetas[[#This Row],[Cantidad]]</f>
        <v>0</v>
      </c>
    </row>
    <row r="24" spans="1:9" x14ac:dyDescent="0.25">
      <c r="A24" t="s">
        <v>395</v>
      </c>
      <c r="B24" t="s">
        <v>396</v>
      </c>
      <c r="C24" t="s">
        <v>109</v>
      </c>
      <c r="D24" t="s">
        <v>399</v>
      </c>
      <c r="E24" t="s">
        <v>400</v>
      </c>
      <c r="F24">
        <v>1</v>
      </c>
      <c r="G24" t="s">
        <v>109</v>
      </c>
      <c r="H24" s="3">
        <f>IFERROR(MATCH(Tabla_Recetas[[#This Row],[Cod Padre]],TABLATRANSFERENCIA[CODIGO],0),0)</f>
        <v>0</v>
      </c>
      <c r="I24" s="3">
        <f>IF(Tabla_Recetas[[#This Row],[ExistePadre]]=0,0,IFERROR(INDEX(TABLATRANSFERENCIA[REQUERIM],Tabla_Recetas[[#This Row],[ExistePadre]],1),0))*Tabla_Recetas[[#This Row],[Cantidad]]</f>
        <v>0</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G21"/>
  <sheetViews>
    <sheetView showGridLines="0" workbookViewId="0">
      <selection activeCell="A9" sqref="A9"/>
    </sheetView>
  </sheetViews>
  <sheetFormatPr baseColWidth="10" defaultRowHeight="15" x14ac:dyDescent="0.25"/>
  <cols>
    <col min="2" max="2" width="43.85546875" customWidth="1"/>
    <col min="3" max="3" width="9.28515625" customWidth="1"/>
    <col min="4" max="4" width="15.7109375" bestFit="1" customWidth="1"/>
  </cols>
  <sheetData>
    <row r="1" spans="1:7" ht="18.75" x14ac:dyDescent="0.3">
      <c r="A1" s="7" t="s">
        <v>605</v>
      </c>
    </row>
    <row r="3" spans="1:7" x14ac:dyDescent="0.25">
      <c r="A3" s="8" t="s">
        <v>606</v>
      </c>
      <c r="B3" s="8" t="s">
        <v>607</v>
      </c>
      <c r="C3" t="s">
        <v>608</v>
      </c>
      <c r="D3" s="9" t="s">
        <v>816</v>
      </c>
    </row>
    <row r="4" spans="1:7" x14ac:dyDescent="0.25">
      <c r="A4" t="s">
        <v>399</v>
      </c>
      <c r="B4" t="s">
        <v>400</v>
      </c>
      <c r="C4" s="3">
        <v>0</v>
      </c>
      <c r="D4" t="str">
        <f>IFERROR(INDEX(Tabla_MPyPT[NombreGrupo],MATCH(A4,Tabla_MPyPT[CodigoVentaproducto],0),1),"")</f>
        <v xml:space="preserve">MATERIA PRIMA </v>
      </c>
    </row>
    <row r="5" spans="1:7" x14ac:dyDescent="0.25">
      <c r="A5" t="s">
        <v>392</v>
      </c>
      <c r="B5" t="s">
        <v>393</v>
      </c>
      <c r="C5" s="3">
        <v>0</v>
      </c>
      <c r="D5" t="str">
        <f>IFERROR(INDEX(Tabla_MPyPT[NombreGrupo],MATCH(A5,Tabla_MPyPT[CodigoVentaproducto],0),1),"")</f>
        <v xml:space="preserve">MATERIA PRIMA </v>
      </c>
    </row>
    <row r="6" spans="1:7" x14ac:dyDescent="0.25">
      <c r="A6" t="s">
        <v>217</v>
      </c>
      <c r="B6" t="s">
        <v>824</v>
      </c>
      <c r="C6" s="3">
        <v>0</v>
      </c>
      <c r="D6" t="str">
        <f>IFERROR(INDEX(Tabla_MPyPT[NombreGrupo],MATCH(A6,Tabla_MPyPT[CodigoVentaproducto],0),1),"")</f>
        <v xml:space="preserve">MATERIA PRIMA </v>
      </c>
      <c r="G6" t="str">
        <f>IFERROR(INDEX(Tabla_MPyPT[NombreGrupo],MATCH(D6,Tabla_MPyPT[CodigoVentaproducto],0),1),"")</f>
        <v/>
      </c>
    </row>
    <row r="7" spans="1:7" x14ac:dyDescent="0.25">
      <c r="A7" t="s">
        <v>233</v>
      </c>
      <c r="B7" t="s">
        <v>827</v>
      </c>
      <c r="C7" s="3">
        <v>0</v>
      </c>
      <c r="D7" t="str">
        <f>IFERROR(INDEX(Tabla_MPyPT[NombreGrupo],MATCH(A7,Tabla_MPyPT[CodigoVentaproducto],0),1),"")</f>
        <v xml:space="preserve">MATERIA PRIMA </v>
      </c>
    </row>
    <row r="8" spans="1:7" x14ac:dyDescent="0.25">
      <c r="A8" t="s">
        <v>245</v>
      </c>
      <c r="B8" t="s">
        <v>834</v>
      </c>
      <c r="C8" s="3">
        <v>0</v>
      </c>
      <c r="D8" t="str">
        <f>IFERROR(INDEX(Tabla_MPyPT[NombreGrupo],MATCH(A8,Tabla_MPyPT[CodigoVentaproducto],0),1),"")</f>
        <v>MATERIA PRIMA</v>
      </c>
    </row>
    <row r="9" spans="1:7" x14ac:dyDescent="0.25">
      <c r="A9" t="s">
        <v>390</v>
      </c>
      <c r="B9" t="s">
        <v>391</v>
      </c>
      <c r="C9" s="3">
        <v>0</v>
      </c>
      <c r="D9" t="str">
        <f>IFERROR(INDEX(Tabla_MPyPT[NombreGrupo],MATCH(A9,Tabla_MPyPT[CodigoVentaproducto],0),1),"")</f>
        <v>MATERIA PRIMA</v>
      </c>
    </row>
    <row r="10" spans="1:7" x14ac:dyDescent="0.25">
      <c r="A10" t="s">
        <v>216</v>
      </c>
      <c r="B10" t="s">
        <v>823</v>
      </c>
      <c r="C10" s="3">
        <v>0</v>
      </c>
      <c r="D10" t="str">
        <f>IFERROR(INDEX(Tabla_MPyPT[NombreGrupo],MATCH(A10,Tabla_MPyPT[CodigoVentaproducto],0),1),"")</f>
        <v>MATERIA PRIMA</v>
      </c>
    </row>
    <row r="11" spans="1:7" x14ac:dyDescent="0.25">
      <c r="A11" t="s">
        <v>277</v>
      </c>
      <c r="B11" t="s">
        <v>835</v>
      </c>
      <c r="C11" s="3">
        <v>0</v>
      </c>
      <c r="D11" t="str">
        <f>IFERROR(INDEX(Tabla_MPyPT[NombreGrupo],MATCH(A11,Tabla_MPyPT[CodigoVentaproducto],0),1),"")</f>
        <v>MATERIA PRIMA</v>
      </c>
    </row>
    <row r="12" spans="1:7" x14ac:dyDescent="0.25">
      <c r="A12" t="s">
        <v>235</v>
      </c>
      <c r="B12" t="s">
        <v>829</v>
      </c>
      <c r="C12" s="3">
        <v>0</v>
      </c>
      <c r="D12" t="str">
        <f>IFERROR(INDEX(Tabla_MPyPT[NombreGrupo],MATCH(A12,Tabla_MPyPT[CodigoVentaproducto],0),1),"")</f>
        <v>MATERIA PRIMA</v>
      </c>
    </row>
    <row r="13" spans="1:7" x14ac:dyDescent="0.25">
      <c r="A13" t="s">
        <v>232</v>
      </c>
      <c r="B13" t="s">
        <v>826</v>
      </c>
      <c r="C13" s="3">
        <v>0</v>
      </c>
      <c r="D13" t="str">
        <f>IFERROR(INDEX(Tabla_MPyPT[NombreGrupo],MATCH(A13,Tabla_MPyPT[CodigoVentaproducto],0),1),"")</f>
        <v>MATERIA PRIMA</v>
      </c>
    </row>
    <row r="14" spans="1:7" x14ac:dyDescent="0.25">
      <c r="A14" t="s">
        <v>237</v>
      </c>
      <c r="B14" t="s">
        <v>831</v>
      </c>
      <c r="C14" s="3">
        <v>0</v>
      </c>
      <c r="D14" t="str">
        <f>IFERROR(INDEX(Tabla_MPyPT[NombreGrupo],MATCH(A14,Tabla_MPyPT[CodigoVentaproducto],0),1),"")</f>
        <v>MATERIA PRIMA</v>
      </c>
    </row>
    <row r="15" spans="1:7" x14ac:dyDescent="0.25">
      <c r="A15" t="s">
        <v>239</v>
      </c>
      <c r="B15" t="s">
        <v>833</v>
      </c>
      <c r="C15" s="3">
        <v>0</v>
      </c>
      <c r="D15" t="str">
        <f>IFERROR(INDEX(Tabla_MPyPT[NombreGrupo],MATCH(A15,Tabla_MPyPT[CodigoVentaproducto],0),1),"")</f>
        <v>MATERIA PRIMA</v>
      </c>
    </row>
    <row r="16" spans="1:7" x14ac:dyDescent="0.25">
      <c r="A16" t="s">
        <v>164</v>
      </c>
      <c r="B16" t="s">
        <v>165</v>
      </c>
      <c r="C16" s="3">
        <v>0</v>
      </c>
      <c r="D16" t="str">
        <f>IFERROR(INDEX(Tabla_MPyPT[NombreGrupo],MATCH(A16,Tabla_MPyPT[CodigoVentaproducto],0),1),"")</f>
        <v xml:space="preserve">MATERIA PRIMA </v>
      </c>
    </row>
    <row r="17" spans="1:4" x14ac:dyDescent="0.25">
      <c r="A17" t="s">
        <v>54</v>
      </c>
      <c r="B17" t="s">
        <v>55</v>
      </c>
      <c r="C17" s="3">
        <v>0</v>
      </c>
      <c r="D17" t="str">
        <f>IFERROR(INDEX(Tabla_MPyPT[NombreGrupo],MATCH(A17,Tabla_MPyPT[CodigoVentaproducto],0),1),"")</f>
        <v xml:space="preserve">MATERIA PRIMA </v>
      </c>
    </row>
    <row r="18" spans="1:4" x14ac:dyDescent="0.25">
      <c r="A18" t="s">
        <v>182</v>
      </c>
      <c r="B18" t="s">
        <v>821</v>
      </c>
      <c r="C18" s="3">
        <v>0</v>
      </c>
      <c r="D18" t="str">
        <f>IFERROR(INDEX(Tabla_MPyPT[NombreGrupo],MATCH(A18,Tabla_MPyPT[CodigoVentaproducto],0),1),"")</f>
        <v xml:space="preserve">MATERIA PRIMA </v>
      </c>
    </row>
    <row r="19" spans="1:4" x14ac:dyDescent="0.25">
      <c r="A19" t="s">
        <v>159</v>
      </c>
      <c r="B19" t="s">
        <v>820</v>
      </c>
      <c r="C19" s="3">
        <v>0</v>
      </c>
      <c r="D19" t="str">
        <f>IFERROR(INDEX(Tabla_MPyPT[NombreGrupo],MATCH(A19,Tabla_MPyPT[CodigoVentaproducto],0),1),"")</f>
        <v xml:space="preserve">MATERIA PRIMA </v>
      </c>
    </row>
    <row r="20" spans="1:4" x14ac:dyDescent="0.25">
      <c r="A20" t="s">
        <v>147</v>
      </c>
      <c r="B20" t="s">
        <v>819</v>
      </c>
      <c r="C20" s="3">
        <v>0</v>
      </c>
      <c r="D20" t="str">
        <f>IFERROR(INDEX(Tabla_MPyPT[NombreGrupo],MATCH(A20,Tabla_MPyPT[CodigoVentaproducto],0),1),"")</f>
        <v xml:space="preserve">MATERIA PRIMA </v>
      </c>
    </row>
    <row r="21" spans="1:4" x14ac:dyDescent="0.25">
      <c r="A21" t="s">
        <v>397</v>
      </c>
      <c r="B21" t="s">
        <v>398</v>
      </c>
      <c r="C21" s="3">
        <v>0</v>
      </c>
      <c r="D21" t="str">
        <f>IFERROR(INDEX(Tabla_MPyPT[NombreGrupo],MATCH(A21,Tabla_MPyPT[CodigoVentaproducto],0),1),"")</f>
        <v>MATERIA PRIMA</v>
      </c>
    </row>
  </sheetData>
  <pageMargins left="0.7" right="0.7" top="0.75" bottom="0.75" header="0.3" footer="0.3"/>
  <pageSetup orientation="portrait" r:id="rId2"/>
  <drawing r:id="rId3"/>
  <legacyDrawing r:id="rId4"/>
  <controls>
    <mc:AlternateContent xmlns:mc="http://schemas.openxmlformats.org/markup-compatibility/2006">
      <mc:Choice Requires="x14">
        <control shapeId="2049" r:id="rId5" name="cmdVolver">
          <controlPr defaultSize="0" print="0" autoLine="0" r:id="rId6">
            <anchor>
              <from>
                <xdr:col>1</xdr:col>
                <xdr:colOff>2714625</xdr:colOff>
                <xdr:row>0</xdr:row>
                <xdr:rowOff>104775</xdr:rowOff>
              </from>
              <to>
                <xdr:col>2</xdr:col>
                <xdr:colOff>600075</xdr:colOff>
                <xdr:row>1</xdr:row>
                <xdr:rowOff>123825</xdr:rowOff>
              </to>
            </anchor>
          </controlPr>
        </control>
      </mc:Choice>
      <mc:Fallback>
        <control shapeId="2049" r:id="rId5" name="cmdVolver"/>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745"/>
  <sheetViews>
    <sheetView workbookViewId="0">
      <selection activeCell="B20" sqref="B20"/>
    </sheetView>
  </sheetViews>
  <sheetFormatPr baseColWidth="10" defaultRowHeight="15" x14ac:dyDescent="0.25"/>
  <cols>
    <col min="1" max="1" width="24.85546875" bestFit="1" customWidth="1"/>
    <col min="2" max="2" width="16" bestFit="1" customWidth="1"/>
  </cols>
  <sheetData>
    <row r="1" spans="1:2" x14ac:dyDescent="0.25">
      <c r="A1" t="s">
        <v>609</v>
      </c>
      <c r="B1" t="s">
        <v>610</v>
      </c>
    </row>
    <row r="2" spans="1:2" x14ac:dyDescent="0.25">
      <c r="A2" t="s">
        <v>611</v>
      </c>
      <c r="B2" t="s">
        <v>612</v>
      </c>
    </row>
    <row r="3" spans="1:2" x14ac:dyDescent="0.25">
      <c r="A3" t="s">
        <v>613</v>
      </c>
      <c r="B3" t="s">
        <v>612</v>
      </c>
    </row>
    <row r="4" spans="1:2" x14ac:dyDescent="0.25">
      <c r="A4" t="s">
        <v>614</v>
      </c>
      <c r="B4" t="s">
        <v>612</v>
      </c>
    </row>
    <row r="5" spans="1:2" x14ac:dyDescent="0.25">
      <c r="A5" t="s">
        <v>615</v>
      </c>
      <c r="B5" t="s">
        <v>616</v>
      </c>
    </row>
    <row r="6" spans="1:2" x14ac:dyDescent="0.25">
      <c r="A6" t="s">
        <v>163</v>
      </c>
      <c r="B6" t="s">
        <v>616</v>
      </c>
    </row>
    <row r="7" spans="1:2" x14ac:dyDescent="0.25">
      <c r="A7" t="s">
        <v>617</v>
      </c>
      <c r="B7" t="s">
        <v>616</v>
      </c>
    </row>
    <row r="8" spans="1:2" x14ac:dyDescent="0.25">
      <c r="A8" t="s">
        <v>52</v>
      </c>
      <c r="B8" t="s">
        <v>618</v>
      </c>
    </row>
    <row r="9" spans="1:2" x14ac:dyDescent="0.25">
      <c r="A9" t="s">
        <v>619</v>
      </c>
      <c r="B9" t="s">
        <v>616</v>
      </c>
    </row>
    <row r="10" spans="1:2" x14ac:dyDescent="0.25">
      <c r="A10" t="s">
        <v>60</v>
      </c>
      <c r="B10" t="s">
        <v>616</v>
      </c>
    </row>
    <row r="11" spans="1:2" x14ac:dyDescent="0.25">
      <c r="A11" t="s">
        <v>61</v>
      </c>
      <c r="B11" t="s">
        <v>616</v>
      </c>
    </row>
    <row r="12" spans="1:2" x14ac:dyDescent="0.25">
      <c r="A12" t="s">
        <v>136</v>
      </c>
      <c r="B12" t="s">
        <v>618</v>
      </c>
    </row>
    <row r="13" spans="1:2" x14ac:dyDescent="0.25">
      <c r="A13" t="s">
        <v>140</v>
      </c>
      <c r="B13" t="s">
        <v>618</v>
      </c>
    </row>
    <row r="14" spans="1:2" x14ac:dyDescent="0.25">
      <c r="A14" t="s">
        <v>142</v>
      </c>
      <c r="B14" t="s">
        <v>612</v>
      </c>
    </row>
    <row r="15" spans="1:2" x14ac:dyDescent="0.25">
      <c r="A15" t="s">
        <v>145</v>
      </c>
      <c r="B15" t="s">
        <v>618</v>
      </c>
    </row>
    <row r="16" spans="1:2" x14ac:dyDescent="0.25">
      <c r="A16" t="s">
        <v>148</v>
      </c>
      <c r="B16" t="s">
        <v>620</v>
      </c>
    </row>
    <row r="17" spans="1:2" x14ac:dyDescent="0.25">
      <c r="A17" t="s">
        <v>139</v>
      </c>
      <c r="B17" t="s">
        <v>618</v>
      </c>
    </row>
    <row r="18" spans="1:2" x14ac:dyDescent="0.25">
      <c r="A18" t="s">
        <v>621</v>
      </c>
      <c r="B18" t="s">
        <v>620</v>
      </c>
    </row>
    <row r="19" spans="1:2" x14ac:dyDescent="0.25">
      <c r="A19" t="s">
        <v>152</v>
      </c>
      <c r="B19" t="s">
        <v>620</v>
      </c>
    </row>
    <row r="20" spans="1:2" x14ac:dyDescent="0.25">
      <c r="A20" t="s">
        <v>156</v>
      </c>
      <c r="B20" t="s">
        <v>620</v>
      </c>
    </row>
    <row r="21" spans="1:2" x14ac:dyDescent="0.25">
      <c r="A21" t="s">
        <v>622</v>
      </c>
      <c r="B21" t="s">
        <v>612</v>
      </c>
    </row>
    <row r="22" spans="1:2" x14ac:dyDescent="0.25">
      <c r="A22" t="s">
        <v>623</v>
      </c>
      <c r="B22" t="s">
        <v>620</v>
      </c>
    </row>
    <row r="23" spans="1:2" x14ac:dyDescent="0.25">
      <c r="A23" t="s">
        <v>624</v>
      </c>
      <c r="B23" t="s">
        <v>612</v>
      </c>
    </row>
    <row r="24" spans="1:2" x14ac:dyDescent="0.25">
      <c r="A24" t="s">
        <v>91</v>
      </c>
      <c r="B24" t="s">
        <v>620</v>
      </c>
    </row>
    <row r="25" spans="1:2" x14ac:dyDescent="0.25">
      <c r="A25" t="s">
        <v>160</v>
      </c>
      <c r="B25" t="s">
        <v>620</v>
      </c>
    </row>
    <row r="26" spans="1:2" x14ac:dyDescent="0.25">
      <c r="A26" t="s">
        <v>161</v>
      </c>
      <c r="B26" t="s">
        <v>620</v>
      </c>
    </row>
    <row r="27" spans="1:2" x14ac:dyDescent="0.25">
      <c r="A27" t="s">
        <v>625</v>
      </c>
      <c r="B27" t="s">
        <v>612</v>
      </c>
    </row>
    <row r="28" spans="1:2" x14ac:dyDescent="0.25">
      <c r="A28" t="s">
        <v>162</v>
      </c>
      <c r="B28" t="s">
        <v>620</v>
      </c>
    </row>
    <row r="29" spans="1:2" x14ac:dyDescent="0.25">
      <c r="A29" t="s">
        <v>626</v>
      </c>
      <c r="B29" t="s">
        <v>612</v>
      </c>
    </row>
    <row r="30" spans="1:2" x14ac:dyDescent="0.25">
      <c r="A30" t="s">
        <v>169</v>
      </c>
      <c r="B30" t="s">
        <v>616</v>
      </c>
    </row>
    <row r="31" spans="1:2" x14ac:dyDescent="0.25">
      <c r="A31" t="s">
        <v>453</v>
      </c>
      <c r="B31" t="s">
        <v>616</v>
      </c>
    </row>
    <row r="32" spans="1:2" x14ac:dyDescent="0.25">
      <c r="A32" t="s">
        <v>93</v>
      </c>
      <c r="B32" t="s">
        <v>620</v>
      </c>
    </row>
    <row r="33" spans="1:2" x14ac:dyDescent="0.25">
      <c r="A33" t="s">
        <v>102</v>
      </c>
      <c r="B33" t="s">
        <v>620</v>
      </c>
    </row>
    <row r="34" spans="1:2" x14ac:dyDescent="0.25">
      <c r="A34" t="s">
        <v>627</v>
      </c>
      <c r="B34" t="s">
        <v>618</v>
      </c>
    </row>
    <row r="35" spans="1:2" x14ac:dyDescent="0.25">
      <c r="A35" t="s">
        <v>184</v>
      </c>
      <c r="B35" t="s">
        <v>620</v>
      </c>
    </row>
    <row r="36" spans="1:2" x14ac:dyDescent="0.25">
      <c r="A36" t="s">
        <v>188</v>
      </c>
      <c r="B36" t="s">
        <v>620</v>
      </c>
    </row>
    <row r="37" spans="1:2" x14ac:dyDescent="0.25">
      <c r="A37" t="s">
        <v>192</v>
      </c>
      <c r="B37" t="s">
        <v>618</v>
      </c>
    </row>
    <row r="38" spans="1:2" x14ac:dyDescent="0.25">
      <c r="A38" t="s">
        <v>196</v>
      </c>
      <c r="B38" t="s">
        <v>620</v>
      </c>
    </row>
    <row r="39" spans="1:2" x14ac:dyDescent="0.25">
      <c r="A39" t="s">
        <v>126</v>
      </c>
      <c r="B39" t="s">
        <v>620</v>
      </c>
    </row>
    <row r="40" spans="1:2" x14ac:dyDescent="0.25">
      <c r="A40" t="s">
        <v>200</v>
      </c>
      <c r="B40" t="s">
        <v>620</v>
      </c>
    </row>
    <row r="41" spans="1:2" x14ac:dyDescent="0.25">
      <c r="A41" t="s">
        <v>201</v>
      </c>
      <c r="B41" t="s">
        <v>620</v>
      </c>
    </row>
    <row r="42" spans="1:2" x14ac:dyDescent="0.25">
      <c r="A42" t="s">
        <v>204</v>
      </c>
      <c r="B42" t="s">
        <v>620</v>
      </c>
    </row>
    <row r="43" spans="1:2" x14ac:dyDescent="0.25">
      <c r="A43" t="s">
        <v>129</v>
      </c>
      <c r="B43" t="s">
        <v>620</v>
      </c>
    </row>
    <row r="44" spans="1:2" x14ac:dyDescent="0.25">
      <c r="A44" t="s">
        <v>209</v>
      </c>
      <c r="B44" t="s">
        <v>618</v>
      </c>
    </row>
    <row r="45" spans="1:2" x14ac:dyDescent="0.25">
      <c r="A45" t="s">
        <v>210</v>
      </c>
      <c r="B45" t="s">
        <v>620</v>
      </c>
    </row>
    <row r="46" spans="1:2" x14ac:dyDescent="0.25">
      <c r="A46" t="s">
        <v>213</v>
      </c>
      <c r="B46" t="s">
        <v>618</v>
      </c>
    </row>
    <row r="47" spans="1:2" x14ac:dyDescent="0.25">
      <c r="A47" t="s">
        <v>215</v>
      </c>
      <c r="B47" t="s">
        <v>620</v>
      </c>
    </row>
    <row r="48" spans="1:2" x14ac:dyDescent="0.25">
      <c r="A48" t="s">
        <v>218</v>
      </c>
      <c r="B48" t="s">
        <v>620</v>
      </c>
    </row>
    <row r="49" spans="1:2" x14ac:dyDescent="0.25">
      <c r="A49" t="s">
        <v>96</v>
      </c>
      <c r="B49" t="s">
        <v>620</v>
      </c>
    </row>
    <row r="50" spans="1:2" x14ac:dyDescent="0.25">
      <c r="A50" t="s">
        <v>173</v>
      </c>
      <c r="B50" t="s">
        <v>618</v>
      </c>
    </row>
    <row r="51" spans="1:2" x14ac:dyDescent="0.25">
      <c r="A51" t="s">
        <v>133</v>
      </c>
      <c r="B51" t="s">
        <v>620</v>
      </c>
    </row>
    <row r="52" spans="1:2" x14ac:dyDescent="0.25">
      <c r="A52" t="s">
        <v>227</v>
      </c>
      <c r="B52" t="s">
        <v>618</v>
      </c>
    </row>
    <row r="53" spans="1:2" x14ac:dyDescent="0.25">
      <c r="A53" t="s">
        <v>229</v>
      </c>
      <c r="B53" t="s">
        <v>618</v>
      </c>
    </row>
    <row r="54" spans="1:2" x14ac:dyDescent="0.25">
      <c r="A54" t="s">
        <v>240</v>
      </c>
      <c r="B54" t="s">
        <v>618</v>
      </c>
    </row>
    <row r="55" spans="1:2" x14ac:dyDescent="0.25">
      <c r="A55" t="s">
        <v>242</v>
      </c>
      <c r="B55" t="s">
        <v>618</v>
      </c>
    </row>
    <row r="56" spans="1:2" x14ac:dyDescent="0.25">
      <c r="A56" t="s">
        <v>244</v>
      </c>
      <c r="B56" t="s">
        <v>620</v>
      </c>
    </row>
    <row r="57" spans="1:2" x14ac:dyDescent="0.25">
      <c r="A57" t="s">
        <v>247</v>
      </c>
      <c r="B57" t="s">
        <v>620</v>
      </c>
    </row>
    <row r="58" spans="1:2" x14ac:dyDescent="0.25">
      <c r="A58" t="s">
        <v>251</v>
      </c>
      <c r="B58" t="s">
        <v>620</v>
      </c>
    </row>
    <row r="59" spans="1:2" x14ac:dyDescent="0.25">
      <c r="A59" t="s">
        <v>254</v>
      </c>
      <c r="B59" t="s">
        <v>618</v>
      </c>
    </row>
    <row r="60" spans="1:2" x14ac:dyDescent="0.25">
      <c r="A60" t="s">
        <v>257</v>
      </c>
      <c r="B60" t="s">
        <v>618</v>
      </c>
    </row>
    <row r="61" spans="1:2" x14ac:dyDescent="0.25">
      <c r="A61" t="s">
        <v>106</v>
      </c>
      <c r="B61" t="s">
        <v>618</v>
      </c>
    </row>
    <row r="62" spans="1:2" x14ac:dyDescent="0.25">
      <c r="A62" t="s">
        <v>261</v>
      </c>
      <c r="B62" t="s">
        <v>618</v>
      </c>
    </row>
    <row r="63" spans="1:2" x14ac:dyDescent="0.25">
      <c r="A63" t="s">
        <v>265</v>
      </c>
      <c r="B63" t="s">
        <v>618</v>
      </c>
    </row>
    <row r="64" spans="1:2" x14ac:dyDescent="0.25">
      <c r="A64" t="s">
        <v>78</v>
      </c>
      <c r="B64" t="s">
        <v>618</v>
      </c>
    </row>
    <row r="65" spans="1:2" x14ac:dyDescent="0.25">
      <c r="A65" t="s">
        <v>270</v>
      </c>
      <c r="B65" t="s">
        <v>618</v>
      </c>
    </row>
    <row r="66" spans="1:2" x14ac:dyDescent="0.25">
      <c r="A66" t="s">
        <v>273</v>
      </c>
      <c r="B66" t="s">
        <v>618</v>
      </c>
    </row>
    <row r="67" spans="1:2" x14ac:dyDescent="0.25">
      <c r="A67" t="s">
        <v>275</v>
      </c>
      <c r="B67" t="s">
        <v>618</v>
      </c>
    </row>
    <row r="68" spans="1:2" x14ac:dyDescent="0.25">
      <c r="A68" t="s">
        <v>628</v>
      </c>
      <c r="B68" t="s">
        <v>620</v>
      </c>
    </row>
    <row r="69" spans="1:2" x14ac:dyDescent="0.25">
      <c r="A69" t="s">
        <v>280</v>
      </c>
      <c r="B69" t="s">
        <v>620</v>
      </c>
    </row>
    <row r="70" spans="1:2" x14ac:dyDescent="0.25">
      <c r="A70" t="s">
        <v>281</v>
      </c>
      <c r="B70" t="s">
        <v>620</v>
      </c>
    </row>
    <row r="71" spans="1:2" x14ac:dyDescent="0.25">
      <c r="A71" t="s">
        <v>283</v>
      </c>
      <c r="B71" t="s">
        <v>618</v>
      </c>
    </row>
    <row r="72" spans="1:2" x14ac:dyDescent="0.25">
      <c r="A72" t="s">
        <v>284</v>
      </c>
      <c r="B72" t="s">
        <v>620</v>
      </c>
    </row>
    <row r="73" spans="1:2" x14ac:dyDescent="0.25">
      <c r="A73" t="s">
        <v>110</v>
      </c>
      <c r="B73" t="s">
        <v>620</v>
      </c>
    </row>
    <row r="74" spans="1:2" x14ac:dyDescent="0.25">
      <c r="A74" t="s">
        <v>289</v>
      </c>
      <c r="B74" t="s">
        <v>618</v>
      </c>
    </row>
    <row r="75" spans="1:2" x14ac:dyDescent="0.25">
      <c r="A75" t="s">
        <v>296</v>
      </c>
      <c r="B75" t="s">
        <v>620</v>
      </c>
    </row>
    <row r="76" spans="1:2" x14ac:dyDescent="0.25">
      <c r="A76" t="s">
        <v>299</v>
      </c>
      <c r="B76" t="s">
        <v>618</v>
      </c>
    </row>
    <row r="77" spans="1:2" x14ac:dyDescent="0.25">
      <c r="A77" t="s">
        <v>301</v>
      </c>
      <c r="B77" t="s">
        <v>620</v>
      </c>
    </row>
    <row r="78" spans="1:2" x14ac:dyDescent="0.25">
      <c r="A78" t="s">
        <v>303</v>
      </c>
      <c r="B78" t="s">
        <v>620</v>
      </c>
    </row>
    <row r="79" spans="1:2" x14ac:dyDescent="0.25">
      <c r="A79" t="s">
        <v>305</v>
      </c>
      <c r="B79" t="s">
        <v>618</v>
      </c>
    </row>
    <row r="80" spans="1:2" x14ac:dyDescent="0.25">
      <c r="A80" t="s">
        <v>307</v>
      </c>
      <c r="B80" t="s">
        <v>618</v>
      </c>
    </row>
    <row r="81" spans="1:2" x14ac:dyDescent="0.25">
      <c r="A81" t="s">
        <v>318</v>
      </c>
      <c r="B81" t="s">
        <v>618</v>
      </c>
    </row>
    <row r="82" spans="1:2" x14ac:dyDescent="0.25">
      <c r="A82" t="s">
        <v>90</v>
      </c>
      <c r="B82" t="s">
        <v>620</v>
      </c>
    </row>
    <row r="83" spans="1:2" x14ac:dyDescent="0.25">
      <c r="A83" t="s">
        <v>629</v>
      </c>
      <c r="B83" t="s">
        <v>620</v>
      </c>
    </row>
    <row r="84" spans="1:2" x14ac:dyDescent="0.25">
      <c r="A84" t="s">
        <v>327</v>
      </c>
      <c r="B84" t="s">
        <v>618</v>
      </c>
    </row>
    <row r="85" spans="1:2" x14ac:dyDescent="0.25">
      <c r="A85" t="s">
        <v>73</v>
      </c>
      <c r="B85" t="s">
        <v>620</v>
      </c>
    </row>
    <row r="86" spans="1:2" x14ac:dyDescent="0.25">
      <c r="A86" t="s">
        <v>336</v>
      </c>
      <c r="B86" t="s">
        <v>618</v>
      </c>
    </row>
    <row r="87" spans="1:2" x14ac:dyDescent="0.25">
      <c r="A87" t="s">
        <v>66</v>
      </c>
      <c r="B87" t="s">
        <v>620</v>
      </c>
    </row>
    <row r="88" spans="1:2" x14ac:dyDescent="0.25">
      <c r="A88" t="s">
        <v>343</v>
      </c>
      <c r="B88" t="s">
        <v>618</v>
      </c>
    </row>
    <row r="89" spans="1:2" x14ac:dyDescent="0.25">
      <c r="A89" t="s">
        <v>95</v>
      </c>
      <c r="B89" t="s">
        <v>620</v>
      </c>
    </row>
    <row r="90" spans="1:2" x14ac:dyDescent="0.25">
      <c r="A90" t="s">
        <v>348</v>
      </c>
      <c r="B90" t="s">
        <v>620</v>
      </c>
    </row>
    <row r="91" spans="1:2" x14ac:dyDescent="0.25">
      <c r="A91" t="s">
        <v>351</v>
      </c>
      <c r="B91" t="s">
        <v>620</v>
      </c>
    </row>
    <row r="92" spans="1:2" x14ac:dyDescent="0.25">
      <c r="A92" t="s">
        <v>355</v>
      </c>
      <c r="B92" t="s">
        <v>620</v>
      </c>
    </row>
    <row r="93" spans="1:2" x14ac:dyDescent="0.25">
      <c r="A93" t="s">
        <v>357</v>
      </c>
      <c r="B93" t="s">
        <v>620</v>
      </c>
    </row>
    <row r="94" spans="1:2" x14ac:dyDescent="0.25">
      <c r="A94" t="s">
        <v>361</v>
      </c>
      <c r="B94" t="s">
        <v>620</v>
      </c>
    </row>
    <row r="95" spans="1:2" x14ac:dyDescent="0.25">
      <c r="A95" t="s">
        <v>380</v>
      </c>
      <c r="B95" t="s">
        <v>618</v>
      </c>
    </row>
    <row r="96" spans="1:2" x14ac:dyDescent="0.25">
      <c r="A96" t="s">
        <v>101</v>
      </c>
      <c r="B96" t="s">
        <v>620</v>
      </c>
    </row>
    <row r="97" spans="1:2" x14ac:dyDescent="0.25">
      <c r="A97" t="s">
        <v>388</v>
      </c>
      <c r="B97" t="s">
        <v>620</v>
      </c>
    </row>
    <row r="98" spans="1:2" x14ac:dyDescent="0.25">
      <c r="A98" t="s">
        <v>395</v>
      </c>
      <c r="B98" t="s">
        <v>620</v>
      </c>
    </row>
    <row r="99" spans="1:2" x14ac:dyDescent="0.25">
      <c r="A99" t="s">
        <v>108</v>
      </c>
      <c r="B99" t="s">
        <v>620</v>
      </c>
    </row>
    <row r="100" spans="1:2" x14ac:dyDescent="0.25">
      <c r="A100" t="s">
        <v>403</v>
      </c>
      <c r="B100" t="s">
        <v>620</v>
      </c>
    </row>
    <row r="101" spans="1:2" x14ac:dyDescent="0.25">
      <c r="A101" t="s">
        <v>89</v>
      </c>
      <c r="B101" t="s">
        <v>618</v>
      </c>
    </row>
    <row r="102" spans="1:2" x14ac:dyDescent="0.25">
      <c r="A102" t="s">
        <v>406</v>
      </c>
      <c r="B102" t="s">
        <v>620</v>
      </c>
    </row>
    <row r="103" spans="1:2" x14ac:dyDescent="0.25">
      <c r="A103" t="s">
        <v>408</v>
      </c>
      <c r="B103" t="s">
        <v>620</v>
      </c>
    </row>
    <row r="104" spans="1:2" x14ac:dyDescent="0.25">
      <c r="A104" t="s">
        <v>412</v>
      </c>
      <c r="B104" t="s">
        <v>618</v>
      </c>
    </row>
    <row r="105" spans="1:2" x14ac:dyDescent="0.25">
      <c r="A105" t="s">
        <v>123</v>
      </c>
      <c r="B105" t="s">
        <v>618</v>
      </c>
    </row>
    <row r="106" spans="1:2" x14ac:dyDescent="0.25">
      <c r="A106" t="s">
        <v>415</v>
      </c>
      <c r="B106" t="s">
        <v>618</v>
      </c>
    </row>
    <row r="107" spans="1:2" x14ac:dyDescent="0.25">
      <c r="A107" t="s">
        <v>417</v>
      </c>
      <c r="B107" t="s">
        <v>620</v>
      </c>
    </row>
    <row r="108" spans="1:2" x14ac:dyDescent="0.25">
      <c r="A108" t="s">
        <v>429</v>
      </c>
      <c r="B108" t="s">
        <v>620</v>
      </c>
    </row>
    <row r="109" spans="1:2" x14ac:dyDescent="0.25">
      <c r="A109" t="s">
        <v>431</v>
      </c>
      <c r="B109" t="s">
        <v>620</v>
      </c>
    </row>
    <row r="110" spans="1:2" x14ac:dyDescent="0.25">
      <c r="A110" t="s">
        <v>432</v>
      </c>
      <c r="B110" t="s">
        <v>620</v>
      </c>
    </row>
    <row r="111" spans="1:2" x14ac:dyDescent="0.25">
      <c r="A111" t="s">
        <v>434</v>
      </c>
      <c r="B111" t="s">
        <v>620</v>
      </c>
    </row>
    <row r="112" spans="1:2" x14ac:dyDescent="0.25">
      <c r="A112" t="s">
        <v>455</v>
      </c>
      <c r="B112" t="s">
        <v>620</v>
      </c>
    </row>
    <row r="113" spans="1:2" x14ac:dyDescent="0.25">
      <c r="A113" t="s">
        <v>456</v>
      </c>
      <c r="B113" t="s">
        <v>618</v>
      </c>
    </row>
    <row r="114" spans="1:2" x14ac:dyDescent="0.25">
      <c r="A114" t="s">
        <v>462</v>
      </c>
      <c r="B114" t="s">
        <v>618</v>
      </c>
    </row>
    <row r="115" spans="1:2" x14ac:dyDescent="0.25">
      <c r="A115" t="s">
        <v>467</v>
      </c>
      <c r="B115" t="s">
        <v>618</v>
      </c>
    </row>
    <row r="116" spans="1:2" x14ac:dyDescent="0.25">
      <c r="A116" t="s">
        <v>475</v>
      </c>
      <c r="B116" t="s">
        <v>618</v>
      </c>
    </row>
    <row r="117" spans="1:2" x14ac:dyDescent="0.25">
      <c r="A117" t="s">
        <v>477</v>
      </c>
      <c r="B117" t="s">
        <v>618</v>
      </c>
    </row>
    <row r="118" spans="1:2" x14ac:dyDescent="0.25">
      <c r="A118" t="s">
        <v>478</v>
      </c>
      <c r="B118" t="s">
        <v>620</v>
      </c>
    </row>
    <row r="119" spans="1:2" x14ac:dyDescent="0.25">
      <c r="A119" t="s">
        <v>481</v>
      </c>
      <c r="B119" t="s">
        <v>620</v>
      </c>
    </row>
    <row r="120" spans="1:2" x14ac:dyDescent="0.25">
      <c r="A120" t="s">
        <v>482</v>
      </c>
      <c r="B120" t="s">
        <v>618</v>
      </c>
    </row>
    <row r="121" spans="1:2" x14ac:dyDescent="0.25">
      <c r="A121" t="s">
        <v>485</v>
      </c>
      <c r="B121" t="s">
        <v>618</v>
      </c>
    </row>
    <row r="122" spans="1:2" x14ac:dyDescent="0.25">
      <c r="A122" t="s">
        <v>488</v>
      </c>
      <c r="B122" t="s">
        <v>618</v>
      </c>
    </row>
    <row r="123" spans="1:2" x14ac:dyDescent="0.25">
      <c r="A123" t="s">
        <v>491</v>
      </c>
      <c r="B123" t="s">
        <v>618</v>
      </c>
    </row>
    <row r="124" spans="1:2" x14ac:dyDescent="0.25">
      <c r="A124" t="s">
        <v>630</v>
      </c>
      <c r="B124" t="s">
        <v>616</v>
      </c>
    </row>
    <row r="125" spans="1:2" x14ac:dyDescent="0.25">
      <c r="A125" t="s">
        <v>180</v>
      </c>
      <c r="B125" t="s">
        <v>616</v>
      </c>
    </row>
    <row r="126" spans="1:2" x14ac:dyDescent="0.25">
      <c r="A126" t="s">
        <v>631</v>
      </c>
      <c r="B126" t="s">
        <v>612</v>
      </c>
    </row>
    <row r="127" spans="1:2" x14ac:dyDescent="0.25">
      <c r="A127" t="s">
        <v>632</v>
      </c>
      <c r="B127" t="s">
        <v>612</v>
      </c>
    </row>
    <row r="128" spans="1:2" x14ac:dyDescent="0.25">
      <c r="A128" t="s">
        <v>484</v>
      </c>
      <c r="B128" t="s">
        <v>616</v>
      </c>
    </row>
    <row r="129" spans="1:2" x14ac:dyDescent="0.25">
      <c r="A129" t="s">
        <v>399</v>
      </c>
      <c r="B129" t="s">
        <v>616</v>
      </c>
    </row>
    <row r="130" spans="1:2" x14ac:dyDescent="0.25">
      <c r="A130" t="s">
        <v>381</v>
      </c>
      <c r="B130" t="s">
        <v>616</v>
      </c>
    </row>
    <row r="131" spans="1:2" x14ac:dyDescent="0.25">
      <c r="A131" t="s">
        <v>633</v>
      </c>
      <c r="B131" t="s">
        <v>616</v>
      </c>
    </row>
    <row r="132" spans="1:2" x14ac:dyDescent="0.25">
      <c r="A132" t="s">
        <v>392</v>
      </c>
      <c r="B132" t="s">
        <v>616</v>
      </c>
    </row>
    <row r="133" spans="1:2" x14ac:dyDescent="0.25">
      <c r="A133" t="s">
        <v>194</v>
      </c>
      <c r="B133" t="s">
        <v>616</v>
      </c>
    </row>
    <row r="134" spans="1:2" x14ac:dyDescent="0.25">
      <c r="A134" t="s">
        <v>634</v>
      </c>
      <c r="B134" t="s">
        <v>616</v>
      </c>
    </row>
    <row r="135" spans="1:2" x14ac:dyDescent="0.25">
      <c r="A135" t="s">
        <v>635</v>
      </c>
      <c r="B135" t="s">
        <v>616</v>
      </c>
    </row>
    <row r="136" spans="1:2" x14ac:dyDescent="0.25">
      <c r="A136" t="s">
        <v>636</v>
      </c>
      <c r="B136" t="s">
        <v>616</v>
      </c>
    </row>
    <row r="137" spans="1:2" x14ac:dyDescent="0.25">
      <c r="A137" t="s">
        <v>637</v>
      </c>
      <c r="B137" t="s">
        <v>616</v>
      </c>
    </row>
    <row r="138" spans="1:2" x14ac:dyDescent="0.25">
      <c r="A138" t="s">
        <v>212</v>
      </c>
      <c r="B138" t="s">
        <v>616</v>
      </c>
    </row>
    <row r="139" spans="1:2" x14ac:dyDescent="0.25">
      <c r="A139" t="s">
        <v>187</v>
      </c>
      <c r="B139" t="s">
        <v>616</v>
      </c>
    </row>
    <row r="140" spans="1:2" x14ac:dyDescent="0.25">
      <c r="A140" t="s">
        <v>199</v>
      </c>
      <c r="B140" t="s">
        <v>616</v>
      </c>
    </row>
    <row r="141" spans="1:2" x14ac:dyDescent="0.25">
      <c r="A141" t="s">
        <v>224</v>
      </c>
      <c r="B141" t="s">
        <v>612</v>
      </c>
    </row>
    <row r="142" spans="1:2" x14ac:dyDescent="0.25">
      <c r="A142" t="s">
        <v>202</v>
      </c>
      <c r="B142" t="s">
        <v>616</v>
      </c>
    </row>
    <row r="143" spans="1:2" x14ac:dyDescent="0.25">
      <c r="A143" t="s">
        <v>206</v>
      </c>
      <c r="B143" t="s">
        <v>616</v>
      </c>
    </row>
    <row r="144" spans="1:2" x14ac:dyDescent="0.25">
      <c r="A144" t="s">
        <v>297</v>
      </c>
      <c r="B144" t="s">
        <v>616</v>
      </c>
    </row>
    <row r="145" spans="1:2" x14ac:dyDescent="0.25">
      <c r="A145" t="s">
        <v>411</v>
      </c>
      <c r="B145" t="s">
        <v>616</v>
      </c>
    </row>
    <row r="146" spans="1:2" x14ac:dyDescent="0.25">
      <c r="A146" t="s">
        <v>420</v>
      </c>
      <c r="B146" t="s">
        <v>616</v>
      </c>
    </row>
    <row r="147" spans="1:2" x14ac:dyDescent="0.25">
      <c r="A147" t="s">
        <v>372</v>
      </c>
      <c r="B147" t="s">
        <v>616</v>
      </c>
    </row>
    <row r="148" spans="1:2" x14ac:dyDescent="0.25">
      <c r="A148" t="s">
        <v>591</v>
      </c>
      <c r="B148" t="s">
        <v>616</v>
      </c>
    </row>
    <row r="149" spans="1:2" x14ac:dyDescent="0.25">
      <c r="A149" t="s">
        <v>638</v>
      </c>
      <c r="B149" t="s">
        <v>616</v>
      </c>
    </row>
    <row r="150" spans="1:2" x14ac:dyDescent="0.25">
      <c r="A150" t="s">
        <v>264</v>
      </c>
      <c r="B150" t="s">
        <v>616</v>
      </c>
    </row>
    <row r="151" spans="1:2" x14ac:dyDescent="0.25">
      <c r="A151" t="s">
        <v>639</v>
      </c>
      <c r="B151" t="s">
        <v>616</v>
      </c>
    </row>
    <row r="152" spans="1:2" x14ac:dyDescent="0.25">
      <c r="A152" t="s">
        <v>640</v>
      </c>
      <c r="B152" t="s">
        <v>616</v>
      </c>
    </row>
    <row r="153" spans="1:2" x14ac:dyDescent="0.25">
      <c r="A153" t="s">
        <v>58</v>
      </c>
      <c r="B153" t="s">
        <v>616</v>
      </c>
    </row>
    <row r="154" spans="1:2" x14ac:dyDescent="0.25">
      <c r="A154" t="s">
        <v>490</v>
      </c>
      <c r="B154" t="s">
        <v>616</v>
      </c>
    </row>
    <row r="155" spans="1:2" x14ac:dyDescent="0.25">
      <c r="A155" t="s">
        <v>272</v>
      </c>
      <c r="B155" t="s">
        <v>616</v>
      </c>
    </row>
    <row r="156" spans="1:2" x14ac:dyDescent="0.25">
      <c r="A156" t="s">
        <v>641</v>
      </c>
      <c r="B156" t="s">
        <v>616</v>
      </c>
    </row>
    <row r="157" spans="1:2" x14ac:dyDescent="0.25">
      <c r="A157" t="s">
        <v>492</v>
      </c>
      <c r="B157" t="s">
        <v>616</v>
      </c>
    </row>
    <row r="158" spans="1:2" x14ac:dyDescent="0.25">
      <c r="A158" t="s">
        <v>217</v>
      </c>
      <c r="B158" t="s">
        <v>616</v>
      </c>
    </row>
    <row r="159" spans="1:2" x14ac:dyDescent="0.25">
      <c r="A159" t="s">
        <v>290</v>
      </c>
      <c r="B159" t="s">
        <v>616</v>
      </c>
    </row>
    <row r="160" spans="1:2" x14ac:dyDescent="0.25">
      <c r="A160" t="s">
        <v>328</v>
      </c>
      <c r="B160" t="s">
        <v>616</v>
      </c>
    </row>
    <row r="161" spans="1:2" x14ac:dyDescent="0.25">
      <c r="A161" t="s">
        <v>245</v>
      </c>
      <c r="B161" t="s">
        <v>612</v>
      </c>
    </row>
    <row r="162" spans="1:2" x14ac:dyDescent="0.25">
      <c r="A162" t="s">
        <v>345</v>
      </c>
      <c r="B162" t="s">
        <v>612</v>
      </c>
    </row>
    <row r="163" spans="1:2" x14ac:dyDescent="0.25">
      <c r="A163" t="s">
        <v>553</v>
      </c>
      <c r="B163" t="s">
        <v>616</v>
      </c>
    </row>
    <row r="164" spans="1:2" x14ac:dyDescent="0.25">
      <c r="A164" t="s">
        <v>642</v>
      </c>
      <c r="B164" t="s">
        <v>616</v>
      </c>
    </row>
    <row r="165" spans="1:2" x14ac:dyDescent="0.25">
      <c r="A165" t="s">
        <v>643</v>
      </c>
      <c r="B165" t="s">
        <v>616</v>
      </c>
    </row>
    <row r="166" spans="1:2" x14ac:dyDescent="0.25">
      <c r="A166" t="s">
        <v>360</v>
      </c>
      <c r="B166" t="s">
        <v>616</v>
      </c>
    </row>
    <row r="167" spans="1:2" x14ac:dyDescent="0.25">
      <c r="A167" t="s">
        <v>522</v>
      </c>
      <c r="B167" t="s">
        <v>616</v>
      </c>
    </row>
    <row r="168" spans="1:2" x14ac:dyDescent="0.25">
      <c r="A168" t="s">
        <v>570</v>
      </c>
      <c r="B168" t="s">
        <v>616</v>
      </c>
    </row>
    <row r="169" spans="1:2" x14ac:dyDescent="0.25">
      <c r="A169" t="s">
        <v>376</v>
      </c>
      <c r="B169" t="s">
        <v>616</v>
      </c>
    </row>
    <row r="170" spans="1:2" x14ac:dyDescent="0.25">
      <c r="A170" t="s">
        <v>599</v>
      </c>
      <c r="B170" t="s">
        <v>616</v>
      </c>
    </row>
    <row r="171" spans="1:2" x14ac:dyDescent="0.25">
      <c r="A171" t="s">
        <v>480</v>
      </c>
      <c r="B171" t="s">
        <v>616</v>
      </c>
    </row>
    <row r="172" spans="1:2" x14ac:dyDescent="0.25">
      <c r="A172" t="s">
        <v>404</v>
      </c>
      <c r="B172" t="s">
        <v>612</v>
      </c>
    </row>
    <row r="173" spans="1:2" x14ac:dyDescent="0.25">
      <c r="A173" t="s">
        <v>390</v>
      </c>
      <c r="B173" t="s">
        <v>612</v>
      </c>
    </row>
    <row r="174" spans="1:2" x14ac:dyDescent="0.25">
      <c r="A174" t="s">
        <v>644</v>
      </c>
      <c r="B174" t="s">
        <v>612</v>
      </c>
    </row>
    <row r="175" spans="1:2" x14ac:dyDescent="0.25">
      <c r="A175" t="s">
        <v>645</v>
      </c>
      <c r="B175" t="s">
        <v>612</v>
      </c>
    </row>
    <row r="176" spans="1:2" x14ac:dyDescent="0.25">
      <c r="A176" t="s">
        <v>646</v>
      </c>
      <c r="B176" t="s">
        <v>612</v>
      </c>
    </row>
    <row r="177" spans="1:2" x14ac:dyDescent="0.25">
      <c r="A177" t="s">
        <v>647</v>
      </c>
      <c r="B177" t="s">
        <v>612</v>
      </c>
    </row>
    <row r="178" spans="1:2" x14ac:dyDescent="0.25">
      <c r="A178" t="s">
        <v>211</v>
      </c>
      <c r="B178" t="s">
        <v>612</v>
      </c>
    </row>
    <row r="179" spans="1:2" x14ac:dyDescent="0.25">
      <c r="A179" t="s">
        <v>287</v>
      </c>
      <c r="B179" t="s">
        <v>612</v>
      </c>
    </row>
    <row r="180" spans="1:2" x14ac:dyDescent="0.25">
      <c r="A180" t="s">
        <v>320</v>
      </c>
      <c r="B180" t="s">
        <v>612</v>
      </c>
    </row>
    <row r="181" spans="1:2" x14ac:dyDescent="0.25">
      <c r="A181" t="s">
        <v>197</v>
      </c>
      <c r="B181" t="s">
        <v>612</v>
      </c>
    </row>
    <row r="182" spans="1:2" x14ac:dyDescent="0.25">
      <c r="A182" t="s">
        <v>282</v>
      </c>
      <c r="B182" t="s">
        <v>612</v>
      </c>
    </row>
    <row r="183" spans="1:2" x14ac:dyDescent="0.25">
      <c r="A183" t="s">
        <v>648</v>
      </c>
      <c r="B183" t="s">
        <v>612</v>
      </c>
    </row>
    <row r="184" spans="1:2" x14ac:dyDescent="0.25">
      <c r="A184" t="s">
        <v>195</v>
      </c>
      <c r="B184" t="s">
        <v>612</v>
      </c>
    </row>
    <row r="185" spans="1:2" x14ac:dyDescent="0.25">
      <c r="A185" t="s">
        <v>286</v>
      </c>
      <c r="B185" t="s">
        <v>612</v>
      </c>
    </row>
    <row r="186" spans="1:2" x14ac:dyDescent="0.25">
      <c r="A186" t="s">
        <v>208</v>
      </c>
      <c r="B186" t="s">
        <v>612</v>
      </c>
    </row>
    <row r="187" spans="1:2" x14ac:dyDescent="0.25">
      <c r="A187" t="s">
        <v>186</v>
      </c>
      <c r="B187" t="s">
        <v>612</v>
      </c>
    </row>
    <row r="188" spans="1:2" x14ac:dyDescent="0.25">
      <c r="A188" t="s">
        <v>499</v>
      </c>
      <c r="B188" t="s">
        <v>612</v>
      </c>
    </row>
    <row r="189" spans="1:2" x14ac:dyDescent="0.25">
      <c r="A189" t="s">
        <v>288</v>
      </c>
      <c r="B189" t="s">
        <v>612</v>
      </c>
    </row>
    <row r="190" spans="1:2" x14ac:dyDescent="0.25">
      <c r="A190" t="s">
        <v>198</v>
      </c>
      <c r="B190" t="s">
        <v>612</v>
      </c>
    </row>
    <row r="191" spans="1:2" x14ac:dyDescent="0.25">
      <c r="A191" t="s">
        <v>500</v>
      </c>
      <c r="B191" t="s">
        <v>612</v>
      </c>
    </row>
    <row r="192" spans="1:2" x14ac:dyDescent="0.25">
      <c r="A192" t="s">
        <v>203</v>
      </c>
      <c r="B192" t="s">
        <v>612</v>
      </c>
    </row>
    <row r="193" spans="1:2" x14ac:dyDescent="0.25">
      <c r="A193" t="s">
        <v>649</v>
      </c>
      <c r="B193" t="s">
        <v>612</v>
      </c>
    </row>
    <row r="194" spans="1:2" x14ac:dyDescent="0.25">
      <c r="A194" t="s">
        <v>252</v>
      </c>
      <c r="B194" t="s">
        <v>612</v>
      </c>
    </row>
    <row r="195" spans="1:2" x14ac:dyDescent="0.25">
      <c r="A195" t="s">
        <v>205</v>
      </c>
      <c r="B195" t="s">
        <v>612</v>
      </c>
    </row>
    <row r="196" spans="1:2" x14ac:dyDescent="0.25">
      <c r="A196" t="s">
        <v>321</v>
      </c>
      <c r="B196" t="s">
        <v>612</v>
      </c>
    </row>
    <row r="197" spans="1:2" x14ac:dyDescent="0.25">
      <c r="A197" t="s">
        <v>298</v>
      </c>
      <c r="B197" t="s">
        <v>612</v>
      </c>
    </row>
    <row r="198" spans="1:2" x14ac:dyDescent="0.25">
      <c r="A198" t="s">
        <v>425</v>
      </c>
      <c r="B198" t="s">
        <v>612</v>
      </c>
    </row>
    <row r="199" spans="1:2" x14ac:dyDescent="0.25">
      <c r="A199" t="s">
        <v>410</v>
      </c>
      <c r="B199" t="s">
        <v>612</v>
      </c>
    </row>
    <row r="200" spans="1:2" x14ac:dyDescent="0.25">
      <c r="A200" t="s">
        <v>479</v>
      </c>
      <c r="B200" t="s">
        <v>612</v>
      </c>
    </row>
    <row r="201" spans="1:2" x14ac:dyDescent="0.25">
      <c r="A201" t="s">
        <v>501</v>
      </c>
      <c r="B201" t="s">
        <v>612</v>
      </c>
    </row>
    <row r="202" spans="1:2" x14ac:dyDescent="0.25">
      <c r="A202" t="s">
        <v>496</v>
      </c>
      <c r="B202" t="s">
        <v>612</v>
      </c>
    </row>
    <row r="203" spans="1:2" x14ac:dyDescent="0.25">
      <c r="A203" t="s">
        <v>596</v>
      </c>
      <c r="B203" t="s">
        <v>612</v>
      </c>
    </row>
    <row r="204" spans="1:2" x14ac:dyDescent="0.25">
      <c r="A204" t="s">
        <v>584</v>
      </c>
      <c r="B204" t="s">
        <v>612</v>
      </c>
    </row>
    <row r="205" spans="1:2" x14ac:dyDescent="0.25">
      <c r="A205" t="s">
        <v>557</v>
      </c>
      <c r="B205" t="s">
        <v>612</v>
      </c>
    </row>
    <row r="206" spans="1:2" x14ac:dyDescent="0.25">
      <c r="A206" t="s">
        <v>559</v>
      </c>
      <c r="B206" t="s">
        <v>612</v>
      </c>
    </row>
    <row r="207" spans="1:2" x14ac:dyDescent="0.25">
      <c r="A207" t="s">
        <v>581</v>
      </c>
      <c r="B207" t="s">
        <v>612</v>
      </c>
    </row>
    <row r="208" spans="1:2" x14ac:dyDescent="0.25">
      <c r="A208" t="s">
        <v>650</v>
      </c>
      <c r="B208" t="s">
        <v>612</v>
      </c>
    </row>
    <row r="209" spans="1:2" x14ac:dyDescent="0.25">
      <c r="A209" t="s">
        <v>651</v>
      </c>
      <c r="B209" t="s">
        <v>612</v>
      </c>
    </row>
    <row r="210" spans="1:2" x14ac:dyDescent="0.25">
      <c r="A210" t="s">
        <v>489</v>
      </c>
      <c r="B210" t="s">
        <v>612</v>
      </c>
    </row>
    <row r="211" spans="1:2" x14ac:dyDescent="0.25">
      <c r="A211" t="s">
        <v>483</v>
      </c>
      <c r="B211" t="s">
        <v>612</v>
      </c>
    </row>
    <row r="212" spans="1:2" x14ac:dyDescent="0.25">
      <c r="A212" t="s">
        <v>308</v>
      </c>
      <c r="B212" t="s">
        <v>612</v>
      </c>
    </row>
    <row r="213" spans="1:2" x14ac:dyDescent="0.25">
      <c r="A213" t="s">
        <v>255</v>
      </c>
      <c r="B213" t="s">
        <v>612</v>
      </c>
    </row>
    <row r="214" spans="1:2" x14ac:dyDescent="0.25">
      <c r="A214" t="s">
        <v>468</v>
      </c>
      <c r="B214" t="s">
        <v>612</v>
      </c>
    </row>
    <row r="215" spans="1:2" x14ac:dyDescent="0.25">
      <c r="A215" t="s">
        <v>416</v>
      </c>
      <c r="B215" t="s">
        <v>612</v>
      </c>
    </row>
    <row r="216" spans="1:2" x14ac:dyDescent="0.25">
      <c r="A216" t="s">
        <v>269</v>
      </c>
      <c r="B216" t="s">
        <v>612</v>
      </c>
    </row>
    <row r="217" spans="1:2" x14ac:dyDescent="0.25">
      <c r="A217" t="s">
        <v>267</v>
      </c>
      <c r="B217" t="s">
        <v>612</v>
      </c>
    </row>
    <row r="218" spans="1:2" x14ac:dyDescent="0.25">
      <c r="A218" t="s">
        <v>263</v>
      </c>
      <c r="B218" t="s">
        <v>612</v>
      </c>
    </row>
    <row r="219" spans="1:2" x14ac:dyDescent="0.25">
      <c r="A219" t="s">
        <v>309</v>
      </c>
      <c r="B219" t="s">
        <v>612</v>
      </c>
    </row>
    <row r="220" spans="1:2" x14ac:dyDescent="0.25">
      <c r="A220" t="s">
        <v>652</v>
      </c>
      <c r="B220" t="s">
        <v>612</v>
      </c>
    </row>
    <row r="221" spans="1:2" x14ac:dyDescent="0.25">
      <c r="A221" t="s">
        <v>653</v>
      </c>
      <c r="B221" t="s">
        <v>612</v>
      </c>
    </row>
    <row r="222" spans="1:2" x14ac:dyDescent="0.25">
      <c r="A222" t="s">
        <v>566</v>
      </c>
      <c r="B222" t="s">
        <v>612</v>
      </c>
    </row>
    <row r="223" spans="1:2" x14ac:dyDescent="0.25">
      <c r="A223" t="s">
        <v>564</v>
      </c>
      <c r="B223" t="s">
        <v>612</v>
      </c>
    </row>
    <row r="224" spans="1:2" x14ac:dyDescent="0.25">
      <c r="A224" t="s">
        <v>57</v>
      </c>
      <c r="B224" t="s">
        <v>612</v>
      </c>
    </row>
    <row r="225" spans="1:2" x14ac:dyDescent="0.25">
      <c r="A225" t="s">
        <v>214</v>
      </c>
      <c r="B225" t="s">
        <v>612</v>
      </c>
    </row>
    <row r="226" spans="1:2" x14ac:dyDescent="0.25">
      <c r="A226" t="s">
        <v>228</v>
      </c>
      <c r="B226" t="s">
        <v>612</v>
      </c>
    </row>
    <row r="227" spans="1:2" x14ac:dyDescent="0.25">
      <c r="A227" t="s">
        <v>476</v>
      </c>
      <c r="B227" t="s">
        <v>612</v>
      </c>
    </row>
    <row r="228" spans="1:2" x14ac:dyDescent="0.25">
      <c r="A228" t="s">
        <v>654</v>
      </c>
      <c r="B228" t="s">
        <v>612</v>
      </c>
    </row>
    <row r="229" spans="1:2" x14ac:dyDescent="0.25">
      <c r="A229" t="s">
        <v>271</v>
      </c>
      <c r="B229" t="s">
        <v>612</v>
      </c>
    </row>
    <row r="230" spans="1:2" x14ac:dyDescent="0.25">
      <c r="A230" t="s">
        <v>274</v>
      </c>
      <c r="B230" t="s">
        <v>612</v>
      </c>
    </row>
    <row r="231" spans="1:2" x14ac:dyDescent="0.25">
      <c r="A231" t="s">
        <v>337</v>
      </c>
      <c r="B231" t="s">
        <v>612</v>
      </c>
    </row>
    <row r="232" spans="1:2" x14ac:dyDescent="0.25">
      <c r="A232" t="s">
        <v>259</v>
      </c>
      <c r="B232" t="s">
        <v>612</v>
      </c>
    </row>
    <row r="233" spans="1:2" x14ac:dyDescent="0.25">
      <c r="A233" t="s">
        <v>502</v>
      </c>
      <c r="B233" t="s">
        <v>612</v>
      </c>
    </row>
    <row r="234" spans="1:2" x14ac:dyDescent="0.25">
      <c r="A234" t="s">
        <v>655</v>
      </c>
      <c r="B234" t="s">
        <v>612</v>
      </c>
    </row>
    <row r="235" spans="1:2" x14ac:dyDescent="0.25">
      <c r="A235" t="s">
        <v>191</v>
      </c>
      <c r="B235" t="s">
        <v>612</v>
      </c>
    </row>
    <row r="236" spans="1:2" x14ac:dyDescent="0.25">
      <c r="A236" t="s">
        <v>656</v>
      </c>
      <c r="B236" t="s">
        <v>612</v>
      </c>
    </row>
    <row r="237" spans="1:2" x14ac:dyDescent="0.25">
      <c r="A237" t="s">
        <v>253</v>
      </c>
      <c r="B237" t="s">
        <v>612</v>
      </c>
    </row>
    <row r="238" spans="1:2" x14ac:dyDescent="0.25">
      <c r="A238" t="s">
        <v>216</v>
      </c>
      <c r="B238" t="s">
        <v>612</v>
      </c>
    </row>
    <row r="239" spans="1:2" x14ac:dyDescent="0.25">
      <c r="A239" t="s">
        <v>226</v>
      </c>
      <c r="B239" t="s">
        <v>612</v>
      </c>
    </row>
    <row r="240" spans="1:2" x14ac:dyDescent="0.25">
      <c r="A240" t="s">
        <v>221</v>
      </c>
      <c r="B240" t="s">
        <v>612</v>
      </c>
    </row>
    <row r="241" spans="1:2" x14ac:dyDescent="0.25">
      <c r="A241" t="s">
        <v>657</v>
      </c>
      <c r="B241" t="s">
        <v>612</v>
      </c>
    </row>
    <row r="242" spans="1:2" x14ac:dyDescent="0.25">
      <c r="A242" t="s">
        <v>658</v>
      </c>
      <c r="B242" t="s">
        <v>612</v>
      </c>
    </row>
    <row r="243" spans="1:2" x14ac:dyDescent="0.25">
      <c r="A243" t="s">
        <v>292</v>
      </c>
      <c r="B243" t="s">
        <v>616</v>
      </c>
    </row>
    <row r="244" spans="1:2" x14ac:dyDescent="0.25">
      <c r="A244" t="s">
        <v>383</v>
      </c>
      <c r="B244" t="s">
        <v>612</v>
      </c>
    </row>
    <row r="245" spans="1:2" x14ac:dyDescent="0.25">
      <c r="A245" t="s">
        <v>346</v>
      </c>
      <c r="B245" t="s">
        <v>612</v>
      </c>
    </row>
    <row r="246" spans="1:2" x14ac:dyDescent="0.25">
      <c r="A246" t="s">
        <v>295</v>
      </c>
      <c r="B246" t="s">
        <v>612</v>
      </c>
    </row>
    <row r="247" spans="1:2" x14ac:dyDescent="0.25">
      <c r="A247" t="s">
        <v>306</v>
      </c>
      <c r="B247" t="s">
        <v>612</v>
      </c>
    </row>
    <row r="248" spans="1:2" x14ac:dyDescent="0.25">
      <c r="A248" t="s">
        <v>464</v>
      </c>
      <c r="B248" t="s">
        <v>612</v>
      </c>
    </row>
    <row r="249" spans="1:2" x14ac:dyDescent="0.25">
      <c r="A249" t="s">
        <v>659</v>
      </c>
      <c r="B249" t="s">
        <v>612</v>
      </c>
    </row>
    <row r="250" spans="1:2" x14ac:dyDescent="0.25">
      <c r="A250" t="s">
        <v>466</v>
      </c>
      <c r="B250" t="s">
        <v>612</v>
      </c>
    </row>
    <row r="251" spans="1:2" x14ac:dyDescent="0.25">
      <c r="A251" t="s">
        <v>379</v>
      </c>
      <c r="B251" t="s">
        <v>612</v>
      </c>
    </row>
    <row r="252" spans="1:2" x14ac:dyDescent="0.25">
      <c r="A252" t="s">
        <v>319</v>
      </c>
      <c r="B252" t="s">
        <v>612</v>
      </c>
    </row>
    <row r="253" spans="1:2" x14ac:dyDescent="0.25">
      <c r="A253" t="s">
        <v>504</v>
      </c>
      <c r="B253" t="s">
        <v>612</v>
      </c>
    </row>
    <row r="254" spans="1:2" x14ac:dyDescent="0.25">
      <c r="A254" t="s">
        <v>660</v>
      </c>
      <c r="B254" t="s">
        <v>612</v>
      </c>
    </row>
    <row r="255" spans="1:2" x14ac:dyDescent="0.25">
      <c r="A255" t="s">
        <v>277</v>
      </c>
      <c r="B255" t="s">
        <v>612</v>
      </c>
    </row>
    <row r="256" spans="1:2" x14ac:dyDescent="0.25">
      <c r="A256" t="s">
        <v>246</v>
      </c>
      <c r="B256" t="s">
        <v>612</v>
      </c>
    </row>
    <row r="257" spans="1:2" x14ac:dyDescent="0.25">
      <c r="A257" t="s">
        <v>189</v>
      </c>
      <c r="B257" t="s">
        <v>612</v>
      </c>
    </row>
    <row r="258" spans="1:2" x14ac:dyDescent="0.25">
      <c r="A258" t="s">
        <v>190</v>
      </c>
      <c r="B258" t="s">
        <v>612</v>
      </c>
    </row>
    <row r="259" spans="1:2" x14ac:dyDescent="0.25">
      <c r="A259" t="s">
        <v>505</v>
      </c>
      <c r="B259" t="s">
        <v>612</v>
      </c>
    </row>
    <row r="260" spans="1:2" x14ac:dyDescent="0.25">
      <c r="A260" t="s">
        <v>572</v>
      </c>
      <c r="B260" t="s">
        <v>612</v>
      </c>
    </row>
    <row r="261" spans="1:2" x14ac:dyDescent="0.25">
      <c r="A261" t="s">
        <v>382</v>
      </c>
      <c r="B261" t="s">
        <v>612</v>
      </c>
    </row>
    <row r="262" spans="1:2" x14ac:dyDescent="0.25">
      <c r="A262" t="s">
        <v>661</v>
      </c>
      <c r="B262" t="s">
        <v>612</v>
      </c>
    </row>
    <row r="263" spans="1:2" x14ac:dyDescent="0.25">
      <c r="A263" t="s">
        <v>256</v>
      </c>
      <c r="B263" t="s">
        <v>612</v>
      </c>
    </row>
    <row r="264" spans="1:2" x14ac:dyDescent="0.25">
      <c r="A264" t="s">
        <v>222</v>
      </c>
      <c r="B264" t="s">
        <v>612</v>
      </c>
    </row>
    <row r="265" spans="1:2" x14ac:dyDescent="0.25">
      <c r="A265" t="s">
        <v>220</v>
      </c>
      <c r="B265" t="s">
        <v>612</v>
      </c>
    </row>
    <row r="266" spans="1:2" x14ac:dyDescent="0.25">
      <c r="A266" t="s">
        <v>219</v>
      </c>
      <c r="B266" t="s">
        <v>612</v>
      </c>
    </row>
    <row r="267" spans="1:2" x14ac:dyDescent="0.25">
      <c r="A267" t="s">
        <v>183</v>
      </c>
      <c r="B267" t="s">
        <v>612</v>
      </c>
    </row>
    <row r="268" spans="1:2" x14ac:dyDescent="0.25">
      <c r="A268" t="s">
        <v>465</v>
      </c>
      <c r="B268" t="s">
        <v>612</v>
      </c>
    </row>
    <row r="269" spans="1:2" x14ac:dyDescent="0.25">
      <c r="A269" t="s">
        <v>384</v>
      </c>
      <c r="B269" t="s">
        <v>612</v>
      </c>
    </row>
    <row r="270" spans="1:2" x14ac:dyDescent="0.25">
      <c r="A270" t="s">
        <v>495</v>
      </c>
      <c r="B270" t="s">
        <v>612</v>
      </c>
    </row>
    <row r="271" spans="1:2" x14ac:dyDescent="0.25">
      <c r="A271" t="s">
        <v>498</v>
      </c>
      <c r="B271" t="s">
        <v>612</v>
      </c>
    </row>
    <row r="272" spans="1:2" x14ac:dyDescent="0.25">
      <c r="A272" t="s">
        <v>497</v>
      </c>
      <c r="B272" t="s">
        <v>612</v>
      </c>
    </row>
    <row r="273" spans="1:2" x14ac:dyDescent="0.25">
      <c r="A273" t="s">
        <v>293</v>
      </c>
      <c r="B273" t="s">
        <v>612</v>
      </c>
    </row>
    <row r="274" spans="1:2" x14ac:dyDescent="0.25">
      <c r="A274" t="s">
        <v>291</v>
      </c>
      <c r="B274" t="s">
        <v>612</v>
      </c>
    </row>
    <row r="275" spans="1:2" x14ac:dyDescent="0.25">
      <c r="A275" t="s">
        <v>503</v>
      </c>
      <c r="B275" t="s">
        <v>612</v>
      </c>
    </row>
    <row r="276" spans="1:2" x14ac:dyDescent="0.25">
      <c r="A276" t="s">
        <v>587</v>
      </c>
      <c r="B276" t="s">
        <v>612</v>
      </c>
    </row>
    <row r="277" spans="1:2" x14ac:dyDescent="0.25">
      <c r="A277" t="s">
        <v>561</v>
      </c>
      <c r="B277" t="s">
        <v>612</v>
      </c>
    </row>
    <row r="278" spans="1:2" x14ac:dyDescent="0.25">
      <c r="A278" t="s">
        <v>662</v>
      </c>
      <c r="B278" t="s">
        <v>612</v>
      </c>
    </row>
    <row r="279" spans="1:2" x14ac:dyDescent="0.25">
      <c r="A279" t="s">
        <v>521</v>
      </c>
      <c r="B279" t="s">
        <v>612</v>
      </c>
    </row>
    <row r="280" spans="1:2" x14ac:dyDescent="0.25">
      <c r="A280" t="s">
        <v>579</v>
      </c>
      <c r="B280" t="s">
        <v>612</v>
      </c>
    </row>
    <row r="281" spans="1:2" x14ac:dyDescent="0.25">
      <c r="A281" t="s">
        <v>604</v>
      </c>
      <c r="B281" t="s">
        <v>612</v>
      </c>
    </row>
    <row r="282" spans="1:2" x14ac:dyDescent="0.25">
      <c r="A282" t="s">
        <v>576</v>
      </c>
      <c r="B282" t="s">
        <v>612</v>
      </c>
    </row>
    <row r="283" spans="1:2" x14ac:dyDescent="0.25">
      <c r="A283" t="s">
        <v>574</v>
      </c>
      <c r="B283" t="s">
        <v>612</v>
      </c>
    </row>
    <row r="284" spans="1:2" x14ac:dyDescent="0.25">
      <c r="A284" t="s">
        <v>663</v>
      </c>
      <c r="B284" t="s">
        <v>612</v>
      </c>
    </row>
    <row r="285" spans="1:2" x14ac:dyDescent="0.25">
      <c r="A285" t="s">
        <v>54</v>
      </c>
      <c r="B285" t="s">
        <v>616</v>
      </c>
    </row>
    <row r="286" spans="1:2" x14ac:dyDescent="0.25">
      <c r="A286" t="s">
        <v>182</v>
      </c>
      <c r="B286" t="s">
        <v>616</v>
      </c>
    </row>
    <row r="287" spans="1:2" x14ac:dyDescent="0.25">
      <c r="A287" t="s">
        <v>159</v>
      </c>
      <c r="B287" t="s">
        <v>616</v>
      </c>
    </row>
    <row r="288" spans="1:2" x14ac:dyDescent="0.25">
      <c r="A288" t="s">
        <v>141</v>
      </c>
      <c r="B288" t="s">
        <v>616</v>
      </c>
    </row>
    <row r="289" spans="1:2" x14ac:dyDescent="0.25">
      <c r="A289" t="s">
        <v>285</v>
      </c>
      <c r="B289" t="s">
        <v>616</v>
      </c>
    </row>
    <row r="290" spans="1:2" x14ac:dyDescent="0.25">
      <c r="A290" t="s">
        <v>185</v>
      </c>
      <c r="B290" t="s">
        <v>616</v>
      </c>
    </row>
    <row r="291" spans="1:2" x14ac:dyDescent="0.25">
      <c r="A291" t="s">
        <v>144</v>
      </c>
      <c r="B291" t="s">
        <v>616</v>
      </c>
    </row>
    <row r="292" spans="1:2" x14ac:dyDescent="0.25">
      <c r="A292" t="s">
        <v>147</v>
      </c>
      <c r="B292" t="s">
        <v>616</v>
      </c>
    </row>
    <row r="293" spans="1:2" x14ac:dyDescent="0.25">
      <c r="A293" t="s">
        <v>262</v>
      </c>
      <c r="B293" t="s">
        <v>616</v>
      </c>
    </row>
    <row r="294" spans="1:2" x14ac:dyDescent="0.25">
      <c r="A294" t="s">
        <v>241</v>
      </c>
      <c r="B294" t="s">
        <v>612</v>
      </c>
    </row>
    <row r="295" spans="1:2" x14ac:dyDescent="0.25">
      <c r="A295" t="s">
        <v>664</v>
      </c>
      <c r="B295" t="s">
        <v>612</v>
      </c>
    </row>
    <row r="296" spans="1:2" x14ac:dyDescent="0.25">
      <c r="A296" t="s">
        <v>493</v>
      </c>
      <c r="B296" t="s">
        <v>612</v>
      </c>
    </row>
    <row r="297" spans="1:2" x14ac:dyDescent="0.25">
      <c r="A297" t="s">
        <v>230</v>
      </c>
      <c r="B297" t="s">
        <v>612</v>
      </c>
    </row>
    <row r="298" spans="1:2" x14ac:dyDescent="0.25">
      <c r="A298" t="s">
        <v>243</v>
      </c>
      <c r="B298" t="s">
        <v>612</v>
      </c>
    </row>
    <row r="299" spans="1:2" x14ac:dyDescent="0.25">
      <c r="A299" t="s">
        <v>304</v>
      </c>
      <c r="B299" t="s">
        <v>612</v>
      </c>
    </row>
    <row r="300" spans="1:2" x14ac:dyDescent="0.25">
      <c r="A300" t="s">
        <v>665</v>
      </c>
      <c r="B300" t="s">
        <v>612</v>
      </c>
    </row>
    <row r="301" spans="1:2" x14ac:dyDescent="0.25">
      <c r="A301" t="s">
        <v>666</v>
      </c>
      <c r="B301" t="s">
        <v>612</v>
      </c>
    </row>
    <row r="302" spans="1:2" x14ac:dyDescent="0.25">
      <c r="A302" t="s">
        <v>667</v>
      </c>
      <c r="B302" t="s">
        <v>612</v>
      </c>
    </row>
    <row r="303" spans="1:2" x14ac:dyDescent="0.25">
      <c r="A303" t="s">
        <v>463</v>
      </c>
      <c r="B303" t="s">
        <v>612</v>
      </c>
    </row>
    <row r="304" spans="1:2" x14ac:dyDescent="0.25">
      <c r="A304" t="s">
        <v>668</v>
      </c>
      <c r="B304" t="s">
        <v>612</v>
      </c>
    </row>
    <row r="305" spans="1:2" x14ac:dyDescent="0.25">
      <c r="A305" t="s">
        <v>669</v>
      </c>
      <c r="B305" t="s">
        <v>612</v>
      </c>
    </row>
    <row r="306" spans="1:2" x14ac:dyDescent="0.25">
      <c r="A306" t="s">
        <v>569</v>
      </c>
      <c r="B306" t="s">
        <v>612</v>
      </c>
    </row>
    <row r="307" spans="1:2" x14ac:dyDescent="0.25">
      <c r="A307" t="s">
        <v>335</v>
      </c>
      <c r="B307" t="s">
        <v>612</v>
      </c>
    </row>
    <row r="308" spans="1:2" x14ac:dyDescent="0.25">
      <c r="A308" t="s">
        <v>260</v>
      </c>
      <c r="B308" t="s">
        <v>612</v>
      </c>
    </row>
    <row r="309" spans="1:2" x14ac:dyDescent="0.25">
      <c r="A309" t="s">
        <v>340</v>
      </c>
      <c r="B309" t="s">
        <v>612</v>
      </c>
    </row>
    <row r="310" spans="1:2" x14ac:dyDescent="0.25">
      <c r="A310" t="s">
        <v>520</v>
      </c>
      <c r="B310" t="s">
        <v>612</v>
      </c>
    </row>
    <row r="311" spans="1:2" x14ac:dyDescent="0.25">
      <c r="A311" t="s">
        <v>342</v>
      </c>
      <c r="B311" t="s">
        <v>612</v>
      </c>
    </row>
    <row r="312" spans="1:2" x14ac:dyDescent="0.25">
      <c r="A312" t="s">
        <v>670</v>
      </c>
      <c r="B312" t="s">
        <v>612</v>
      </c>
    </row>
    <row r="313" spans="1:2" x14ac:dyDescent="0.25">
      <c r="A313" t="s">
        <v>344</v>
      </c>
      <c r="B313" t="s">
        <v>616</v>
      </c>
    </row>
    <row r="314" spans="1:2" x14ac:dyDescent="0.25">
      <c r="A314" t="s">
        <v>562</v>
      </c>
      <c r="B314" t="s">
        <v>612</v>
      </c>
    </row>
    <row r="315" spans="1:2" x14ac:dyDescent="0.25">
      <c r="A315" t="s">
        <v>364</v>
      </c>
      <c r="B315" t="s">
        <v>620</v>
      </c>
    </row>
    <row r="316" spans="1:2" x14ac:dyDescent="0.25">
      <c r="A316" t="s">
        <v>179</v>
      </c>
      <c r="B316" t="s">
        <v>612</v>
      </c>
    </row>
    <row r="317" spans="1:2" x14ac:dyDescent="0.25">
      <c r="A317" t="s">
        <v>352</v>
      </c>
      <c r="B317" t="s">
        <v>616</v>
      </c>
    </row>
    <row r="318" spans="1:2" x14ac:dyDescent="0.25">
      <c r="A318" t="s">
        <v>671</v>
      </c>
      <c r="B318" t="s">
        <v>612</v>
      </c>
    </row>
    <row r="319" spans="1:2" x14ac:dyDescent="0.25">
      <c r="A319" t="s">
        <v>248</v>
      </c>
      <c r="B319" t="s">
        <v>612</v>
      </c>
    </row>
    <row r="320" spans="1:2" x14ac:dyDescent="0.25">
      <c r="A320" t="s">
        <v>363</v>
      </c>
      <c r="B320" t="s">
        <v>612</v>
      </c>
    </row>
    <row r="321" spans="1:2" x14ac:dyDescent="0.25">
      <c r="A321" t="s">
        <v>365</v>
      </c>
      <c r="B321" t="s">
        <v>612</v>
      </c>
    </row>
    <row r="322" spans="1:2" x14ac:dyDescent="0.25">
      <c r="A322" t="s">
        <v>672</v>
      </c>
      <c r="B322" t="s">
        <v>616</v>
      </c>
    </row>
    <row r="323" spans="1:2" x14ac:dyDescent="0.25">
      <c r="A323" t="s">
        <v>347</v>
      </c>
      <c r="B323" t="s">
        <v>612</v>
      </c>
    </row>
    <row r="324" spans="1:2" x14ac:dyDescent="0.25">
      <c r="A324" t="s">
        <v>673</v>
      </c>
      <c r="B324" t="s">
        <v>612</v>
      </c>
    </row>
    <row r="325" spans="1:2" x14ac:dyDescent="0.25">
      <c r="A325" t="s">
        <v>353</v>
      </c>
      <c r="B325" t="s">
        <v>612</v>
      </c>
    </row>
    <row r="326" spans="1:2" x14ac:dyDescent="0.25">
      <c r="A326" t="s">
        <v>354</v>
      </c>
      <c r="B326" t="s">
        <v>612</v>
      </c>
    </row>
    <row r="327" spans="1:2" x14ac:dyDescent="0.25">
      <c r="A327" t="s">
        <v>674</v>
      </c>
      <c r="B327" t="s">
        <v>612</v>
      </c>
    </row>
    <row r="328" spans="1:2" x14ac:dyDescent="0.25">
      <c r="A328" t="s">
        <v>294</v>
      </c>
      <c r="B328" t="s">
        <v>616</v>
      </c>
    </row>
    <row r="329" spans="1:2" x14ac:dyDescent="0.25">
      <c r="A329" t="s">
        <v>151</v>
      </c>
      <c r="B329" t="s">
        <v>612</v>
      </c>
    </row>
    <row r="330" spans="1:2" x14ac:dyDescent="0.25">
      <c r="A330" t="s">
        <v>350</v>
      </c>
      <c r="B330" t="s">
        <v>612</v>
      </c>
    </row>
    <row r="331" spans="1:2" x14ac:dyDescent="0.25">
      <c r="A331" t="s">
        <v>359</v>
      </c>
      <c r="B331" t="s">
        <v>612</v>
      </c>
    </row>
    <row r="332" spans="1:2" x14ac:dyDescent="0.25">
      <c r="A332" t="s">
        <v>362</v>
      </c>
      <c r="B332" t="s">
        <v>612</v>
      </c>
    </row>
    <row r="333" spans="1:2" x14ac:dyDescent="0.25">
      <c r="A333" t="s">
        <v>138</v>
      </c>
      <c r="B333" t="s">
        <v>616</v>
      </c>
    </row>
    <row r="334" spans="1:2" x14ac:dyDescent="0.25">
      <c r="A334" t="s">
        <v>516</v>
      </c>
      <c r="B334" t="s">
        <v>612</v>
      </c>
    </row>
    <row r="335" spans="1:2" x14ac:dyDescent="0.25">
      <c r="A335" t="s">
        <v>487</v>
      </c>
      <c r="B335" t="s">
        <v>612</v>
      </c>
    </row>
    <row r="336" spans="1:2" x14ac:dyDescent="0.25">
      <c r="A336" t="s">
        <v>486</v>
      </c>
      <c r="B336" t="s">
        <v>616</v>
      </c>
    </row>
    <row r="337" spans="1:2" x14ac:dyDescent="0.25">
      <c r="A337" t="s">
        <v>397</v>
      </c>
      <c r="B337" t="s">
        <v>612</v>
      </c>
    </row>
    <row r="338" spans="1:2" x14ac:dyDescent="0.25">
      <c r="A338" t="s">
        <v>401</v>
      </c>
      <c r="B338" t="s">
        <v>612</v>
      </c>
    </row>
    <row r="339" spans="1:2" x14ac:dyDescent="0.25">
      <c r="A339" t="s">
        <v>675</v>
      </c>
      <c r="B339" t="s">
        <v>612</v>
      </c>
    </row>
    <row r="340" spans="1:2" x14ac:dyDescent="0.25">
      <c r="A340" t="s">
        <v>676</v>
      </c>
      <c r="B340" t="s">
        <v>612</v>
      </c>
    </row>
    <row r="341" spans="1:2" x14ac:dyDescent="0.25">
      <c r="A341" t="s">
        <v>677</v>
      </c>
      <c r="B341" t="s">
        <v>612</v>
      </c>
    </row>
    <row r="342" spans="1:2" x14ac:dyDescent="0.25">
      <c r="A342" t="s">
        <v>678</v>
      </c>
      <c r="B342" t="s">
        <v>612</v>
      </c>
    </row>
    <row r="343" spans="1:2" x14ac:dyDescent="0.25">
      <c r="A343" t="s">
        <v>506</v>
      </c>
      <c r="B343" t="s">
        <v>612</v>
      </c>
    </row>
    <row r="344" spans="1:2" x14ac:dyDescent="0.25">
      <c r="A344" t="s">
        <v>679</v>
      </c>
      <c r="B344" t="s">
        <v>612</v>
      </c>
    </row>
    <row r="345" spans="1:2" x14ac:dyDescent="0.25">
      <c r="A345" t="s">
        <v>680</v>
      </c>
      <c r="B345" t="s">
        <v>616</v>
      </c>
    </row>
    <row r="346" spans="1:2" x14ac:dyDescent="0.25">
      <c r="A346" t="s">
        <v>681</v>
      </c>
      <c r="B346" t="s">
        <v>612</v>
      </c>
    </row>
    <row r="347" spans="1:2" x14ac:dyDescent="0.25">
      <c r="A347" t="s">
        <v>682</v>
      </c>
      <c r="B347" t="s">
        <v>612</v>
      </c>
    </row>
    <row r="348" spans="1:2" x14ac:dyDescent="0.25">
      <c r="A348" t="s">
        <v>168</v>
      </c>
      <c r="B348" t="s">
        <v>612</v>
      </c>
    </row>
    <row r="349" spans="1:2" x14ac:dyDescent="0.25">
      <c r="A349" t="s">
        <v>171</v>
      </c>
      <c r="B349" t="s">
        <v>612</v>
      </c>
    </row>
    <row r="350" spans="1:2" x14ac:dyDescent="0.25">
      <c r="A350" t="s">
        <v>407</v>
      </c>
      <c r="B350" t="s">
        <v>616</v>
      </c>
    </row>
    <row r="351" spans="1:2" x14ac:dyDescent="0.25">
      <c r="A351" t="s">
        <v>683</v>
      </c>
      <c r="B351" t="s">
        <v>612</v>
      </c>
    </row>
    <row r="352" spans="1:2" x14ac:dyDescent="0.25">
      <c r="A352" t="s">
        <v>684</v>
      </c>
      <c r="B352" t="s">
        <v>612</v>
      </c>
    </row>
    <row r="353" spans="1:2" x14ac:dyDescent="0.25">
      <c r="A353" t="s">
        <v>594</v>
      </c>
      <c r="B353" t="s">
        <v>612</v>
      </c>
    </row>
    <row r="354" spans="1:2" x14ac:dyDescent="0.25">
      <c r="A354" t="s">
        <v>143</v>
      </c>
      <c r="B354" t="s">
        <v>612</v>
      </c>
    </row>
    <row r="355" spans="1:2" x14ac:dyDescent="0.25">
      <c r="A355" t="s">
        <v>300</v>
      </c>
      <c r="B355" t="s">
        <v>612</v>
      </c>
    </row>
    <row r="356" spans="1:2" x14ac:dyDescent="0.25">
      <c r="A356" t="s">
        <v>146</v>
      </c>
      <c r="B356" t="s">
        <v>612</v>
      </c>
    </row>
    <row r="357" spans="1:2" x14ac:dyDescent="0.25">
      <c r="A357" t="s">
        <v>507</v>
      </c>
      <c r="B357" t="s">
        <v>612</v>
      </c>
    </row>
    <row r="358" spans="1:2" x14ac:dyDescent="0.25">
      <c r="A358" t="s">
        <v>508</v>
      </c>
      <c r="B358" t="s">
        <v>612</v>
      </c>
    </row>
    <row r="359" spans="1:2" x14ac:dyDescent="0.25">
      <c r="A359" t="s">
        <v>413</v>
      </c>
      <c r="B359" t="s">
        <v>616</v>
      </c>
    </row>
    <row r="360" spans="1:2" x14ac:dyDescent="0.25">
      <c r="A360" t="s">
        <v>223</v>
      </c>
      <c r="B360" t="s">
        <v>618</v>
      </c>
    </row>
    <row r="361" spans="1:2" x14ac:dyDescent="0.25">
      <c r="A361" t="s">
        <v>577</v>
      </c>
      <c r="B361" t="s">
        <v>616</v>
      </c>
    </row>
    <row r="362" spans="1:2" x14ac:dyDescent="0.25">
      <c r="A362" t="s">
        <v>685</v>
      </c>
      <c r="B362" t="s">
        <v>616</v>
      </c>
    </row>
    <row r="363" spans="1:2" x14ac:dyDescent="0.25">
      <c r="A363" t="s">
        <v>268</v>
      </c>
      <c r="B363" t="s">
        <v>616</v>
      </c>
    </row>
    <row r="364" spans="1:2" x14ac:dyDescent="0.25">
      <c r="A364" t="s">
        <v>266</v>
      </c>
      <c r="B364" t="s">
        <v>616</v>
      </c>
    </row>
    <row r="365" spans="1:2" x14ac:dyDescent="0.25">
      <c r="A365" t="s">
        <v>686</v>
      </c>
      <c r="B365" t="s">
        <v>616</v>
      </c>
    </row>
    <row r="366" spans="1:2" x14ac:dyDescent="0.25">
      <c r="A366" t="s">
        <v>687</v>
      </c>
      <c r="B366" t="s">
        <v>612</v>
      </c>
    </row>
    <row r="367" spans="1:2" x14ac:dyDescent="0.25">
      <c r="A367" t="s">
        <v>688</v>
      </c>
      <c r="B367" t="s">
        <v>612</v>
      </c>
    </row>
    <row r="368" spans="1:2" x14ac:dyDescent="0.25">
      <c r="A368" t="s">
        <v>358</v>
      </c>
      <c r="B368" t="s">
        <v>612</v>
      </c>
    </row>
    <row r="369" spans="1:2" x14ac:dyDescent="0.25">
      <c r="A369" t="s">
        <v>155</v>
      </c>
      <c r="B369" t="s">
        <v>612</v>
      </c>
    </row>
    <row r="370" spans="1:2" x14ac:dyDescent="0.25">
      <c r="A370" t="s">
        <v>689</v>
      </c>
      <c r="B370" t="s">
        <v>612</v>
      </c>
    </row>
    <row r="371" spans="1:2" x14ac:dyDescent="0.25">
      <c r="A371" t="s">
        <v>158</v>
      </c>
      <c r="B371" t="s">
        <v>612</v>
      </c>
    </row>
    <row r="372" spans="1:2" x14ac:dyDescent="0.25">
      <c r="A372" t="s">
        <v>552</v>
      </c>
      <c r="B372" t="s">
        <v>612</v>
      </c>
    </row>
    <row r="373" spans="1:2" x14ac:dyDescent="0.25">
      <c r="A373" t="s">
        <v>555</v>
      </c>
      <c r="B373" t="s">
        <v>612</v>
      </c>
    </row>
    <row r="374" spans="1:2" x14ac:dyDescent="0.25">
      <c r="A374" t="s">
        <v>166</v>
      </c>
      <c r="B374" t="s">
        <v>612</v>
      </c>
    </row>
    <row r="375" spans="1:2" x14ac:dyDescent="0.25">
      <c r="A375" t="s">
        <v>409</v>
      </c>
      <c r="B375" t="s">
        <v>616</v>
      </c>
    </row>
    <row r="376" spans="1:2" x14ac:dyDescent="0.25">
      <c r="A376" t="s">
        <v>509</v>
      </c>
      <c r="B376" t="s">
        <v>616</v>
      </c>
    </row>
    <row r="377" spans="1:2" x14ac:dyDescent="0.25">
      <c r="A377" t="s">
        <v>193</v>
      </c>
      <c r="B377" t="s">
        <v>612</v>
      </c>
    </row>
    <row r="378" spans="1:2" x14ac:dyDescent="0.25">
      <c r="A378" t="s">
        <v>339</v>
      </c>
      <c r="B378" t="s">
        <v>616</v>
      </c>
    </row>
    <row r="379" spans="1:2" x14ac:dyDescent="0.25">
      <c r="A379" t="s">
        <v>690</v>
      </c>
      <c r="B379" t="s">
        <v>616</v>
      </c>
    </row>
    <row r="380" spans="1:2" x14ac:dyDescent="0.25">
      <c r="A380" t="s">
        <v>691</v>
      </c>
      <c r="B380" t="s">
        <v>612</v>
      </c>
    </row>
    <row r="381" spans="1:2" x14ac:dyDescent="0.25">
      <c r="A381" t="s">
        <v>692</v>
      </c>
      <c r="B381" t="s">
        <v>612</v>
      </c>
    </row>
    <row r="382" spans="1:2" x14ac:dyDescent="0.25">
      <c r="A382" t="s">
        <v>157</v>
      </c>
      <c r="B382" t="s">
        <v>616</v>
      </c>
    </row>
    <row r="383" spans="1:2" x14ac:dyDescent="0.25">
      <c r="A383" t="s">
        <v>693</v>
      </c>
      <c r="B383" t="s">
        <v>616</v>
      </c>
    </row>
    <row r="384" spans="1:2" x14ac:dyDescent="0.25">
      <c r="A384" t="s">
        <v>510</v>
      </c>
      <c r="B384" t="s">
        <v>616</v>
      </c>
    </row>
    <row r="385" spans="1:2" x14ac:dyDescent="0.25">
      <c r="A385" t="s">
        <v>511</v>
      </c>
      <c r="B385" t="s">
        <v>616</v>
      </c>
    </row>
    <row r="386" spans="1:2" x14ac:dyDescent="0.25">
      <c r="A386" t="s">
        <v>512</v>
      </c>
      <c r="B386" t="s">
        <v>616</v>
      </c>
    </row>
    <row r="387" spans="1:2" x14ac:dyDescent="0.25">
      <c r="A387" t="s">
        <v>694</v>
      </c>
      <c r="B387" t="s">
        <v>616</v>
      </c>
    </row>
    <row r="388" spans="1:2" x14ac:dyDescent="0.25">
      <c r="A388" t="s">
        <v>695</v>
      </c>
      <c r="B388" t="s">
        <v>616</v>
      </c>
    </row>
    <row r="389" spans="1:2" x14ac:dyDescent="0.25">
      <c r="A389" t="s">
        <v>696</v>
      </c>
      <c r="B389" t="s">
        <v>618</v>
      </c>
    </row>
    <row r="390" spans="1:2" x14ac:dyDescent="0.25">
      <c r="A390" t="s">
        <v>697</v>
      </c>
      <c r="B390" t="s">
        <v>616</v>
      </c>
    </row>
    <row r="391" spans="1:2" x14ac:dyDescent="0.25">
      <c r="A391" t="s">
        <v>178</v>
      </c>
      <c r="B391" t="s">
        <v>612</v>
      </c>
    </row>
    <row r="392" spans="1:2" x14ac:dyDescent="0.25">
      <c r="A392" t="s">
        <v>137</v>
      </c>
      <c r="B392" t="s">
        <v>612</v>
      </c>
    </row>
    <row r="393" spans="1:2" x14ac:dyDescent="0.25">
      <c r="A393" t="s">
        <v>458</v>
      </c>
      <c r="B393" t="s">
        <v>616</v>
      </c>
    </row>
    <row r="394" spans="1:2" x14ac:dyDescent="0.25">
      <c r="A394" t="s">
        <v>457</v>
      </c>
      <c r="B394" t="s">
        <v>612</v>
      </c>
    </row>
    <row r="395" spans="1:2" x14ac:dyDescent="0.25">
      <c r="A395" t="s">
        <v>698</v>
      </c>
      <c r="B395" t="s">
        <v>612</v>
      </c>
    </row>
    <row r="396" spans="1:2" x14ac:dyDescent="0.25">
      <c r="A396" t="s">
        <v>699</v>
      </c>
      <c r="B396" t="s">
        <v>612</v>
      </c>
    </row>
    <row r="397" spans="1:2" x14ac:dyDescent="0.25">
      <c r="A397" t="s">
        <v>700</v>
      </c>
      <c r="B397" t="s">
        <v>612</v>
      </c>
    </row>
    <row r="398" spans="1:2" x14ac:dyDescent="0.25">
      <c r="A398" t="s">
        <v>513</v>
      </c>
      <c r="B398" t="s">
        <v>612</v>
      </c>
    </row>
    <row r="399" spans="1:2" x14ac:dyDescent="0.25">
      <c r="A399" t="s">
        <v>701</v>
      </c>
      <c r="B399" t="s">
        <v>620</v>
      </c>
    </row>
    <row r="400" spans="1:2" x14ac:dyDescent="0.25">
      <c r="A400" t="s">
        <v>702</v>
      </c>
      <c r="B400" t="s">
        <v>616</v>
      </c>
    </row>
    <row r="401" spans="1:2" x14ac:dyDescent="0.25">
      <c r="A401" t="s">
        <v>515</v>
      </c>
      <c r="B401" t="s">
        <v>620</v>
      </c>
    </row>
    <row r="402" spans="1:2" x14ac:dyDescent="0.25">
      <c r="A402" t="s">
        <v>135</v>
      </c>
      <c r="B402" t="s">
        <v>616</v>
      </c>
    </row>
    <row r="403" spans="1:2" x14ac:dyDescent="0.25">
      <c r="A403" t="s">
        <v>122</v>
      </c>
      <c r="B403" t="s">
        <v>616</v>
      </c>
    </row>
    <row r="404" spans="1:2" x14ac:dyDescent="0.25">
      <c r="A404" t="s">
        <v>125</v>
      </c>
      <c r="B404" t="s">
        <v>616</v>
      </c>
    </row>
    <row r="405" spans="1:2" x14ac:dyDescent="0.25">
      <c r="A405" t="s">
        <v>98</v>
      </c>
      <c r="B405" t="s">
        <v>616</v>
      </c>
    </row>
    <row r="406" spans="1:2" x14ac:dyDescent="0.25">
      <c r="A406" t="s">
        <v>85</v>
      </c>
      <c r="B406" t="s">
        <v>616</v>
      </c>
    </row>
    <row r="407" spans="1:2" x14ac:dyDescent="0.25">
      <c r="A407" t="s">
        <v>334</v>
      </c>
      <c r="B407" t="s">
        <v>616</v>
      </c>
    </row>
    <row r="408" spans="1:2" x14ac:dyDescent="0.25">
      <c r="A408" t="s">
        <v>517</v>
      </c>
      <c r="B408" t="s">
        <v>620</v>
      </c>
    </row>
    <row r="409" spans="1:2" x14ac:dyDescent="0.25">
      <c r="A409" t="s">
        <v>518</v>
      </c>
      <c r="B409" t="s">
        <v>618</v>
      </c>
    </row>
    <row r="410" spans="1:2" x14ac:dyDescent="0.25">
      <c r="A410" t="s">
        <v>519</v>
      </c>
      <c r="B410" t="s">
        <v>620</v>
      </c>
    </row>
    <row r="411" spans="1:2" x14ac:dyDescent="0.25">
      <c r="A411" t="s">
        <v>523</v>
      </c>
      <c r="B411" t="s">
        <v>618</v>
      </c>
    </row>
    <row r="412" spans="1:2" x14ac:dyDescent="0.25">
      <c r="A412" t="s">
        <v>524</v>
      </c>
      <c r="B412" t="s">
        <v>620</v>
      </c>
    </row>
    <row r="413" spans="1:2" x14ac:dyDescent="0.25">
      <c r="A413" t="s">
        <v>703</v>
      </c>
      <c r="B413" t="s">
        <v>616</v>
      </c>
    </row>
    <row r="414" spans="1:2" x14ac:dyDescent="0.25">
      <c r="A414" t="s">
        <v>525</v>
      </c>
      <c r="B414" t="s">
        <v>616</v>
      </c>
    </row>
    <row r="415" spans="1:2" x14ac:dyDescent="0.25">
      <c r="A415" t="s">
        <v>526</v>
      </c>
      <c r="B415" t="s">
        <v>616</v>
      </c>
    </row>
    <row r="416" spans="1:2" x14ac:dyDescent="0.25">
      <c r="A416" t="s">
        <v>551</v>
      </c>
      <c r="B416" t="s">
        <v>620</v>
      </c>
    </row>
    <row r="417" spans="1:2" x14ac:dyDescent="0.25">
      <c r="A417" t="s">
        <v>554</v>
      </c>
      <c r="B417" t="s">
        <v>620</v>
      </c>
    </row>
    <row r="418" spans="1:2" x14ac:dyDescent="0.25">
      <c r="A418" t="s">
        <v>556</v>
      </c>
      <c r="B418" t="s">
        <v>618</v>
      </c>
    </row>
    <row r="419" spans="1:2" x14ac:dyDescent="0.25">
      <c r="A419" t="s">
        <v>558</v>
      </c>
      <c r="B419" t="s">
        <v>618</v>
      </c>
    </row>
    <row r="420" spans="1:2" x14ac:dyDescent="0.25">
      <c r="A420" t="s">
        <v>560</v>
      </c>
      <c r="B420" t="s">
        <v>620</v>
      </c>
    </row>
    <row r="421" spans="1:2" x14ac:dyDescent="0.25">
      <c r="A421" t="s">
        <v>563</v>
      </c>
      <c r="B421" t="s">
        <v>618</v>
      </c>
    </row>
    <row r="422" spans="1:2" x14ac:dyDescent="0.25">
      <c r="A422" t="s">
        <v>565</v>
      </c>
      <c r="B422" t="s">
        <v>618</v>
      </c>
    </row>
    <row r="423" spans="1:2" x14ac:dyDescent="0.25">
      <c r="A423" t="s">
        <v>567</v>
      </c>
      <c r="B423" t="s">
        <v>620</v>
      </c>
    </row>
    <row r="424" spans="1:2" x14ac:dyDescent="0.25">
      <c r="A424" t="s">
        <v>76</v>
      </c>
      <c r="B424" t="s">
        <v>620</v>
      </c>
    </row>
    <row r="425" spans="1:2" x14ac:dyDescent="0.25">
      <c r="A425" t="s">
        <v>571</v>
      </c>
      <c r="B425" t="s">
        <v>620</v>
      </c>
    </row>
    <row r="426" spans="1:2" x14ac:dyDescent="0.25">
      <c r="A426" t="s">
        <v>88</v>
      </c>
      <c r="B426" t="s">
        <v>620</v>
      </c>
    </row>
    <row r="427" spans="1:2" x14ac:dyDescent="0.25">
      <c r="A427" t="s">
        <v>573</v>
      </c>
      <c r="B427" t="s">
        <v>620</v>
      </c>
    </row>
    <row r="428" spans="1:2" x14ac:dyDescent="0.25">
      <c r="A428" t="s">
        <v>575</v>
      </c>
      <c r="B428" t="s">
        <v>620</v>
      </c>
    </row>
    <row r="429" spans="1:2" x14ac:dyDescent="0.25">
      <c r="A429" t="s">
        <v>72</v>
      </c>
      <c r="B429" t="s">
        <v>620</v>
      </c>
    </row>
    <row r="430" spans="1:2" x14ac:dyDescent="0.25">
      <c r="A430" t="s">
        <v>578</v>
      </c>
      <c r="B430" t="s">
        <v>620</v>
      </c>
    </row>
    <row r="431" spans="1:2" x14ac:dyDescent="0.25">
      <c r="A431" t="s">
        <v>580</v>
      </c>
      <c r="B431" t="s">
        <v>618</v>
      </c>
    </row>
    <row r="432" spans="1:2" x14ac:dyDescent="0.25">
      <c r="A432" t="s">
        <v>65</v>
      </c>
      <c r="B432" t="s">
        <v>620</v>
      </c>
    </row>
    <row r="433" spans="1:2" x14ac:dyDescent="0.25">
      <c r="A433" t="s">
        <v>585</v>
      </c>
      <c r="B433" t="s">
        <v>620</v>
      </c>
    </row>
    <row r="434" spans="1:2" x14ac:dyDescent="0.25">
      <c r="A434" t="s">
        <v>588</v>
      </c>
      <c r="B434" t="s">
        <v>620</v>
      </c>
    </row>
    <row r="435" spans="1:2" x14ac:dyDescent="0.25">
      <c r="A435" t="s">
        <v>590</v>
      </c>
      <c r="B435" t="s">
        <v>618</v>
      </c>
    </row>
    <row r="436" spans="1:2" x14ac:dyDescent="0.25">
      <c r="A436" t="s">
        <v>592</v>
      </c>
      <c r="B436" t="s">
        <v>618</v>
      </c>
    </row>
    <row r="437" spans="1:2" x14ac:dyDescent="0.25">
      <c r="A437" t="s">
        <v>595</v>
      </c>
      <c r="B437" t="s">
        <v>620</v>
      </c>
    </row>
    <row r="438" spans="1:2" x14ac:dyDescent="0.25">
      <c r="A438" t="s">
        <v>597</v>
      </c>
      <c r="B438" t="s">
        <v>620</v>
      </c>
    </row>
    <row r="439" spans="1:2" x14ac:dyDescent="0.25">
      <c r="A439" t="s">
        <v>333</v>
      </c>
      <c r="B439" t="s">
        <v>616</v>
      </c>
    </row>
    <row r="440" spans="1:2" x14ac:dyDescent="0.25">
      <c r="A440" t="s">
        <v>704</v>
      </c>
      <c r="B440" t="s">
        <v>616</v>
      </c>
    </row>
    <row r="441" spans="1:2" x14ac:dyDescent="0.25">
      <c r="A441" t="s">
        <v>593</v>
      </c>
      <c r="B441" t="s">
        <v>616</v>
      </c>
    </row>
    <row r="442" spans="1:2" x14ac:dyDescent="0.25">
      <c r="A442" t="s">
        <v>405</v>
      </c>
      <c r="B442" t="s">
        <v>616</v>
      </c>
    </row>
    <row r="443" spans="1:2" x14ac:dyDescent="0.25">
      <c r="A443" t="s">
        <v>705</v>
      </c>
      <c r="B443" t="s">
        <v>616</v>
      </c>
    </row>
    <row r="444" spans="1:2" x14ac:dyDescent="0.25">
      <c r="A444" t="s">
        <v>706</v>
      </c>
      <c r="B444" t="s">
        <v>612</v>
      </c>
    </row>
    <row r="445" spans="1:2" x14ac:dyDescent="0.25">
      <c r="A445" t="s">
        <v>707</v>
      </c>
      <c r="B445" t="s">
        <v>612</v>
      </c>
    </row>
    <row r="446" spans="1:2" x14ac:dyDescent="0.25">
      <c r="A446" t="s">
        <v>494</v>
      </c>
      <c r="B446" t="s">
        <v>616</v>
      </c>
    </row>
    <row r="447" spans="1:2" x14ac:dyDescent="0.25">
      <c r="A447" t="s">
        <v>708</v>
      </c>
      <c r="B447" t="s">
        <v>620</v>
      </c>
    </row>
    <row r="448" spans="1:2" x14ac:dyDescent="0.25">
      <c r="A448" t="s">
        <v>443</v>
      </c>
      <c r="B448" t="s">
        <v>612</v>
      </c>
    </row>
    <row r="449" spans="1:2" x14ac:dyDescent="0.25">
      <c r="A449" t="s">
        <v>583</v>
      </c>
      <c r="B449" t="s">
        <v>612</v>
      </c>
    </row>
    <row r="450" spans="1:2" x14ac:dyDescent="0.25">
      <c r="A450" t="s">
        <v>709</v>
      </c>
      <c r="B450" t="s">
        <v>612</v>
      </c>
    </row>
    <row r="451" spans="1:2" x14ac:dyDescent="0.25">
      <c r="A451" t="s">
        <v>710</v>
      </c>
      <c r="B451" t="s">
        <v>612</v>
      </c>
    </row>
    <row r="452" spans="1:2" x14ac:dyDescent="0.25">
      <c r="A452" t="s">
        <v>711</v>
      </c>
      <c r="B452" t="s">
        <v>612</v>
      </c>
    </row>
    <row r="453" spans="1:2" x14ac:dyDescent="0.25">
      <c r="A453" t="s">
        <v>712</v>
      </c>
      <c r="B453" t="s">
        <v>620</v>
      </c>
    </row>
    <row r="454" spans="1:2" x14ac:dyDescent="0.25">
      <c r="A454" t="s">
        <v>170</v>
      </c>
      <c r="B454" t="s">
        <v>620</v>
      </c>
    </row>
    <row r="455" spans="1:2" x14ac:dyDescent="0.25">
      <c r="A455" t="s">
        <v>713</v>
      </c>
      <c r="B455" t="s">
        <v>618</v>
      </c>
    </row>
    <row r="456" spans="1:2" x14ac:dyDescent="0.25">
      <c r="A456" t="s">
        <v>714</v>
      </c>
      <c r="B456" t="s">
        <v>618</v>
      </c>
    </row>
    <row r="457" spans="1:2" x14ac:dyDescent="0.25">
      <c r="A457" t="s">
        <v>332</v>
      </c>
      <c r="B457" t="s">
        <v>612</v>
      </c>
    </row>
    <row r="458" spans="1:2" x14ac:dyDescent="0.25">
      <c r="A458" t="s">
        <v>715</v>
      </c>
      <c r="B458" t="s">
        <v>618</v>
      </c>
    </row>
    <row r="459" spans="1:2" x14ac:dyDescent="0.25">
      <c r="A459" t="s">
        <v>716</v>
      </c>
      <c r="B459" t="s">
        <v>618</v>
      </c>
    </row>
    <row r="460" spans="1:2" x14ac:dyDescent="0.25">
      <c r="A460" t="s">
        <v>302</v>
      </c>
      <c r="B460" t="s">
        <v>612</v>
      </c>
    </row>
    <row r="461" spans="1:2" x14ac:dyDescent="0.25">
      <c r="A461" t="s">
        <v>249</v>
      </c>
      <c r="B461" t="s">
        <v>620</v>
      </c>
    </row>
    <row r="462" spans="1:2" x14ac:dyDescent="0.25">
      <c r="A462" t="s">
        <v>717</v>
      </c>
      <c r="B462" t="s">
        <v>618</v>
      </c>
    </row>
    <row r="463" spans="1:2" x14ac:dyDescent="0.25">
      <c r="A463" t="s">
        <v>84</v>
      </c>
      <c r="B463" t="s">
        <v>620</v>
      </c>
    </row>
    <row r="464" spans="1:2" x14ac:dyDescent="0.25">
      <c r="A464" t="s">
        <v>338</v>
      </c>
      <c r="B464" t="s">
        <v>620</v>
      </c>
    </row>
    <row r="465" spans="1:2" x14ac:dyDescent="0.25">
      <c r="A465" t="s">
        <v>375</v>
      </c>
      <c r="B465" t="s">
        <v>620</v>
      </c>
    </row>
    <row r="466" spans="1:2" x14ac:dyDescent="0.25">
      <c r="A466" t="s">
        <v>385</v>
      </c>
      <c r="B466" t="s">
        <v>620</v>
      </c>
    </row>
    <row r="467" spans="1:2" x14ac:dyDescent="0.25">
      <c r="A467" t="s">
        <v>718</v>
      </c>
      <c r="B467" t="s">
        <v>616</v>
      </c>
    </row>
    <row r="468" spans="1:2" x14ac:dyDescent="0.25">
      <c r="A468" t="s">
        <v>438</v>
      </c>
      <c r="B468" t="s">
        <v>618</v>
      </c>
    </row>
    <row r="469" spans="1:2" x14ac:dyDescent="0.25">
      <c r="A469" t="s">
        <v>442</v>
      </c>
      <c r="B469" t="s">
        <v>618</v>
      </c>
    </row>
    <row r="470" spans="1:2" x14ac:dyDescent="0.25">
      <c r="A470" t="s">
        <v>568</v>
      </c>
      <c r="B470" t="s">
        <v>616</v>
      </c>
    </row>
    <row r="471" spans="1:2" x14ac:dyDescent="0.25">
      <c r="A471" t="s">
        <v>128</v>
      </c>
      <c r="B471" t="s">
        <v>616</v>
      </c>
    </row>
    <row r="472" spans="1:2" x14ac:dyDescent="0.25">
      <c r="A472" t="s">
        <v>437</v>
      </c>
      <c r="B472" t="s">
        <v>612</v>
      </c>
    </row>
    <row r="473" spans="1:2" x14ac:dyDescent="0.25">
      <c r="A473" t="s">
        <v>719</v>
      </c>
      <c r="B473" t="s">
        <v>612</v>
      </c>
    </row>
    <row r="474" spans="1:2" x14ac:dyDescent="0.25">
      <c r="A474" t="s">
        <v>441</v>
      </c>
      <c r="B474" t="s">
        <v>612</v>
      </c>
    </row>
    <row r="475" spans="1:2" x14ac:dyDescent="0.25">
      <c r="A475" t="s">
        <v>446</v>
      </c>
      <c r="B475" t="s">
        <v>612</v>
      </c>
    </row>
    <row r="476" spans="1:2" x14ac:dyDescent="0.25">
      <c r="A476" t="s">
        <v>720</v>
      </c>
      <c r="B476" t="s">
        <v>612</v>
      </c>
    </row>
    <row r="477" spans="1:2" x14ac:dyDescent="0.25">
      <c r="A477" t="s">
        <v>448</v>
      </c>
      <c r="B477" t="s">
        <v>612</v>
      </c>
    </row>
    <row r="478" spans="1:2" x14ac:dyDescent="0.25">
      <c r="A478" t="s">
        <v>80</v>
      </c>
      <c r="B478" t="s">
        <v>618</v>
      </c>
    </row>
    <row r="479" spans="1:2" x14ac:dyDescent="0.25">
      <c r="A479" t="s">
        <v>721</v>
      </c>
      <c r="B479" t="s">
        <v>616</v>
      </c>
    </row>
    <row r="480" spans="1:2" x14ac:dyDescent="0.25">
      <c r="A480" t="s">
        <v>722</v>
      </c>
      <c r="B480" t="s">
        <v>620</v>
      </c>
    </row>
    <row r="481" spans="1:2" x14ac:dyDescent="0.25">
      <c r="A481" t="s">
        <v>454</v>
      </c>
      <c r="B481" t="s">
        <v>612</v>
      </c>
    </row>
    <row r="482" spans="1:2" x14ac:dyDescent="0.25">
      <c r="A482" t="s">
        <v>436</v>
      </c>
      <c r="B482" t="s">
        <v>618</v>
      </c>
    </row>
    <row r="483" spans="1:2" x14ac:dyDescent="0.25">
      <c r="A483" t="s">
        <v>723</v>
      </c>
      <c r="B483" t="s">
        <v>620</v>
      </c>
    </row>
    <row r="484" spans="1:2" x14ac:dyDescent="0.25">
      <c r="A484" t="s">
        <v>452</v>
      </c>
      <c r="B484" t="s">
        <v>618</v>
      </c>
    </row>
    <row r="485" spans="1:2" x14ac:dyDescent="0.25">
      <c r="A485" t="s">
        <v>724</v>
      </c>
      <c r="B485" t="s">
        <v>620</v>
      </c>
    </row>
    <row r="486" spans="1:2" x14ac:dyDescent="0.25">
      <c r="A486" t="s">
        <v>725</v>
      </c>
      <c r="B486" t="s">
        <v>620</v>
      </c>
    </row>
    <row r="487" spans="1:2" x14ac:dyDescent="0.25">
      <c r="A487" t="s">
        <v>726</v>
      </c>
      <c r="B487" t="s">
        <v>612</v>
      </c>
    </row>
    <row r="488" spans="1:2" x14ac:dyDescent="0.25">
      <c r="A488" t="s">
        <v>250</v>
      </c>
      <c r="B488" t="s">
        <v>612</v>
      </c>
    </row>
    <row r="489" spans="1:2" x14ac:dyDescent="0.25">
      <c r="A489" t="s">
        <v>727</v>
      </c>
      <c r="B489" t="s">
        <v>616</v>
      </c>
    </row>
    <row r="490" spans="1:2" x14ac:dyDescent="0.25">
      <c r="A490" t="s">
        <v>728</v>
      </c>
      <c r="B490" t="s">
        <v>616</v>
      </c>
    </row>
    <row r="491" spans="1:2" x14ac:dyDescent="0.25">
      <c r="A491" t="s">
        <v>315</v>
      </c>
      <c r="B491" t="s">
        <v>612</v>
      </c>
    </row>
    <row r="492" spans="1:2" x14ac:dyDescent="0.25">
      <c r="A492" t="s">
        <v>311</v>
      </c>
      <c r="B492" t="s">
        <v>612</v>
      </c>
    </row>
    <row r="493" spans="1:2" x14ac:dyDescent="0.25">
      <c r="A493" t="s">
        <v>150</v>
      </c>
      <c r="B493" t="s">
        <v>616</v>
      </c>
    </row>
    <row r="494" spans="1:2" x14ac:dyDescent="0.25">
      <c r="A494" t="s">
        <v>729</v>
      </c>
      <c r="B494" t="s">
        <v>616</v>
      </c>
    </row>
    <row r="495" spans="1:2" x14ac:dyDescent="0.25">
      <c r="A495" t="s">
        <v>356</v>
      </c>
      <c r="B495" t="s">
        <v>616</v>
      </c>
    </row>
    <row r="496" spans="1:2" x14ac:dyDescent="0.25">
      <c r="A496" t="s">
        <v>730</v>
      </c>
      <c r="B496" t="s">
        <v>616</v>
      </c>
    </row>
    <row r="497" spans="1:2" x14ac:dyDescent="0.25">
      <c r="A497" t="s">
        <v>435</v>
      </c>
      <c r="B497" t="s">
        <v>616</v>
      </c>
    </row>
    <row r="498" spans="1:2" x14ac:dyDescent="0.25">
      <c r="A498" t="s">
        <v>582</v>
      </c>
      <c r="B498" t="s">
        <v>618</v>
      </c>
    </row>
    <row r="499" spans="1:2" x14ac:dyDescent="0.25">
      <c r="A499" t="s">
        <v>112</v>
      </c>
      <c r="B499" t="s">
        <v>616</v>
      </c>
    </row>
    <row r="500" spans="1:2" x14ac:dyDescent="0.25">
      <c r="A500" t="s">
        <v>104</v>
      </c>
      <c r="B500" t="s">
        <v>616</v>
      </c>
    </row>
    <row r="501" spans="1:2" x14ac:dyDescent="0.25">
      <c r="A501" t="s">
        <v>460</v>
      </c>
      <c r="B501" t="s">
        <v>612</v>
      </c>
    </row>
    <row r="502" spans="1:2" x14ac:dyDescent="0.25">
      <c r="A502" t="s">
        <v>107</v>
      </c>
      <c r="B502" t="s">
        <v>616</v>
      </c>
    </row>
    <row r="503" spans="1:2" x14ac:dyDescent="0.25">
      <c r="A503" t="s">
        <v>428</v>
      </c>
      <c r="B503" t="s">
        <v>612</v>
      </c>
    </row>
    <row r="504" spans="1:2" x14ac:dyDescent="0.25">
      <c r="A504" t="s">
        <v>114</v>
      </c>
      <c r="B504" t="s">
        <v>616</v>
      </c>
    </row>
    <row r="505" spans="1:2" x14ac:dyDescent="0.25">
      <c r="A505" t="s">
        <v>87</v>
      </c>
      <c r="B505" t="s">
        <v>616</v>
      </c>
    </row>
    <row r="506" spans="1:2" x14ac:dyDescent="0.25">
      <c r="A506" t="s">
        <v>94</v>
      </c>
      <c r="B506" t="s">
        <v>616</v>
      </c>
    </row>
    <row r="507" spans="1:2" x14ac:dyDescent="0.25">
      <c r="A507" t="s">
        <v>731</v>
      </c>
      <c r="B507" t="s">
        <v>612</v>
      </c>
    </row>
    <row r="508" spans="1:2" x14ac:dyDescent="0.25">
      <c r="A508" t="s">
        <v>100</v>
      </c>
      <c r="B508" t="s">
        <v>616</v>
      </c>
    </row>
    <row r="509" spans="1:2" x14ac:dyDescent="0.25">
      <c r="A509" t="s">
        <v>732</v>
      </c>
      <c r="B509" t="s">
        <v>616</v>
      </c>
    </row>
    <row r="510" spans="1:2" x14ac:dyDescent="0.25">
      <c r="A510" t="s">
        <v>733</v>
      </c>
      <c r="B510" t="s">
        <v>612</v>
      </c>
    </row>
    <row r="511" spans="1:2" x14ac:dyDescent="0.25">
      <c r="A511" t="s">
        <v>734</v>
      </c>
      <c r="B511" t="s">
        <v>618</v>
      </c>
    </row>
    <row r="512" spans="1:2" x14ac:dyDescent="0.25">
      <c r="A512" t="s">
        <v>735</v>
      </c>
      <c r="B512" t="s">
        <v>616</v>
      </c>
    </row>
    <row r="513" spans="1:2" x14ac:dyDescent="0.25">
      <c r="A513" t="s">
        <v>736</v>
      </c>
      <c r="B513" t="s">
        <v>616</v>
      </c>
    </row>
    <row r="514" spans="1:2" x14ac:dyDescent="0.25">
      <c r="A514" t="s">
        <v>737</v>
      </c>
      <c r="B514" t="s">
        <v>618</v>
      </c>
    </row>
    <row r="515" spans="1:2" x14ac:dyDescent="0.25">
      <c r="A515" t="s">
        <v>149</v>
      </c>
      <c r="B515" t="s">
        <v>616</v>
      </c>
    </row>
    <row r="516" spans="1:2" x14ac:dyDescent="0.25">
      <c r="A516" t="s">
        <v>439</v>
      </c>
      <c r="B516" t="s">
        <v>612</v>
      </c>
    </row>
    <row r="517" spans="1:2" x14ac:dyDescent="0.25">
      <c r="A517" t="s">
        <v>167</v>
      </c>
      <c r="B517" t="s">
        <v>618</v>
      </c>
    </row>
    <row r="518" spans="1:2" x14ac:dyDescent="0.25">
      <c r="A518" t="s">
        <v>738</v>
      </c>
      <c r="B518" t="s">
        <v>616</v>
      </c>
    </row>
    <row r="519" spans="1:2" x14ac:dyDescent="0.25">
      <c r="A519" t="s">
        <v>739</v>
      </c>
      <c r="B519" t="s">
        <v>616</v>
      </c>
    </row>
    <row r="520" spans="1:2" x14ac:dyDescent="0.25">
      <c r="A520" t="s">
        <v>740</v>
      </c>
      <c r="B520" t="s">
        <v>616</v>
      </c>
    </row>
    <row r="521" spans="1:2" x14ac:dyDescent="0.25">
      <c r="A521" t="s">
        <v>418</v>
      </c>
      <c r="B521" t="s">
        <v>612</v>
      </c>
    </row>
    <row r="522" spans="1:2" x14ac:dyDescent="0.25">
      <c r="A522" t="s">
        <v>741</v>
      </c>
      <c r="B522" t="s">
        <v>616</v>
      </c>
    </row>
    <row r="523" spans="1:2" x14ac:dyDescent="0.25">
      <c r="A523" t="s">
        <v>387</v>
      </c>
      <c r="B523" t="s">
        <v>612</v>
      </c>
    </row>
    <row r="524" spans="1:2" x14ac:dyDescent="0.25">
      <c r="A524" t="s">
        <v>386</v>
      </c>
      <c r="B524" t="s">
        <v>612</v>
      </c>
    </row>
    <row r="525" spans="1:2" x14ac:dyDescent="0.25">
      <c r="A525" t="s">
        <v>349</v>
      </c>
      <c r="B525" t="s">
        <v>616</v>
      </c>
    </row>
    <row r="526" spans="1:2" x14ac:dyDescent="0.25">
      <c r="A526" t="s">
        <v>258</v>
      </c>
      <c r="B526" t="s">
        <v>616</v>
      </c>
    </row>
    <row r="527" spans="1:2" x14ac:dyDescent="0.25">
      <c r="A527" t="s">
        <v>742</v>
      </c>
      <c r="B527" t="s">
        <v>612</v>
      </c>
    </row>
    <row r="528" spans="1:2" x14ac:dyDescent="0.25">
      <c r="A528" t="s">
        <v>323</v>
      </c>
      <c r="B528" t="s">
        <v>616</v>
      </c>
    </row>
    <row r="529" spans="1:2" x14ac:dyDescent="0.25">
      <c r="A529" t="s">
        <v>207</v>
      </c>
      <c r="B529" t="s">
        <v>620</v>
      </c>
    </row>
    <row r="530" spans="1:2" x14ac:dyDescent="0.25">
      <c r="A530" t="s">
        <v>743</v>
      </c>
      <c r="B530" t="s">
        <v>618</v>
      </c>
    </row>
    <row r="531" spans="1:2" x14ac:dyDescent="0.25">
      <c r="A531" t="s">
        <v>440</v>
      </c>
      <c r="B531" t="s">
        <v>618</v>
      </c>
    </row>
    <row r="532" spans="1:2" x14ac:dyDescent="0.25">
      <c r="A532" t="s">
        <v>132</v>
      </c>
      <c r="B532" t="s">
        <v>618</v>
      </c>
    </row>
    <row r="533" spans="1:2" x14ac:dyDescent="0.25">
      <c r="A533" t="s">
        <v>331</v>
      </c>
      <c r="B533" t="s">
        <v>612</v>
      </c>
    </row>
    <row r="534" spans="1:2" x14ac:dyDescent="0.25">
      <c r="A534" t="s">
        <v>330</v>
      </c>
      <c r="B534" t="s">
        <v>612</v>
      </c>
    </row>
    <row r="535" spans="1:2" x14ac:dyDescent="0.25">
      <c r="A535" t="s">
        <v>64</v>
      </c>
      <c r="B535" t="s">
        <v>620</v>
      </c>
    </row>
    <row r="536" spans="1:2" x14ac:dyDescent="0.25">
      <c r="A536" t="s">
        <v>74</v>
      </c>
      <c r="B536" t="s">
        <v>620</v>
      </c>
    </row>
    <row r="537" spans="1:2" x14ac:dyDescent="0.25">
      <c r="A537" t="s">
        <v>77</v>
      </c>
      <c r="B537" t="s">
        <v>618</v>
      </c>
    </row>
    <row r="538" spans="1:2" x14ac:dyDescent="0.25">
      <c r="A538" t="s">
        <v>81</v>
      </c>
      <c r="B538" t="s">
        <v>618</v>
      </c>
    </row>
    <row r="539" spans="1:2" x14ac:dyDescent="0.25">
      <c r="A539" t="s">
        <v>86</v>
      </c>
      <c r="B539" t="s">
        <v>620</v>
      </c>
    </row>
    <row r="540" spans="1:2" x14ac:dyDescent="0.25">
      <c r="A540" t="s">
        <v>92</v>
      </c>
      <c r="B540" t="s">
        <v>620</v>
      </c>
    </row>
    <row r="541" spans="1:2" x14ac:dyDescent="0.25">
      <c r="A541" t="s">
        <v>97</v>
      </c>
      <c r="B541" t="s">
        <v>620</v>
      </c>
    </row>
    <row r="542" spans="1:2" x14ac:dyDescent="0.25">
      <c r="A542" t="s">
        <v>99</v>
      </c>
      <c r="B542" t="s">
        <v>620</v>
      </c>
    </row>
    <row r="543" spans="1:2" x14ac:dyDescent="0.25">
      <c r="A543" t="s">
        <v>103</v>
      </c>
      <c r="B543" t="s">
        <v>620</v>
      </c>
    </row>
    <row r="544" spans="1:2" x14ac:dyDescent="0.25">
      <c r="A544" t="s">
        <v>105</v>
      </c>
      <c r="B544" t="s">
        <v>620</v>
      </c>
    </row>
    <row r="545" spans="1:2" x14ac:dyDescent="0.25">
      <c r="A545" t="s">
        <v>111</v>
      </c>
      <c r="B545" t="s">
        <v>620</v>
      </c>
    </row>
    <row r="546" spans="1:2" x14ac:dyDescent="0.25">
      <c r="A546" t="s">
        <v>113</v>
      </c>
      <c r="B546" t="s">
        <v>620</v>
      </c>
    </row>
    <row r="547" spans="1:2" x14ac:dyDescent="0.25">
      <c r="A547" t="s">
        <v>119</v>
      </c>
      <c r="B547" t="s">
        <v>620</v>
      </c>
    </row>
    <row r="548" spans="1:2" x14ac:dyDescent="0.25">
      <c r="A548" t="s">
        <v>744</v>
      </c>
      <c r="B548" t="s">
        <v>620</v>
      </c>
    </row>
    <row r="549" spans="1:2" x14ac:dyDescent="0.25">
      <c r="A549" t="s">
        <v>371</v>
      </c>
      <c r="B549" t="s">
        <v>618</v>
      </c>
    </row>
    <row r="550" spans="1:2" x14ac:dyDescent="0.25">
      <c r="A550" t="s">
        <v>154</v>
      </c>
      <c r="B550" t="s">
        <v>616</v>
      </c>
    </row>
    <row r="551" spans="1:2" x14ac:dyDescent="0.25">
      <c r="A551" t="s">
        <v>225</v>
      </c>
      <c r="B551" t="s">
        <v>616</v>
      </c>
    </row>
    <row r="552" spans="1:2" x14ac:dyDescent="0.25">
      <c r="A552" t="s">
        <v>745</v>
      </c>
      <c r="B552" t="s">
        <v>616</v>
      </c>
    </row>
    <row r="553" spans="1:2" x14ac:dyDescent="0.25">
      <c r="A553" t="s">
        <v>451</v>
      </c>
      <c r="B553" t="s">
        <v>616</v>
      </c>
    </row>
    <row r="554" spans="1:2" x14ac:dyDescent="0.25">
      <c r="A554" t="s">
        <v>419</v>
      </c>
      <c r="B554" t="s">
        <v>620</v>
      </c>
    </row>
    <row r="555" spans="1:2" x14ac:dyDescent="0.25">
      <c r="A555" t="s">
        <v>374</v>
      </c>
      <c r="B555" t="s">
        <v>618</v>
      </c>
    </row>
    <row r="556" spans="1:2" x14ac:dyDescent="0.25">
      <c r="A556" t="s">
        <v>120</v>
      </c>
      <c r="B556" t="s">
        <v>612</v>
      </c>
    </row>
    <row r="557" spans="1:2" x14ac:dyDescent="0.25">
      <c r="A557" t="s">
        <v>79</v>
      </c>
      <c r="B557" t="s">
        <v>612</v>
      </c>
    </row>
    <row r="558" spans="1:2" x14ac:dyDescent="0.25">
      <c r="A558" t="s">
        <v>75</v>
      </c>
      <c r="B558" t="s">
        <v>612</v>
      </c>
    </row>
    <row r="559" spans="1:2" x14ac:dyDescent="0.25">
      <c r="A559" t="s">
        <v>746</v>
      </c>
      <c r="B559" t="s">
        <v>616</v>
      </c>
    </row>
    <row r="560" spans="1:2" x14ac:dyDescent="0.25">
      <c r="A560" t="s">
        <v>747</v>
      </c>
      <c r="B560" t="s">
        <v>612</v>
      </c>
    </row>
    <row r="561" spans="1:2" x14ac:dyDescent="0.25">
      <c r="A561" t="s">
        <v>233</v>
      </c>
      <c r="B561" t="s">
        <v>616</v>
      </c>
    </row>
    <row r="562" spans="1:2" x14ac:dyDescent="0.25">
      <c r="A562" t="s">
        <v>377</v>
      </c>
      <c r="B562" t="s">
        <v>620</v>
      </c>
    </row>
    <row r="563" spans="1:2" x14ac:dyDescent="0.25">
      <c r="A563" t="s">
        <v>373</v>
      </c>
      <c r="B563" t="s">
        <v>620</v>
      </c>
    </row>
    <row r="564" spans="1:2" x14ac:dyDescent="0.25">
      <c r="A564" t="s">
        <v>445</v>
      </c>
      <c r="B564" t="s">
        <v>612</v>
      </c>
    </row>
    <row r="565" spans="1:2" x14ac:dyDescent="0.25">
      <c r="A565" t="s">
        <v>235</v>
      </c>
      <c r="B565" t="s">
        <v>612</v>
      </c>
    </row>
    <row r="566" spans="1:2" x14ac:dyDescent="0.25">
      <c r="A566" t="s">
        <v>424</v>
      </c>
      <c r="B566" t="s">
        <v>612</v>
      </c>
    </row>
    <row r="567" spans="1:2" x14ac:dyDescent="0.25">
      <c r="A567" t="s">
        <v>422</v>
      </c>
      <c r="B567" t="s">
        <v>612</v>
      </c>
    </row>
    <row r="568" spans="1:2" x14ac:dyDescent="0.25">
      <c r="A568" t="s">
        <v>447</v>
      </c>
      <c r="B568" t="s">
        <v>612</v>
      </c>
    </row>
    <row r="569" spans="1:2" x14ac:dyDescent="0.25">
      <c r="A569" t="s">
        <v>232</v>
      </c>
      <c r="B569" t="s">
        <v>612</v>
      </c>
    </row>
    <row r="570" spans="1:2" x14ac:dyDescent="0.25">
      <c r="A570" t="s">
        <v>421</v>
      </c>
      <c r="B570" t="s">
        <v>618</v>
      </c>
    </row>
    <row r="571" spans="1:2" x14ac:dyDescent="0.25">
      <c r="A571" t="s">
        <v>423</v>
      </c>
      <c r="B571" t="s">
        <v>620</v>
      </c>
    </row>
    <row r="572" spans="1:2" x14ac:dyDescent="0.25">
      <c r="A572" t="s">
        <v>748</v>
      </c>
      <c r="B572" t="s">
        <v>612</v>
      </c>
    </row>
    <row r="573" spans="1:2" x14ac:dyDescent="0.25">
      <c r="A573" t="s">
        <v>749</v>
      </c>
      <c r="B573" t="s">
        <v>616</v>
      </c>
    </row>
    <row r="574" spans="1:2" x14ac:dyDescent="0.25">
      <c r="A574" t="s">
        <v>750</v>
      </c>
      <c r="B574" t="s">
        <v>616</v>
      </c>
    </row>
    <row r="575" spans="1:2" x14ac:dyDescent="0.25">
      <c r="A575" t="s">
        <v>751</v>
      </c>
      <c r="B575" t="s">
        <v>616</v>
      </c>
    </row>
    <row r="576" spans="1:2" x14ac:dyDescent="0.25">
      <c r="A576" t="s">
        <v>444</v>
      </c>
      <c r="B576" t="s">
        <v>618</v>
      </c>
    </row>
    <row r="577" spans="1:2" x14ac:dyDescent="0.25">
      <c r="A577" t="s">
        <v>71</v>
      </c>
      <c r="B577" t="s">
        <v>618</v>
      </c>
    </row>
    <row r="578" spans="1:2" x14ac:dyDescent="0.25">
      <c r="A578" t="s">
        <v>231</v>
      </c>
      <c r="B578" t="s">
        <v>620</v>
      </c>
    </row>
    <row r="579" spans="1:2" x14ac:dyDescent="0.25">
      <c r="A579" t="s">
        <v>234</v>
      </c>
      <c r="B579" t="s">
        <v>620</v>
      </c>
    </row>
    <row r="580" spans="1:2" x14ac:dyDescent="0.25">
      <c r="A580" t="s">
        <v>514</v>
      </c>
      <c r="B580" t="s">
        <v>612</v>
      </c>
    </row>
    <row r="581" spans="1:2" x14ac:dyDescent="0.25">
      <c r="A581" t="s">
        <v>752</v>
      </c>
      <c r="B581" t="s">
        <v>612</v>
      </c>
    </row>
    <row r="582" spans="1:2" x14ac:dyDescent="0.25">
      <c r="A582" t="s">
        <v>121</v>
      </c>
      <c r="B582" t="s">
        <v>618</v>
      </c>
    </row>
    <row r="583" spans="1:2" x14ac:dyDescent="0.25">
      <c r="A583" t="s">
        <v>124</v>
      </c>
      <c r="B583" t="s">
        <v>620</v>
      </c>
    </row>
    <row r="584" spans="1:2" x14ac:dyDescent="0.25">
      <c r="A584" t="s">
        <v>181</v>
      </c>
      <c r="B584" t="s">
        <v>612</v>
      </c>
    </row>
    <row r="585" spans="1:2" x14ac:dyDescent="0.25">
      <c r="A585" t="s">
        <v>70</v>
      </c>
      <c r="B585" t="s">
        <v>620</v>
      </c>
    </row>
    <row r="586" spans="1:2" x14ac:dyDescent="0.25">
      <c r="A586" t="s">
        <v>237</v>
      </c>
      <c r="B586" t="s">
        <v>612</v>
      </c>
    </row>
    <row r="587" spans="1:2" x14ac:dyDescent="0.25">
      <c r="A587" t="s">
        <v>367</v>
      </c>
      <c r="B587" t="s">
        <v>612</v>
      </c>
    </row>
    <row r="588" spans="1:2" x14ac:dyDescent="0.25">
      <c r="A588" t="s">
        <v>370</v>
      </c>
      <c r="B588" t="s">
        <v>612</v>
      </c>
    </row>
    <row r="589" spans="1:2" x14ac:dyDescent="0.25">
      <c r="A589" t="s">
        <v>127</v>
      </c>
      <c r="B589" t="s">
        <v>620</v>
      </c>
    </row>
    <row r="590" spans="1:2" x14ac:dyDescent="0.25">
      <c r="A590" t="s">
        <v>378</v>
      </c>
      <c r="B590" t="s">
        <v>620</v>
      </c>
    </row>
    <row r="591" spans="1:2" x14ac:dyDescent="0.25">
      <c r="A591" t="s">
        <v>753</v>
      </c>
      <c r="B591" t="s">
        <v>616</v>
      </c>
    </row>
    <row r="592" spans="1:2" x14ac:dyDescent="0.25">
      <c r="A592" t="s">
        <v>131</v>
      </c>
      <c r="B592" t="s">
        <v>616</v>
      </c>
    </row>
    <row r="593" spans="1:2" x14ac:dyDescent="0.25">
      <c r="A593" t="s">
        <v>130</v>
      </c>
      <c r="B593" t="s">
        <v>618</v>
      </c>
    </row>
    <row r="594" spans="1:2" x14ac:dyDescent="0.25">
      <c r="A594" t="s">
        <v>236</v>
      </c>
      <c r="B594" t="s">
        <v>620</v>
      </c>
    </row>
    <row r="595" spans="1:2" x14ac:dyDescent="0.25">
      <c r="A595" t="s">
        <v>239</v>
      </c>
      <c r="B595" t="s">
        <v>612</v>
      </c>
    </row>
    <row r="596" spans="1:2" x14ac:dyDescent="0.25">
      <c r="A596" t="s">
        <v>238</v>
      </c>
      <c r="B596" t="s">
        <v>620</v>
      </c>
    </row>
    <row r="597" spans="1:2" x14ac:dyDescent="0.25">
      <c r="A597" t="s">
        <v>153</v>
      </c>
      <c r="B597" t="s">
        <v>616</v>
      </c>
    </row>
    <row r="598" spans="1:2" x14ac:dyDescent="0.25">
      <c r="A598" t="s">
        <v>115</v>
      </c>
      <c r="B598" t="s">
        <v>620</v>
      </c>
    </row>
    <row r="599" spans="1:2" x14ac:dyDescent="0.25">
      <c r="A599" t="s">
        <v>134</v>
      </c>
      <c r="B599" t="s">
        <v>612</v>
      </c>
    </row>
    <row r="600" spans="1:2" x14ac:dyDescent="0.25">
      <c r="A600" t="s">
        <v>754</v>
      </c>
      <c r="B600" t="s">
        <v>616</v>
      </c>
    </row>
    <row r="601" spans="1:2" x14ac:dyDescent="0.25">
      <c r="A601" t="s">
        <v>755</v>
      </c>
      <c r="B601" t="s">
        <v>612</v>
      </c>
    </row>
    <row r="602" spans="1:2" x14ac:dyDescent="0.25">
      <c r="A602" t="s">
        <v>756</v>
      </c>
      <c r="B602" t="s">
        <v>612</v>
      </c>
    </row>
    <row r="603" spans="1:2" x14ac:dyDescent="0.25">
      <c r="A603" t="s">
        <v>369</v>
      </c>
      <c r="B603" t="s">
        <v>612</v>
      </c>
    </row>
    <row r="604" spans="1:2" x14ac:dyDescent="0.25">
      <c r="A604" t="s">
        <v>68</v>
      </c>
      <c r="B604" t="s">
        <v>620</v>
      </c>
    </row>
    <row r="605" spans="1:2" x14ac:dyDescent="0.25">
      <c r="A605" t="s">
        <v>368</v>
      </c>
      <c r="B605" t="s">
        <v>616</v>
      </c>
    </row>
    <row r="606" spans="1:2" x14ac:dyDescent="0.25">
      <c r="A606" t="s">
        <v>164</v>
      </c>
      <c r="B606" t="s">
        <v>616</v>
      </c>
    </row>
    <row r="607" spans="1:2" x14ac:dyDescent="0.25">
      <c r="A607" t="s">
        <v>589</v>
      </c>
      <c r="B607" t="s">
        <v>616</v>
      </c>
    </row>
    <row r="608" spans="1:2" x14ac:dyDescent="0.25">
      <c r="A608" t="s">
        <v>329</v>
      </c>
      <c r="B608" t="s">
        <v>616</v>
      </c>
    </row>
    <row r="609" spans="1:2" x14ac:dyDescent="0.25">
      <c r="A609" t="s">
        <v>366</v>
      </c>
      <c r="B609" t="s">
        <v>620</v>
      </c>
    </row>
    <row r="610" spans="1:2" x14ac:dyDescent="0.25">
      <c r="A610" t="s">
        <v>341</v>
      </c>
      <c r="B610" t="s">
        <v>616</v>
      </c>
    </row>
    <row r="611" spans="1:2" x14ac:dyDescent="0.25">
      <c r="A611" t="s">
        <v>757</v>
      </c>
      <c r="B611" t="s">
        <v>616</v>
      </c>
    </row>
    <row r="612" spans="1:2" x14ac:dyDescent="0.25">
      <c r="A612" t="s">
        <v>758</v>
      </c>
      <c r="B612" t="s">
        <v>616</v>
      </c>
    </row>
    <row r="613" spans="1:2" x14ac:dyDescent="0.25">
      <c r="A613" t="s">
        <v>759</v>
      </c>
      <c r="B613" t="s">
        <v>616</v>
      </c>
    </row>
    <row r="614" spans="1:2" x14ac:dyDescent="0.25">
      <c r="A614" t="s">
        <v>760</v>
      </c>
      <c r="B614" t="s">
        <v>616</v>
      </c>
    </row>
    <row r="615" spans="1:2" x14ac:dyDescent="0.25">
      <c r="A615" t="s">
        <v>761</v>
      </c>
      <c r="B615" t="s">
        <v>616</v>
      </c>
    </row>
    <row r="616" spans="1:2" x14ac:dyDescent="0.25">
      <c r="A616" t="s">
        <v>762</v>
      </c>
      <c r="B616" t="s">
        <v>616</v>
      </c>
    </row>
    <row r="617" spans="1:2" x14ac:dyDescent="0.25">
      <c r="A617" t="s">
        <v>763</v>
      </c>
      <c r="B617" t="s">
        <v>616</v>
      </c>
    </row>
    <row r="618" spans="1:2" x14ac:dyDescent="0.25">
      <c r="A618" t="s">
        <v>764</v>
      </c>
      <c r="B618" t="s">
        <v>616</v>
      </c>
    </row>
    <row r="619" spans="1:2" x14ac:dyDescent="0.25">
      <c r="A619" t="s">
        <v>69</v>
      </c>
      <c r="B619" t="s">
        <v>616</v>
      </c>
    </row>
    <row r="620" spans="1:2" x14ac:dyDescent="0.25">
      <c r="A620" t="s">
        <v>177</v>
      </c>
      <c r="B620" t="s">
        <v>620</v>
      </c>
    </row>
    <row r="621" spans="1:2" x14ac:dyDescent="0.25">
      <c r="A621" t="s">
        <v>765</v>
      </c>
      <c r="B621" t="s">
        <v>616</v>
      </c>
    </row>
    <row r="622" spans="1:2" x14ac:dyDescent="0.25">
      <c r="A622" t="s">
        <v>766</v>
      </c>
      <c r="B622" t="s">
        <v>616</v>
      </c>
    </row>
    <row r="623" spans="1:2" x14ac:dyDescent="0.25">
      <c r="A623" t="s">
        <v>325</v>
      </c>
      <c r="B623" t="s">
        <v>612</v>
      </c>
    </row>
    <row r="624" spans="1:2" x14ac:dyDescent="0.25">
      <c r="A624" t="s">
        <v>326</v>
      </c>
      <c r="B624" t="s">
        <v>612</v>
      </c>
    </row>
    <row r="625" spans="1:2" x14ac:dyDescent="0.25">
      <c r="A625" t="s">
        <v>324</v>
      </c>
      <c r="B625" t="s">
        <v>620</v>
      </c>
    </row>
    <row r="626" spans="1:2" x14ac:dyDescent="0.25">
      <c r="A626" t="s">
        <v>118</v>
      </c>
      <c r="B626" t="s">
        <v>620</v>
      </c>
    </row>
    <row r="627" spans="1:2" x14ac:dyDescent="0.25">
      <c r="A627" t="s">
        <v>279</v>
      </c>
      <c r="B627" t="s">
        <v>616</v>
      </c>
    </row>
    <row r="628" spans="1:2" x14ac:dyDescent="0.25">
      <c r="A628" t="s">
        <v>767</v>
      </c>
      <c r="B628" t="s">
        <v>612</v>
      </c>
    </row>
    <row r="629" spans="1:2" x14ac:dyDescent="0.25">
      <c r="A629" t="s">
        <v>63</v>
      </c>
      <c r="B629" t="s">
        <v>612</v>
      </c>
    </row>
    <row r="630" spans="1:2" x14ac:dyDescent="0.25">
      <c r="A630" t="s">
        <v>768</v>
      </c>
      <c r="B630" t="s">
        <v>616</v>
      </c>
    </row>
    <row r="631" spans="1:2" x14ac:dyDescent="0.25">
      <c r="A631" t="s">
        <v>172</v>
      </c>
      <c r="B631" t="s">
        <v>618</v>
      </c>
    </row>
    <row r="632" spans="1:2" x14ac:dyDescent="0.25">
      <c r="A632" t="s">
        <v>769</v>
      </c>
      <c r="B632" t="s">
        <v>612</v>
      </c>
    </row>
    <row r="633" spans="1:2" x14ac:dyDescent="0.25">
      <c r="A633" t="s">
        <v>770</v>
      </c>
      <c r="B633" t="s">
        <v>616</v>
      </c>
    </row>
    <row r="634" spans="1:2" x14ac:dyDescent="0.25">
      <c r="A634" t="s">
        <v>771</v>
      </c>
      <c r="B634" t="s">
        <v>620</v>
      </c>
    </row>
    <row r="635" spans="1:2" x14ac:dyDescent="0.25">
      <c r="A635" t="s">
        <v>772</v>
      </c>
      <c r="B635" t="s">
        <v>620</v>
      </c>
    </row>
    <row r="636" spans="1:2" x14ac:dyDescent="0.25">
      <c r="A636" t="s">
        <v>471</v>
      </c>
      <c r="B636" t="s">
        <v>620</v>
      </c>
    </row>
    <row r="637" spans="1:2" x14ac:dyDescent="0.25">
      <c r="A637" t="s">
        <v>83</v>
      </c>
      <c r="B637" t="s">
        <v>618</v>
      </c>
    </row>
    <row r="638" spans="1:2" x14ac:dyDescent="0.25">
      <c r="A638" t="s">
        <v>461</v>
      </c>
      <c r="B638" t="s">
        <v>612</v>
      </c>
    </row>
    <row r="639" spans="1:2" x14ac:dyDescent="0.25">
      <c r="A639" t="s">
        <v>470</v>
      </c>
      <c r="B639" t="s">
        <v>616</v>
      </c>
    </row>
    <row r="640" spans="1:2" x14ac:dyDescent="0.25">
      <c r="A640" t="s">
        <v>469</v>
      </c>
      <c r="B640" t="s">
        <v>620</v>
      </c>
    </row>
    <row r="641" spans="1:2" x14ac:dyDescent="0.25">
      <c r="A641" t="s">
        <v>773</v>
      </c>
      <c r="B641" t="s">
        <v>618</v>
      </c>
    </row>
    <row r="642" spans="1:2" x14ac:dyDescent="0.25">
      <c r="A642" t="s">
        <v>774</v>
      </c>
      <c r="B642" t="s">
        <v>618</v>
      </c>
    </row>
    <row r="643" spans="1:2" x14ac:dyDescent="0.25">
      <c r="A643" t="s">
        <v>775</v>
      </c>
      <c r="B643" t="s">
        <v>618</v>
      </c>
    </row>
    <row r="644" spans="1:2" x14ac:dyDescent="0.25">
      <c r="A644" t="s">
        <v>776</v>
      </c>
      <c r="B644" t="s">
        <v>618</v>
      </c>
    </row>
    <row r="645" spans="1:2" x14ac:dyDescent="0.25">
      <c r="A645" t="s">
        <v>777</v>
      </c>
      <c r="B645" t="s">
        <v>618</v>
      </c>
    </row>
    <row r="646" spans="1:2" x14ac:dyDescent="0.25">
      <c r="A646" t="s">
        <v>778</v>
      </c>
      <c r="B646" t="s">
        <v>618</v>
      </c>
    </row>
    <row r="647" spans="1:2" x14ac:dyDescent="0.25">
      <c r="A647" t="s">
        <v>779</v>
      </c>
      <c r="B647" t="s">
        <v>618</v>
      </c>
    </row>
    <row r="648" spans="1:2" x14ac:dyDescent="0.25">
      <c r="A648" t="s">
        <v>314</v>
      </c>
      <c r="B648" t="s">
        <v>618</v>
      </c>
    </row>
    <row r="649" spans="1:2" x14ac:dyDescent="0.25">
      <c r="A649" t="s">
        <v>310</v>
      </c>
      <c r="B649" t="s">
        <v>618</v>
      </c>
    </row>
    <row r="650" spans="1:2" x14ac:dyDescent="0.25">
      <c r="A650" t="s">
        <v>313</v>
      </c>
      <c r="B650" t="s">
        <v>612</v>
      </c>
    </row>
    <row r="651" spans="1:2" x14ac:dyDescent="0.25">
      <c r="A651" t="s">
        <v>312</v>
      </c>
      <c r="B651" t="s">
        <v>618</v>
      </c>
    </row>
    <row r="652" spans="1:2" x14ac:dyDescent="0.25">
      <c r="A652" t="s">
        <v>459</v>
      </c>
      <c r="B652" t="s">
        <v>620</v>
      </c>
    </row>
    <row r="653" spans="1:2" x14ac:dyDescent="0.25">
      <c r="A653" t="s">
        <v>427</v>
      </c>
      <c r="B653" t="s">
        <v>620</v>
      </c>
    </row>
    <row r="654" spans="1:2" x14ac:dyDescent="0.25">
      <c r="A654" t="s">
        <v>317</v>
      </c>
      <c r="B654" t="s">
        <v>612</v>
      </c>
    </row>
    <row r="655" spans="1:2" x14ac:dyDescent="0.25">
      <c r="A655" t="s">
        <v>316</v>
      </c>
      <c r="B655" t="s">
        <v>618</v>
      </c>
    </row>
    <row r="656" spans="1:2" x14ac:dyDescent="0.25">
      <c r="A656" t="s">
        <v>780</v>
      </c>
      <c r="B656" t="s">
        <v>618</v>
      </c>
    </row>
    <row r="657" spans="1:2" x14ac:dyDescent="0.25">
      <c r="A657" t="s">
        <v>781</v>
      </c>
      <c r="B657" t="s">
        <v>620</v>
      </c>
    </row>
    <row r="658" spans="1:2" x14ac:dyDescent="0.25">
      <c r="A658" t="s">
        <v>117</v>
      </c>
      <c r="B658" t="s">
        <v>616</v>
      </c>
    </row>
    <row r="659" spans="1:2" x14ac:dyDescent="0.25">
      <c r="A659" t="s">
        <v>175</v>
      </c>
      <c r="B659" t="s">
        <v>612</v>
      </c>
    </row>
    <row r="660" spans="1:2" x14ac:dyDescent="0.25">
      <c r="A660" t="s">
        <v>543</v>
      </c>
      <c r="B660" t="s">
        <v>612</v>
      </c>
    </row>
    <row r="661" spans="1:2" x14ac:dyDescent="0.25">
      <c r="A661" t="s">
        <v>542</v>
      </c>
      <c r="B661" t="s">
        <v>612</v>
      </c>
    </row>
    <row r="662" spans="1:2" x14ac:dyDescent="0.25">
      <c r="A662" t="s">
        <v>537</v>
      </c>
      <c r="B662" t="s">
        <v>612</v>
      </c>
    </row>
    <row r="663" spans="1:2" x14ac:dyDescent="0.25">
      <c r="A663" t="s">
        <v>536</v>
      </c>
      <c r="B663" t="s">
        <v>612</v>
      </c>
    </row>
    <row r="664" spans="1:2" x14ac:dyDescent="0.25">
      <c r="A664" t="s">
        <v>534</v>
      </c>
      <c r="B664" t="s">
        <v>612</v>
      </c>
    </row>
    <row r="665" spans="1:2" x14ac:dyDescent="0.25">
      <c r="A665" t="s">
        <v>533</v>
      </c>
      <c r="B665" t="s">
        <v>612</v>
      </c>
    </row>
    <row r="666" spans="1:2" x14ac:dyDescent="0.25">
      <c r="A666" t="s">
        <v>540</v>
      </c>
      <c r="B666" t="s">
        <v>612</v>
      </c>
    </row>
    <row r="667" spans="1:2" x14ac:dyDescent="0.25">
      <c r="A667" t="s">
        <v>539</v>
      </c>
      <c r="B667" t="s">
        <v>612</v>
      </c>
    </row>
    <row r="668" spans="1:2" x14ac:dyDescent="0.25">
      <c r="A668" t="s">
        <v>450</v>
      </c>
      <c r="B668" t="s">
        <v>612</v>
      </c>
    </row>
    <row r="669" spans="1:2" x14ac:dyDescent="0.25">
      <c r="A669" t="s">
        <v>782</v>
      </c>
      <c r="B669" t="s">
        <v>620</v>
      </c>
    </row>
    <row r="670" spans="1:2" x14ac:dyDescent="0.25">
      <c r="A670" t="s">
        <v>174</v>
      </c>
      <c r="B670" t="s">
        <v>618</v>
      </c>
    </row>
    <row r="671" spans="1:2" x14ac:dyDescent="0.25">
      <c r="A671" t="s">
        <v>176</v>
      </c>
      <c r="B671" t="s">
        <v>618</v>
      </c>
    </row>
    <row r="672" spans="1:2" x14ac:dyDescent="0.25">
      <c r="A672" t="s">
        <v>322</v>
      </c>
      <c r="B672" t="s">
        <v>620</v>
      </c>
    </row>
    <row r="673" spans="1:2" x14ac:dyDescent="0.25">
      <c r="A673" t="s">
        <v>783</v>
      </c>
      <c r="B673" t="s">
        <v>620</v>
      </c>
    </row>
    <row r="674" spans="1:2" x14ac:dyDescent="0.25">
      <c r="A674" t="s">
        <v>784</v>
      </c>
      <c r="B674" t="s">
        <v>612</v>
      </c>
    </row>
    <row r="675" spans="1:2" x14ac:dyDescent="0.25">
      <c r="A675" t="s">
        <v>785</v>
      </c>
      <c r="B675" t="s">
        <v>618</v>
      </c>
    </row>
    <row r="676" spans="1:2" x14ac:dyDescent="0.25">
      <c r="A676" t="s">
        <v>786</v>
      </c>
      <c r="B676" t="s">
        <v>618</v>
      </c>
    </row>
    <row r="677" spans="1:2" x14ac:dyDescent="0.25">
      <c r="A677" t="s">
        <v>586</v>
      </c>
      <c r="B677" t="s">
        <v>612</v>
      </c>
    </row>
    <row r="678" spans="1:2" x14ac:dyDescent="0.25">
      <c r="A678" t="s">
        <v>433</v>
      </c>
      <c r="B678" t="s">
        <v>612</v>
      </c>
    </row>
    <row r="679" spans="1:2" x14ac:dyDescent="0.25">
      <c r="A679" t="s">
        <v>430</v>
      </c>
      <c r="B679" t="s">
        <v>612</v>
      </c>
    </row>
    <row r="680" spans="1:2" x14ac:dyDescent="0.25">
      <c r="A680" t="s">
        <v>426</v>
      </c>
      <c r="B680" t="s">
        <v>620</v>
      </c>
    </row>
    <row r="681" spans="1:2" x14ac:dyDescent="0.25">
      <c r="A681" t="s">
        <v>394</v>
      </c>
      <c r="B681" t="s">
        <v>618</v>
      </c>
    </row>
    <row r="682" spans="1:2" x14ac:dyDescent="0.25">
      <c r="A682" t="s">
        <v>449</v>
      </c>
      <c r="B682" t="s">
        <v>618</v>
      </c>
    </row>
    <row r="683" spans="1:2" x14ac:dyDescent="0.25">
      <c r="A683" t="s">
        <v>787</v>
      </c>
      <c r="B683" t="s">
        <v>620</v>
      </c>
    </row>
    <row r="684" spans="1:2" x14ac:dyDescent="0.25">
      <c r="A684" t="s">
        <v>788</v>
      </c>
      <c r="B684" t="s">
        <v>620</v>
      </c>
    </row>
    <row r="685" spans="1:2" x14ac:dyDescent="0.25">
      <c r="A685" t="s">
        <v>789</v>
      </c>
      <c r="B685" t="s">
        <v>612</v>
      </c>
    </row>
    <row r="686" spans="1:2" x14ac:dyDescent="0.25">
      <c r="A686" t="s">
        <v>790</v>
      </c>
      <c r="B686" t="s">
        <v>612</v>
      </c>
    </row>
    <row r="687" spans="1:2" x14ac:dyDescent="0.25">
      <c r="A687" t="s">
        <v>791</v>
      </c>
      <c r="B687" t="s">
        <v>612</v>
      </c>
    </row>
    <row r="688" spans="1:2" x14ac:dyDescent="0.25">
      <c r="A688" t="s">
        <v>792</v>
      </c>
      <c r="B688" t="s">
        <v>616</v>
      </c>
    </row>
    <row r="689" spans="1:2" x14ac:dyDescent="0.25">
      <c r="A689" t="s">
        <v>793</v>
      </c>
      <c r="B689" t="s">
        <v>616</v>
      </c>
    </row>
    <row r="690" spans="1:2" x14ac:dyDescent="0.25">
      <c r="A690" t="s">
        <v>276</v>
      </c>
      <c r="B690" t="s">
        <v>620</v>
      </c>
    </row>
    <row r="691" spans="1:2" x14ac:dyDescent="0.25">
      <c r="A691" t="s">
        <v>278</v>
      </c>
      <c r="B691" t="s">
        <v>620</v>
      </c>
    </row>
    <row r="692" spans="1:2" x14ac:dyDescent="0.25">
      <c r="A692" t="s">
        <v>116</v>
      </c>
      <c r="B692" t="s">
        <v>620</v>
      </c>
    </row>
    <row r="693" spans="1:2" x14ac:dyDescent="0.25">
      <c r="A693" t="s">
        <v>474</v>
      </c>
      <c r="B693" t="s">
        <v>616</v>
      </c>
    </row>
    <row r="694" spans="1:2" x14ac:dyDescent="0.25">
      <c r="A694" t="s">
        <v>794</v>
      </c>
      <c r="B694" t="s">
        <v>612</v>
      </c>
    </row>
    <row r="695" spans="1:2" x14ac:dyDescent="0.25">
      <c r="A695" t="s">
        <v>795</v>
      </c>
      <c r="B695" t="s">
        <v>612</v>
      </c>
    </row>
    <row r="696" spans="1:2" x14ac:dyDescent="0.25">
      <c r="A696" t="s">
        <v>796</v>
      </c>
      <c r="B696" t="s">
        <v>612</v>
      </c>
    </row>
    <row r="697" spans="1:2" x14ac:dyDescent="0.25">
      <c r="A697" t="s">
        <v>797</v>
      </c>
      <c r="B697" t="s">
        <v>612</v>
      </c>
    </row>
    <row r="698" spans="1:2" x14ac:dyDescent="0.25">
      <c r="A698" t="s">
        <v>472</v>
      </c>
      <c r="B698" t="s">
        <v>620</v>
      </c>
    </row>
    <row r="699" spans="1:2" x14ac:dyDescent="0.25">
      <c r="A699" t="s">
        <v>82</v>
      </c>
      <c r="B699" t="s">
        <v>618</v>
      </c>
    </row>
    <row r="700" spans="1:2" x14ac:dyDescent="0.25">
      <c r="A700" t="s">
        <v>532</v>
      </c>
      <c r="B700" t="s">
        <v>620</v>
      </c>
    </row>
    <row r="701" spans="1:2" x14ac:dyDescent="0.25">
      <c r="A701" t="s">
        <v>535</v>
      </c>
      <c r="B701" t="s">
        <v>620</v>
      </c>
    </row>
    <row r="702" spans="1:2" x14ac:dyDescent="0.25">
      <c r="A702" t="s">
        <v>538</v>
      </c>
      <c r="B702" t="s">
        <v>620</v>
      </c>
    </row>
    <row r="703" spans="1:2" x14ac:dyDescent="0.25">
      <c r="A703" t="s">
        <v>541</v>
      </c>
      <c r="B703" t="s">
        <v>620</v>
      </c>
    </row>
    <row r="704" spans="1:2" x14ac:dyDescent="0.25">
      <c r="A704" t="s">
        <v>548</v>
      </c>
      <c r="B704" t="s">
        <v>620</v>
      </c>
    </row>
    <row r="705" spans="1:2" x14ac:dyDescent="0.25">
      <c r="A705" t="s">
        <v>414</v>
      </c>
      <c r="B705" t="s">
        <v>612</v>
      </c>
    </row>
    <row r="706" spans="1:2" x14ac:dyDescent="0.25">
      <c r="A706" t="s">
        <v>798</v>
      </c>
      <c r="B706" t="s">
        <v>612</v>
      </c>
    </row>
    <row r="707" spans="1:2" x14ac:dyDescent="0.25">
      <c r="A707" t="s">
        <v>799</v>
      </c>
      <c r="B707" t="s">
        <v>612</v>
      </c>
    </row>
    <row r="708" spans="1:2" x14ac:dyDescent="0.25">
      <c r="A708" t="s">
        <v>544</v>
      </c>
      <c r="B708" t="s">
        <v>620</v>
      </c>
    </row>
    <row r="709" spans="1:2" x14ac:dyDescent="0.25">
      <c r="A709" t="s">
        <v>545</v>
      </c>
      <c r="B709" t="s">
        <v>620</v>
      </c>
    </row>
    <row r="710" spans="1:2" x14ac:dyDescent="0.25">
      <c r="A710" t="s">
        <v>546</v>
      </c>
      <c r="B710" t="s">
        <v>620</v>
      </c>
    </row>
    <row r="711" spans="1:2" x14ac:dyDescent="0.25">
      <c r="A711" t="s">
        <v>547</v>
      </c>
      <c r="B711" t="s">
        <v>620</v>
      </c>
    </row>
    <row r="712" spans="1:2" x14ac:dyDescent="0.25">
      <c r="A712" t="s">
        <v>473</v>
      </c>
      <c r="B712" t="s">
        <v>612</v>
      </c>
    </row>
    <row r="713" spans="1:2" x14ac:dyDescent="0.25">
      <c r="A713" t="s">
        <v>402</v>
      </c>
      <c r="B713" t="s">
        <v>620</v>
      </c>
    </row>
    <row r="714" spans="1:2" x14ac:dyDescent="0.25">
      <c r="A714" t="s">
        <v>550</v>
      </c>
      <c r="B714" t="s">
        <v>612</v>
      </c>
    </row>
    <row r="715" spans="1:2" x14ac:dyDescent="0.25">
      <c r="A715" t="s">
        <v>549</v>
      </c>
      <c r="B715" t="s">
        <v>620</v>
      </c>
    </row>
    <row r="716" spans="1:2" x14ac:dyDescent="0.25">
      <c r="A716" t="s">
        <v>800</v>
      </c>
      <c r="B716" t="s">
        <v>618</v>
      </c>
    </row>
    <row r="717" spans="1:2" x14ac:dyDescent="0.25">
      <c r="A717" t="s">
        <v>528</v>
      </c>
      <c r="B717" t="s">
        <v>618</v>
      </c>
    </row>
    <row r="718" spans="1:2" x14ac:dyDescent="0.25">
      <c r="A718" t="s">
        <v>530</v>
      </c>
      <c r="B718" t="s">
        <v>618</v>
      </c>
    </row>
    <row r="719" spans="1:2" x14ac:dyDescent="0.25">
      <c r="A719" t="s">
        <v>801</v>
      </c>
      <c r="B719" t="s">
        <v>612</v>
      </c>
    </row>
    <row r="720" spans="1:2" x14ac:dyDescent="0.25">
      <c r="A720" t="s">
        <v>529</v>
      </c>
      <c r="B720" t="s">
        <v>612</v>
      </c>
    </row>
    <row r="721" spans="1:2" x14ac:dyDescent="0.25">
      <c r="A721" t="s">
        <v>531</v>
      </c>
      <c r="B721" t="s">
        <v>612</v>
      </c>
    </row>
    <row r="722" spans="1:2" x14ac:dyDescent="0.25">
      <c r="A722" t="s">
        <v>802</v>
      </c>
      <c r="B722" t="s">
        <v>612</v>
      </c>
    </row>
    <row r="723" spans="1:2" x14ac:dyDescent="0.25">
      <c r="A723" t="s">
        <v>803</v>
      </c>
      <c r="B723" t="s">
        <v>612</v>
      </c>
    </row>
    <row r="724" spans="1:2" x14ac:dyDescent="0.25">
      <c r="A724" t="s">
        <v>804</v>
      </c>
      <c r="B724" t="s">
        <v>612</v>
      </c>
    </row>
    <row r="725" spans="1:2" x14ac:dyDescent="0.25">
      <c r="A725" t="s">
        <v>805</v>
      </c>
      <c r="B725" t="s">
        <v>612</v>
      </c>
    </row>
    <row r="726" spans="1:2" x14ac:dyDescent="0.25">
      <c r="A726" t="s">
        <v>527</v>
      </c>
      <c r="B726" t="s">
        <v>618</v>
      </c>
    </row>
    <row r="727" spans="1:2" x14ac:dyDescent="0.25">
      <c r="A727" t="s">
        <v>806</v>
      </c>
      <c r="B727" t="s">
        <v>616</v>
      </c>
    </row>
    <row r="728" spans="1:2" x14ac:dyDescent="0.25">
      <c r="A728" t="s">
        <v>602</v>
      </c>
      <c r="B728" t="s">
        <v>612</v>
      </c>
    </row>
    <row r="729" spans="1:2" x14ac:dyDescent="0.25">
      <c r="A729" t="s">
        <v>601</v>
      </c>
      <c r="B729" t="s">
        <v>618</v>
      </c>
    </row>
    <row r="730" spans="1:2" x14ac:dyDescent="0.25">
      <c r="A730" t="s">
        <v>603</v>
      </c>
      <c r="B730" t="s">
        <v>620</v>
      </c>
    </row>
    <row r="731" spans="1:2" x14ac:dyDescent="0.25">
      <c r="A731" t="s">
        <v>807</v>
      </c>
      <c r="B731" t="s">
        <v>618</v>
      </c>
    </row>
    <row r="732" spans="1:2" x14ac:dyDescent="0.25">
      <c r="A732" t="s">
        <v>808</v>
      </c>
      <c r="B732" t="s">
        <v>618</v>
      </c>
    </row>
    <row r="733" spans="1:2" x14ac:dyDescent="0.25">
      <c r="A733" t="s">
        <v>598</v>
      </c>
      <c r="B733" t="s">
        <v>620</v>
      </c>
    </row>
    <row r="734" spans="1:2" x14ac:dyDescent="0.25">
      <c r="A734" t="s">
        <v>809</v>
      </c>
      <c r="B734" t="s">
        <v>612</v>
      </c>
    </row>
    <row r="735" spans="1:2" x14ac:dyDescent="0.25">
      <c r="A735" t="s">
        <v>810</v>
      </c>
      <c r="B735" t="s">
        <v>612</v>
      </c>
    </row>
    <row r="736" spans="1:2" x14ac:dyDescent="0.25">
      <c r="A736" t="s">
        <v>600</v>
      </c>
      <c r="B736" t="s">
        <v>618</v>
      </c>
    </row>
    <row r="737" spans="1:2" x14ac:dyDescent="0.25">
      <c r="A737" t="s">
        <v>811</v>
      </c>
      <c r="B737" t="s">
        <v>618</v>
      </c>
    </row>
    <row r="738" spans="1:2" x14ac:dyDescent="0.25">
      <c r="A738" t="s">
        <v>812</v>
      </c>
      <c r="B738" t="s">
        <v>618</v>
      </c>
    </row>
    <row r="739" spans="1:2" x14ac:dyDescent="0.25">
      <c r="A739" t="s">
        <v>813</v>
      </c>
      <c r="B739" t="s">
        <v>618</v>
      </c>
    </row>
    <row r="740" spans="1:2" x14ac:dyDescent="0.25">
      <c r="A740" t="s">
        <v>814</v>
      </c>
      <c r="B740" t="s">
        <v>618</v>
      </c>
    </row>
    <row r="741" spans="1:2" x14ac:dyDescent="0.25">
      <c r="A741" t="s">
        <v>815</v>
      </c>
      <c r="B741" t="s">
        <v>612</v>
      </c>
    </row>
    <row r="742" spans="1:2" x14ac:dyDescent="0.25">
      <c r="A742" t="s">
        <v>847</v>
      </c>
      <c r="B742" t="s">
        <v>620</v>
      </c>
    </row>
    <row r="743" spans="1:2" x14ac:dyDescent="0.25">
      <c r="A743" t="s">
        <v>846</v>
      </c>
      <c r="B743" t="s">
        <v>612</v>
      </c>
    </row>
    <row r="744" spans="1:2" x14ac:dyDescent="0.25">
      <c r="A744" t="s">
        <v>845</v>
      </c>
      <c r="B744" t="s">
        <v>618</v>
      </c>
    </row>
    <row r="745" spans="1:2" x14ac:dyDescent="0.25">
      <c r="A745" t="s">
        <v>848</v>
      </c>
      <c r="B745" t="s">
        <v>616</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D4"/>
  <sheetViews>
    <sheetView workbookViewId="0">
      <selection activeCell="D2" sqref="D2"/>
    </sheetView>
  </sheetViews>
  <sheetFormatPr baseColWidth="10" defaultRowHeight="15" x14ac:dyDescent="0.25"/>
  <cols>
    <col min="1" max="1" width="33.28515625" customWidth="1"/>
  </cols>
  <sheetData>
    <row r="1" spans="1:4" x14ac:dyDescent="0.25">
      <c r="A1" t="s">
        <v>836</v>
      </c>
    </row>
    <row r="2" spans="1:4" x14ac:dyDescent="0.25">
      <c r="A2" t="s">
        <v>882</v>
      </c>
      <c r="D2" t="str">
        <f t="array" ref="D2">IF(SUM(TABLATRANSFERENCIA[Error Pedid Min Grupo])&gt;0,"Hay errores de pedido mínimo.",IF((SUM(--(ISNUMBER(TABLATRANSFERENCIA[DESPACHO])*(TABLATRANSFERENCIA[REQUERIM]&lt;&gt;TABLATRANSFERENCIA[DESPACHO])*(TABLATRANSFERENCIA[OBSERVACIONES DESPACHOS]="")))+SUM(--(ISNUMBER(TABLATRANSFERENCIA[RECIBIDO])*(TABLATRANSFERENCIA[DESPACHO]&lt;&gt;TABLATRANSFERENCIA[RECIBIDO])*(TABLATRANSFERENCIA[OBSERVACIONES RECEPCIONES]=""))))&lt;&gt;0,"Falta llenar Causas",""))</f>
        <v/>
      </c>
    </row>
    <row r="3" spans="1:4" x14ac:dyDescent="0.25">
      <c r="A3" t="s">
        <v>883</v>
      </c>
    </row>
    <row r="4" spans="1:4" x14ac:dyDescent="0.25">
      <c r="A4" t="s">
        <v>968</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D6"/>
  <sheetViews>
    <sheetView showGridLines="0" zoomScaleNormal="100" workbookViewId="0">
      <selection activeCell="C10" sqref="C10"/>
    </sheetView>
  </sheetViews>
  <sheetFormatPr baseColWidth="10" defaultRowHeight="15" x14ac:dyDescent="0.25"/>
  <cols>
    <col min="1" max="1" width="17.140625" customWidth="1"/>
    <col min="2" max="2" width="56" customWidth="1"/>
    <col min="3" max="3" width="13.28515625" customWidth="1"/>
  </cols>
  <sheetData>
    <row r="1" spans="1:4" ht="15.75" x14ac:dyDescent="0.25">
      <c r="A1" s="13" t="s">
        <v>841</v>
      </c>
      <c r="B1" s="1"/>
      <c r="C1" s="1"/>
    </row>
    <row r="2" spans="1:4" x14ac:dyDescent="0.25">
      <c r="A2" t="s">
        <v>842</v>
      </c>
      <c r="B2" t="str">
        <f>EMPRESA</f>
        <v>MEDITOP</v>
      </c>
    </row>
    <row r="3" spans="1:4" x14ac:dyDescent="0.25">
      <c r="A3" t="s">
        <v>843</v>
      </c>
      <c r="B3" s="12">
        <f ca="1">TODAY()</f>
        <v>42661</v>
      </c>
    </row>
    <row r="5" spans="1:4" x14ac:dyDescent="0.25">
      <c r="A5" s="2" t="s">
        <v>839</v>
      </c>
      <c r="B5" s="14" t="s">
        <v>840</v>
      </c>
      <c r="C5" s="2" t="s">
        <v>28</v>
      </c>
      <c r="D5" s="2" t="s">
        <v>850</v>
      </c>
    </row>
    <row r="6" spans="1:4" x14ac:dyDescent="0.25">
      <c r="A6" s="10"/>
      <c r="B6" s="10"/>
      <c r="C6" s="11"/>
    </row>
  </sheetData>
  <sheetProtection sort="0" autoFilter="0"/>
  <pageMargins left="0.7" right="0.7" top="0.75" bottom="0.75" header="0.3" footer="0.3"/>
  <pageSetup paperSize="9" scale="86"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76200</xdr:colOff>
                <xdr:row>0</xdr:row>
                <xdr:rowOff>19050</xdr:rowOff>
              </from>
              <to>
                <xdr:col>4</xdr:col>
                <xdr:colOff>47625</xdr:colOff>
                <xdr:row>1</xdr:row>
                <xdr:rowOff>85725</xdr:rowOff>
              </to>
            </anchor>
          </controlPr>
        </control>
      </mc:Choice>
      <mc:Fallback>
        <control shapeId="3073" r:id="rId4" name="cmdVolver"/>
      </mc:Fallback>
    </mc:AlternateContent>
    <mc:AlternateContent xmlns:mc="http://schemas.openxmlformats.org/markup-compatibility/2006">
      <mc:Choice Requires="x14">
        <control shapeId="3075" r:id="rId6" name="cmdImprimir">
          <controlPr defaultSize="0" print="0" disabled="1" autoLine="0" r:id="rId7">
            <anchor>
              <from>
                <xdr:col>3</xdr:col>
                <xdr:colOff>76200</xdr:colOff>
                <xdr:row>1</xdr:row>
                <xdr:rowOff>76200</xdr:rowOff>
              </from>
              <to>
                <xdr:col>4</xdr:col>
                <xdr:colOff>47625</xdr:colOff>
                <xdr:row>2</xdr:row>
                <xdr:rowOff>152400</xdr:rowOff>
              </to>
            </anchor>
          </controlPr>
        </control>
      </mc:Choice>
      <mc:Fallback>
        <control shapeId="3075" r:id="rId6" name="cmdImprimir"/>
      </mc:Fallback>
    </mc:AlternateContent>
  </controls>
  <tableParts count="1">
    <tablePart r:id="rId8"/>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B3"/>
  <sheetViews>
    <sheetView workbookViewId="0">
      <selection sqref="A1:B3"/>
    </sheetView>
  </sheetViews>
  <sheetFormatPr baseColWidth="10" defaultRowHeight="15" x14ac:dyDescent="0.25"/>
  <sheetData>
    <row r="1" spans="1:2" x14ac:dyDescent="0.25">
      <c r="A1" s="15" t="s">
        <v>26</v>
      </c>
      <c r="B1" s="15" t="s">
        <v>851</v>
      </c>
    </row>
    <row r="2" spans="1:2" x14ac:dyDescent="0.25">
      <c r="A2" s="16" t="str">
        <f>"=**"</f>
        <v>=**</v>
      </c>
      <c r="B2" s="15"/>
    </row>
    <row r="3" spans="1:2" x14ac:dyDescent="0.25">
      <c r="A3" s="15"/>
      <c r="B3" s="16" t="str">
        <f>"=**"</f>
        <v>=**</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DF2"/>
  <sheetViews>
    <sheetView workbookViewId="0">
      <selection activeCell="B2" sqref="B2:B140"/>
    </sheetView>
  </sheetViews>
  <sheetFormatPr baseColWidth="10" defaultRowHeight="15" x14ac:dyDescent="0.25"/>
  <cols>
    <col min="1" max="1" width="15" customWidth="1"/>
    <col min="2" max="2" width="13.7109375" customWidth="1"/>
    <col min="3" max="3" width="13.85546875" customWidth="1"/>
    <col min="4" max="4" width="16.5703125" customWidth="1"/>
    <col min="5" max="5" width="12.140625" customWidth="1"/>
    <col min="6" max="6" width="13.140625" customWidth="1"/>
    <col min="7" max="7" width="21.85546875" customWidth="1"/>
    <col min="8" max="8" width="22.7109375" customWidth="1"/>
    <col min="9" max="9" width="32.28515625" bestFit="1" customWidth="1"/>
    <col min="10" max="10" width="12.42578125" customWidth="1"/>
    <col min="11" max="11" width="11.7109375" customWidth="1"/>
    <col min="12" max="12" width="28.140625" customWidth="1"/>
    <col min="13" max="13" width="23.85546875" customWidth="1"/>
    <col min="14" max="14" width="20" customWidth="1"/>
    <col min="18" max="18" width="21.42578125" customWidth="1"/>
    <col min="19" max="19" width="27.5703125" customWidth="1"/>
    <col min="20" max="20" width="22.85546875" customWidth="1"/>
    <col min="21" max="21" width="25.5703125" customWidth="1"/>
    <col min="22" max="22" width="26.7109375" customWidth="1"/>
    <col min="23" max="23" width="12.85546875" customWidth="1"/>
    <col min="24" max="24" width="22.140625" customWidth="1"/>
    <col min="25" max="25" width="11.7109375" customWidth="1"/>
    <col min="26" max="26" width="19.85546875" customWidth="1"/>
    <col min="27" max="27" width="14.140625" customWidth="1"/>
    <col min="28" max="28" width="17.85546875" customWidth="1"/>
    <col min="29" max="30" width="17.140625" customWidth="1"/>
    <col min="31" max="31" width="20.42578125" customWidth="1"/>
    <col min="32" max="32" width="16.140625" customWidth="1"/>
    <col min="33" max="33" width="27.42578125" customWidth="1"/>
    <col min="34" max="34" width="22.85546875" customWidth="1"/>
    <col min="35" max="35" width="18" customWidth="1"/>
    <col min="36" max="36" width="23.28515625" customWidth="1"/>
    <col min="39" max="39" width="18.140625" customWidth="1"/>
    <col min="40" max="40" width="14.28515625" customWidth="1"/>
    <col min="41" max="41" width="19.5703125" customWidth="1"/>
    <col min="42" max="42" width="20.5703125" customWidth="1"/>
    <col min="43" max="43" width="18.42578125" customWidth="1"/>
    <col min="44" max="44" width="15.28515625" customWidth="1"/>
    <col min="45" max="45" width="16.42578125" customWidth="1"/>
  </cols>
  <sheetData>
    <row r="1" spans="1:110" x14ac:dyDescent="0.25">
      <c r="A1" t="s">
        <v>1017</v>
      </c>
      <c r="B1" t="s">
        <v>920</v>
      </c>
      <c r="C1" t="s">
        <v>921</v>
      </c>
      <c r="D1" t="s">
        <v>922</v>
      </c>
      <c r="E1" t="s">
        <v>923</v>
      </c>
      <c r="F1" t="s">
        <v>924</v>
      </c>
      <c r="G1" t="s">
        <v>925</v>
      </c>
      <c r="H1" t="s">
        <v>926</v>
      </c>
      <c r="I1" t="s">
        <v>927</v>
      </c>
      <c r="J1" t="s">
        <v>928</v>
      </c>
      <c r="K1" t="s">
        <v>929</v>
      </c>
      <c r="L1" t="s">
        <v>930</v>
      </c>
      <c r="M1" t="s">
        <v>931</v>
      </c>
      <c r="N1" t="s">
        <v>932</v>
      </c>
      <c r="O1" t="s">
        <v>933</v>
      </c>
      <c r="P1" t="s">
        <v>934</v>
      </c>
      <c r="Q1" t="s">
        <v>935</v>
      </c>
      <c r="R1" t="s">
        <v>936</v>
      </c>
      <c r="S1" t="s">
        <v>937</v>
      </c>
      <c r="T1" t="s">
        <v>938</v>
      </c>
      <c r="U1" t="s">
        <v>939</v>
      </c>
      <c r="V1" t="s">
        <v>940</v>
      </c>
      <c r="W1" t="s">
        <v>941</v>
      </c>
      <c r="X1" t="s">
        <v>942</v>
      </c>
      <c r="Y1" t="s">
        <v>943</v>
      </c>
      <c r="Z1" t="s">
        <v>944</v>
      </c>
      <c r="AA1" t="s">
        <v>945</v>
      </c>
      <c r="AB1" t="s">
        <v>946</v>
      </c>
      <c r="AC1" t="s">
        <v>947</v>
      </c>
      <c r="AD1" t="s">
        <v>948</v>
      </c>
      <c r="AE1" t="s">
        <v>949</v>
      </c>
      <c r="AF1" t="s">
        <v>950</v>
      </c>
      <c r="AG1" t="s">
        <v>951</v>
      </c>
      <c r="AH1" t="s">
        <v>952</v>
      </c>
      <c r="AI1" t="s">
        <v>953</v>
      </c>
      <c r="AJ1" t="s">
        <v>954</v>
      </c>
      <c r="AK1" t="s">
        <v>955</v>
      </c>
      <c r="AL1" t="s">
        <v>956</v>
      </c>
      <c r="AM1" t="s">
        <v>957</v>
      </c>
      <c r="AN1" t="s">
        <v>958</v>
      </c>
      <c r="AO1" t="s">
        <v>959</v>
      </c>
      <c r="AP1" t="s">
        <v>960</v>
      </c>
      <c r="AQ1" t="s">
        <v>961</v>
      </c>
      <c r="AR1" t="s">
        <v>967</v>
      </c>
      <c r="AS1" t="s">
        <v>981</v>
      </c>
      <c r="AT1" t="s">
        <v>982</v>
      </c>
      <c r="AU1" t="s">
        <v>983</v>
      </c>
      <c r="AV1" t="s">
        <v>984</v>
      </c>
      <c r="AW1" t="s">
        <v>985</v>
      </c>
      <c r="AX1" t="s">
        <v>986</v>
      </c>
      <c r="AY1" t="s">
        <v>987</v>
      </c>
      <c r="AZ1" t="s">
        <v>988</v>
      </c>
      <c r="BA1" t="s">
        <v>989</v>
      </c>
      <c r="BB1" t="s">
        <v>990</v>
      </c>
      <c r="BC1" t="s">
        <v>991</v>
      </c>
      <c r="BD1" t="s">
        <v>992</v>
      </c>
      <c r="BE1" t="s">
        <v>993</v>
      </c>
      <c r="BF1" t="s">
        <v>994</v>
      </c>
      <c r="BG1" t="s">
        <v>995</v>
      </c>
      <c r="BH1" t="s">
        <v>996</v>
      </c>
      <c r="BI1" t="s">
        <v>997</v>
      </c>
      <c r="BJ1" t="s">
        <v>998</v>
      </c>
      <c r="BK1" t="s">
        <v>999</v>
      </c>
      <c r="BL1" t="s">
        <v>1000</v>
      </c>
      <c r="BM1" t="s">
        <v>1001</v>
      </c>
      <c r="BN1" t="s">
        <v>1002</v>
      </c>
      <c r="BO1" t="s">
        <v>1003</v>
      </c>
      <c r="BP1" t="s">
        <v>1004</v>
      </c>
      <c r="BQ1" t="s">
        <v>1005</v>
      </c>
      <c r="BR1" t="s">
        <v>1006</v>
      </c>
      <c r="BS1" t="s">
        <v>1007</v>
      </c>
      <c r="BT1" t="s">
        <v>1008</v>
      </c>
      <c r="BU1" t="s">
        <v>1009</v>
      </c>
      <c r="BV1" t="s">
        <v>1010</v>
      </c>
      <c r="BW1" t="s">
        <v>1011</v>
      </c>
      <c r="BX1" t="s">
        <v>1012</v>
      </c>
      <c r="BY1" t="s">
        <v>1013</v>
      </c>
      <c r="BZ1" t="s">
        <v>1014</v>
      </c>
      <c r="CA1" t="s">
        <v>1029</v>
      </c>
      <c r="CB1" t="s">
        <v>1030</v>
      </c>
      <c r="CC1" t="s">
        <v>1031</v>
      </c>
      <c r="CD1" t="s">
        <v>1041</v>
      </c>
      <c r="CE1" t="s">
        <v>1042</v>
      </c>
      <c r="CF1" t="s">
        <v>1043</v>
      </c>
      <c r="CG1" t="s">
        <v>893</v>
      </c>
      <c r="CH1" t="s">
        <v>970</v>
      </c>
      <c r="CI1" t="s">
        <v>972</v>
      </c>
      <c r="CJ1" t="s">
        <v>1018</v>
      </c>
      <c r="CK1" t="s">
        <v>894</v>
      </c>
      <c r="CL1" t="s">
        <v>895</v>
      </c>
      <c r="CM1" t="s">
        <v>896</v>
      </c>
      <c r="CN1" t="s">
        <v>897</v>
      </c>
      <c r="CO1" t="s">
        <v>898</v>
      </c>
      <c r="CP1" t="s">
        <v>899</v>
      </c>
      <c r="CQ1" t="s">
        <v>900</v>
      </c>
      <c r="CR1" t="s">
        <v>901</v>
      </c>
      <c r="CS1" t="s">
        <v>902</v>
      </c>
      <c r="CT1" t="s">
        <v>962</v>
      </c>
      <c r="CU1" t="s">
        <v>963</v>
      </c>
      <c r="CV1" t="s">
        <v>964</v>
      </c>
      <c r="CW1" t="s">
        <v>965</v>
      </c>
      <c r="CX1" t="s">
        <v>966</v>
      </c>
      <c r="CY1" t="s">
        <v>1015</v>
      </c>
      <c r="CZ1" t="s">
        <v>1016</v>
      </c>
      <c r="DA1" t="s">
        <v>1019</v>
      </c>
      <c r="DB1" t="s">
        <v>1021</v>
      </c>
      <c r="DC1" t="s">
        <v>1022</v>
      </c>
      <c r="DD1" t="s">
        <v>1023</v>
      </c>
      <c r="DE1" t="s">
        <v>1025</v>
      </c>
      <c r="DF1" t="s">
        <v>1026</v>
      </c>
    </row>
    <row r="2" spans="1:110" x14ac:dyDescent="0.25">
      <c r="AN2" s="47"/>
      <c r="AP2" s="47"/>
      <c r="BP2" s="47"/>
      <c r="BQ2" s="47"/>
      <c r="CA2" s="47"/>
      <c r="CB2" s="47"/>
      <c r="CC2" s="47"/>
      <c r="CD2" s="56"/>
      <c r="CE2" s="56"/>
      <c r="CF2" s="56"/>
      <c r="CH2" s="47"/>
      <c r="CI2" s="47"/>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DF418"/>
  <sheetViews>
    <sheetView topLeftCell="BW1" workbookViewId="0"/>
  </sheetViews>
  <sheetFormatPr baseColWidth="10" defaultRowHeight="15" x14ac:dyDescent="0.25"/>
  <sheetData>
    <row r="1" spans="1:110" x14ac:dyDescent="0.25">
      <c r="A1" t="s">
        <v>1052</v>
      </c>
      <c r="B1" t="s">
        <v>1053</v>
      </c>
      <c r="C1" t="s">
        <v>1054</v>
      </c>
      <c r="D1" t="s">
        <v>1055</v>
      </c>
      <c r="E1" t="s">
        <v>1056</v>
      </c>
      <c r="F1" t="s">
        <v>1057</v>
      </c>
      <c r="G1" t="s">
        <v>1058</v>
      </c>
      <c r="H1" t="s">
        <v>1059</v>
      </c>
      <c r="I1" t="s">
        <v>1060</v>
      </c>
      <c r="J1" t="s">
        <v>1061</v>
      </c>
      <c r="K1" t="s">
        <v>1062</v>
      </c>
      <c r="L1" t="s">
        <v>1063</v>
      </c>
      <c r="M1" t="s">
        <v>1064</v>
      </c>
      <c r="N1" t="s">
        <v>1065</v>
      </c>
      <c r="O1" t="s">
        <v>1066</v>
      </c>
      <c r="P1" t="s">
        <v>1067</v>
      </c>
      <c r="Q1" t="s">
        <v>1068</v>
      </c>
      <c r="R1" t="s">
        <v>1069</v>
      </c>
      <c r="S1" t="s">
        <v>1070</v>
      </c>
      <c r="T1" t="s">
        <v>1071</v>
      </c>
      <c r="U1" t="s">
        <v>1072</v>
      </c>
      <c r="V1" t="s">
        <v>1073</v>
      </c>
      <c r="W1" t="s">
        <v>1074</v>
      </c>
      <c r="X1" t="s">
        <v>1075</v>
      </c>
      <c r="Y1" t="s">
        <v>1076</v>
      </c>
      <c r="Z1" t="s">
        <v>1077</v>
      </c>
      <c r="AA1" t="s">
        <v>1078</v>
      </c>
      <c r="AB1" t="s">
        <v>1079</v>
      </c>
      <c r="AC1" t="s">
        <v>1080</v>
      </c>
      <c r="AD1" t="s">
        <v>1081</v>
      </c>
      <c r="AE1" t="s">
        <v>1082</v>
      </c>
      <c r="AF1" t="s">
        <v>1083</v>
      </c>
      <c r="AG1" t="s">
        <v>1084</v>
      </c>
      <c r="AH1" t="s">
        <v>1085</v>
      </c>
      <c r="AI1" t="s">
        <v>1086</v>
      </c>
      <c r="AJ1" t="s">
        <v>1087</v>
      </c>
      <c r="AK1" t="s">
        <v>1088</v>
      </c>
      <c r="AL1" t="s">
        <v>1089</v>
      </c>
      <c r="AM1" t="s">
        <v>1090</v>
      </c>
      <c r="AN1" t="s">
        <v>1091</v>
      </c>
      <c r="AO1" t="s">
        <v>1092</v>
      </c>
      <c r="AP1" t="s">
        <v>1149</v>
      </c>
      <c r="AQ1" t="s">
        <v>1093</v>
      </c>
      <c r="AR1" t="s">
        <v>1094</v>
      </c>
      <c r="AS1" t="s">
        <v>1150</v>
      </c>
      <c r="AT1" t="s">
        <v>1095</v>
      </c>
      <c r="AU1" t="s">
        <v>1096</v>
      </c>
      <c r="AV1" t="s">
        <v>1097</v>
      </c>
      <c r="AW1" t="s">
        <v>1098</v>
      </c>
      <c r="AX1" t="s">
        <v>1099</v>
      </c>
      <c r="AY1" t="s">
        <v>1100</v>
      </c>
      <c r="AZ1" t="s">
        <v>1101</v>
      </c>
      <c r="BA1" t="s">
        <v>1102</v>
      </c>
      <c r="BB1" t="s">
        <v>1103</v>
      </c>
      <c r="BC1" t="s">
        <v>1104</v>
      </c>
      <c r="BD1" t="s">
        <v>1105</v>
      </c>
      <c r="BE1" t="s">
        <v>1106</v>
      </c>
      <c r="BF1" t="s">
        <v>1107</v>
      </c>
      <c r="BG1" t="s">
        <v>1108</v>
      </c>
      <c r="BH1" t="s">
        <v>1109</v>
      </c>
      <c r="BI1" t="s">
        <v>1110</v>
      </c>
      <c r="BJ1" t="s">
        <v>1111</v>
      </c>
      <c r="BK1" t="s">
        <v>1112</v>
      </c>
      <c r="BL1" t="s">
        <v>1113</v>
      </c>
      <c r="BM1" t="s">
        <v>1114</v>
      </c>
      <c r="BN1" t="s">
        <v>1115</v>
      </c>
      <c r="BO1" t="s">
        <v>1116</v>
      </c>
      <c r="BP1" t="s">
        <v>1117</v>
      </c>
      <c r="BQ1" t="s">
        <v>1151</v>
      </c>
      <c r="BR1" t="s">
        <v>1118</v>
      </c>
      <c r="BS1" t="s">
        <v>1119</v>
      </c>
      <c r="BT1" t="s">
        <v>1120</v>
      </c>
      <c r="BU1" t="s">
        <v>1121</v>
      </c>
      <c r="BV1" t="s">
        <v>1122</v>
      </c>
      <c r="BW1" t="s">
        <v>1123</v>
      </c>
      <c r="BX1" t="s">
        <v>1124</v>
      </c>
      <c r="BY1" t="s">
        <v>1125</v>
      </c>
      <c r="BZ1" t="s">
        <v>1126</v>
      </c>
      <c r="CA1" t="s">
        <v>1127</v>
      </c>
      <c r="CB1" t="s">
        <v>1128</v>
      </c>
      <c r="CC1" t="s">
        <v>1129</v>
      </c>
      <c r="CD1" t="s">
        <v>1130</v>
      </c>
      <c r="CE1" t="s">
        <v>1131</v>
      </c>
      <c r="CF1" t="s">
        <v>1132</v>
      </c>
      <c r="CG1" t="s">
        <v>1133</v>
      </c>
      <c r="CH1" t="s">
        <v>1134</v>
      </c>
      <c r="CI1" t="s">
        <v>1135</v>
      </c>
      <c r="CJ1" t="s">
        <v>1136</v>
      </c>
      <c r="CK1" t="s">
        <v>1137</v>
      </c>
      <c r="CL1" t="s">
        <v>1138</v>
      </c>
      <c r="CM1" t="s">
        <v>1139</v>
      </c>
      <c r="CN1" t="s">
        <v>1140</v>
      </c>
      <c r="CO1" t="s">
        <v>1141</v>
      </c>
      <c r="CP1" t="s">
        <v>1142</v>
      </c>
      <c r="CQ1" t="s">
        <v>970</v>
      </c>
      <c r="CR1" t="s">
        <v>972</v>
      </c>
      <c r="CS1" t="s">
        <v>1143</v>
      </c>
      <c r="CT1" t="s">
        <v>1018</v>
      </c>
      <c r="CU1" t="s">
        <v>1019</v>
      </c>
      <c r="CV1" t="s">
        <v>1021</v>
      </c>
      <c r="CW1" t="s">
        <v>893</v>
      </c>
      <c r="CX1" t="s">
        <v>894</v>
      </c>
      <c r="CY1" t="s">
        <v>895</v>
      </c>
      <c r="CZ1" t="s">
        <v>896</v>
      </c>
      <c r="DA1" t="s">
        <v>897</v>
      </c>
      <c r="DB1" t="s">
        <v>898</v>
      </c>
      <c r="DC1" t="s">
        <v>899</v>
      </c>
      <c r="DD1" t="s">
        <v>900</v>
      </c>
      <c r="DE1" t="s">
        <v>901</v>
      </c>
      <c r="DF1" t="s">
        <v>902</v>
      </c>
    </row>
    <row r="2" spans="1:110" x14ac:dyDescent="0.25">
      <c r="A2" t="s">
        <v>1378</v>
      </c>
      <c r="B2">
        <v>1</v>
      </c>
      <c r="C2" s="56">
        <v>42640</v>
      </c>
      <c r="D2" t="s">
        <v>1449</v>
      </c>
      <c r="E2" t="s">
        <v>1726</v>
      </c>
      <c r="G2" t="s">
        <v>1144</v>
      </c>
      <c r="H2" t="s">
        <v>1144</v>
      </c>
      <c r="I2" t="s">
        <v>1144</v>
      </c>
      <c r="J2" t="s">
        <v>1144</v>
      </c>
      <c r="K2" t="s">
        <v>1144</v>
      </c>
      <c r="L2">
        <v>712.41</v>
      </c>
      <c r="M2">
        <v>1637.27</v>
      </c>
      <c r="N2">
        <v>0</v>
      </c>
      <c r="O2" s="56"/>
      <c r="P2" s="56"/>
      <c r="Q2">
        <v>13718</v>
      </c>
      <c r="R2">
        <v>9</v>
      </c>
      <c r="S2">
        <v>4</v>
      </c>
      <c r="T2">
        <v>2</v>
      </c>
      <c r="U2">
        <v>2</v>
      </c>
      <c r="V2">
        <v>1</v>
      </c>
      <c r="W2" t="s">
        <v>1376</v>
      </c>
      <c r="X2" t="s">
        <v>2385</v>
      </c>
      <c r="AA2">
        <v>0</v>
      </c>
      <c r="AB2">
        <v>0</v>
      </c>
      <c r="AC2">
        <v>0</v>
      </c>
      <c r="AD2">
        <v>0</v>
      </c>
      <c r="AE2">
        <v>0</v>
      </c>
      <c r="AF2">
        <v>20</v>
      </c>
      <c r="AG2">
        <v>0</v>
      </c>
      <c r="AJ2" s="56"/>
      <c r="AK2" s="56"/>
      <c r="AL2" s="56"/>
      <c r="AP2" t="s">
        <v>1450</v>
      </c>
      <c r="AS2" t="s">
        <v>1152</v>
      </c>
      <c r="AT2">
        <v>1</v>
      </c>
      <c r="AV2">
        <v>1</v>
      </c>
      <c r="AW2">
        <v>1</v>
      </c>
      <c r="AX2">
        <v>0.5</v>
      </c>
      <c r="AY2" t="s">
        <v>838</v>
      </c>
      <c r="AZ2" t="s">
        <v>838</v>
      </c>
      <c r="BA2">
        <v>0</v>
      </c>
      <c r="BD2">
        <v>1000000000</v>
      </c>
      <c r="BE2">
        <v>0</v>
      </c>
      <c r="BF2">
        <v>1</v>
      </c>
      <c r="BG2">
        <v>0</v>
      </c>
      <c r="BH2">
        <v>0</v>
      </c>
      <c r="BI2">
        <v>0</v>
      </c>
      <c r="BJ2">
        <v>0</v>
      </c>
      <c r="BK2">
        <v>0</v>
      </c>
      <c r="BL2">
        <v>0</v>
      </c>
      <c r="BM2">
        <v>0</v>
      </c>
      <c r="BN2">
        <v>1</v>
      </c>
      <c r="BO2">
        <v>0</v>
      </c>
      <c r="BP2">
        <v>0</v>
      </c>
      <c r="BR2">
        <v>1</v>
      </c>
      <c r="BS2">
        <v>1</v>
      </c>
      <c r="BX2">
        <v>462.43</v>
      </c>
      <c r="BY2">
        <v>0</v>
      </c>
      <c r="BZ2">
        <v>0</v>
      </c>
      <c r="CA2">
        <v>15.58</v>
      </c>
      <c r="CC2">
        <v>1</v>
      </c>
      <c r="CD2" s="56">
        <v>42619</v>
      </c>
      <c r="CE2" s="56">
        <v>42619</v>
      </c>
      <c r="CF2" s="56">
        <v>42619</v>
      </c>
      <c r="CG2" s="56">
        <v>42647</v>
      </c>
      <c r="CH2" s="56"/>
      <c r="CI2" s="56"/>
      <c r="CJ2">
        <v>1</v>
      </c>
      <c r="CK2">
        <v>0</v>
      </c>
      <c r="CL2">
        <v>0.65</v>
      </c>
      <c r="CM2">
        <v>0</v>
      </c>
      <c r="CN2">
        <v>0</v>
      </c>
      <c r="CO2">
        <v>0</v>
      </c>
      <c r="CP2">
        <v>0</v>
      </c>
      <c r="CQ2" t="s">
        <v>1378</v>
      </c>
      <c r="CR2" t="s">
        <v>1377</v>
      </c>
      <c r="CS2" t="s">
        <v>1451</v>
      </c>
      <c r="CT2" t="s">
        <v>1724</v>
      </c>
      <c r="CU2" t="s">
        <v>1742</v>
      </c>
      <c r="CV2" t="s">
        <v>1786</v>
      </c>
      <c r="DB2" t="s">
        <v>1783</v>
      </c>
      <c r="DE2" t="s">
        <v>1724</v>
      </c>
    </row>
    <row r="3" spans="1:110" x14ac:dyDescent="0.25">
      <c r="A3" t="s">
        <v>1378</v>
      </c>
      <c r="B3">
        <v>1</v>
      </c>
      <c r="C3" s="56">
        <v>42640</v>
      </c>
      <c r="D3" t="s">
        <v>1449</v>
      </c>
      <c r="E3" t="s">
        <v>2149</v>
      </c>
      <c r="G3" t="s">
        <v>1144</v>
      </c>
      <c r="H3" t="s">
        <v>1144</v>
      </c>
      <c r="I3" t="s">
        <v>1144</v>
      </c>
      <c r="J3" t="s">
        <v>1144</v>
      </c>
      <c r="K3" t="s">
        <v>1144</v>
      </c>
      <c r="L3">
        <v>2157.84</v>
      </c>
      <c r="M3">
        <v>2</v>
      </c>
      <c r="N3">
        <v>0</v>
      </c>
      <c r="O3" s="56"/>
      <c r="P3" s="56"/>
      <c r="Q3">
        <v>13718</v>
      </c>
      <c r="R3">
        <v>9</v>
      </c>
      <c r="S3">
        <v>4</v>
      </c>
      <c r="T3">
        <v>2</v>
      </c>
      <c r="U3">
        <v>2</v>
      </c>
      <c r="V3">
        <v>1</v>
      </c>
      <c r="X3" t="s">
        <v>2385</v>
      </c>
      <c r="AA3">
        <v>0</v>
      </c>
      <c r="AB3">
        <v>0</v>
      </c>
      <c r="AC3">
        <v>0</v>
      </c>
      <c r="AD3">
        <v>0</v>
      </c>
      <c r="AE3">
        <v>0</v>
      </c>
      <c r="AF3">
        <v>0</v>
      </c>
      <c r="AG3">
        <v>0</v>
      </c>
      <c r="AJ3" s="56"/>
      <c r="AK3" s="56"/>
      <c r="AL3" s="56"/>
      <c r="AP3" t="s">
        <v>1450</v>
      </c>
      <c r="AS3" t="s">
        <v>1152</v>
      </c>
      <c r="AT3">
        <v>1</v>
      </c>
      <c r="AV3">
        <v>0</v>
      </c>
      <c r="AW3">
        <v>0</v>
      </c>
      <c r="AX3">
        <v>0</v>
      </c>
      <c r="AY3" t="s">
        <v>1375</v>
      </c>
      <c r="AZ3" t="s">
        <v>1375</v>
      </c>
      <c r="BA3">
        <v>2</v>
      </c>
      <c r="BD3">
        <v>1000000000</v>
      </c>
      <c r="BE3">
        <v>0</v>
      </c>
      <c r="BF3">
        <v>0</v>
      </c>
      <c r="BG3">
        <v>0</v>
      </c>
      <c r="BH3">
        <v>0</v>
      </c>
      <c r="BI3">
        <v>0</v>
      </c>
      <c r="BJ3">
        <v>0</v>
      </c>
      <c r="BK3">
        <v>0</v>
      </c>
      <c r="BL3">
        <v>0</v>
      </c>
      <c r="BM3">
        <v>0</v>
      </c>
      <c r="BN3">
        <v>0</v>
      </c>
      <c r="BO3">
        <v>0</v>
      </c>
      <c r="BP3">
        <v>0</v>
      </c>
      <c r="BR3">
        <v>0</v>
      </c>
      <c r="BS3">
        <v>0</v>
      </c>
      <c r="BX3">
        <v>0</v>
      </c>
      <c r="BY3">
        <v>0</v>
      </c>
      <c r="BZ3">
        <v>0</v>
      </c>
      <c r="CA3">
        <v>0</v>
      </c>
      <c r="CC3">
        <v>1</v>
      </c>
      <c r="CD3" s="56">
        <v>42619</v>
      </c>
      <c r="CE3" s="56">
        <v>42619</v>
      </c>
      <c r="CF3" s="56">
        <v>42619</v>
      </c>
      <c r="CG3" s="56">
        <v>42647</v>
      </c>
      <c r="CH3" s="56"/>
      <c r="CI3" s="56"/>
      <c r="CJ3">
        <v>1</v>
      </c>
      <c r="CK3">
        <v>0</v>
      </c>
      <c r="CL3">
        <v>0.65</v>
      </c>
      <c r="CM3">
        <v>0</v>
      </c>
      <c r="CN3">
        <v>0</v>
      </c>
      <c r="CO3">
        <v>0</v>
      </c>
      <c r="CP3">
        <v>0</v>
      </c>
      <c r="CQ3" t="s">
        <v>1378</v>
      </c>
      <c r="CR3" t="s">
        <v>1377</v>
      </c>
      <c r="CS3" t="s">
        <v>1451</v>
      </c>
      <c r="CT3" t="s">
        <v>1724</v>
      </c>
      <c r="CU3" t="s">
        <v>1742</v>
      </c>
      <c r="CV3" t="s">
        <v>2147</v>
      </c>
      <c r="DB3" t="s">
        <v>2145</v>
      </c>
      <c r="DE3" t="s">
        <v>1724</v>
      </c>
    </row>
    <row r="4" spans="1:110" x14ac:dyDescent="0.25">
      <c r="A4" t="s">
        <v>1378</v>
      </c>
      <c r="B4">
        <v>1</v>
      </c>
      <c r="C4" s="56">
        <v>42640</v>
      </c>
      <c r="D4" t="s">
        <v>1449</v>
      </c>
      <c r="E4" t="s">
        <v>1833</v>
      </c>
      <c r="G4" t="s">
        <v>1144</v>
      </c>
      <c r="H4" t="s">
        <v>1144</v>
      </c>
      <c r="I4" t="s">
        <v>1144</v>
      </c>
      <c r="J4" t="s">
        <v>1144</v>
      </c>
      <c r="K4" t="s">
        <v>1144</v>
      </c>
      <c r="L4">
        <v>26.62</v>
      </c>
      <c r="M4">
        <v>91.5</v>
      </c>
      <c r="N4">
        <v>0</v>
      </c>
      <c r="O4" s="56"/>
      <c r="P4" s="56"/>
      <c r="Q4">
        <v>13718</v>
      </c>
      <c r="R4">
        <v>9</v>
      </c>
      <c r="S4">
        <v>4</v>
      </c>
      <c r="T4">
        <v>2</v>
      </c>
      <c r="U4">
        <v>2</v>
      </c>
      <c r="V4">
        <v>1</v>
      </c>
      <c r="X4" t="s">
        <v>2385</v>
      </c>
      <c r="AA4">
        <v>0</v>
      </c>
      <c r="AB4">
        <v>0</v>
      </c>
      <c r="AC4">
        <v>0</v>
      </c>
      <c r="AD4">
        <v>0</v>
      </c>
      <c r="AE4">
        <v>0</v>
      </c>
      <c r="AF4">
        <v>0</v>
      </c>
      <c r="AG4">
        <v>0</v>
      </c>
      <c r="AJ4" s="56"/>
      <c r="AK4" s="56">
        <v>42369</v>
      </c>
      <c r="AL4" s="56"/>
      <c r="AM4">
        <v>3</v>
      </c>
      <c r="AP4" t="s">
        <v>1450</v>
      </c>
      <c r="AS4" t="s">
        <v>1152</v>
      </c>
      <c r="AT4">
        <v>1</v>
      </c>
      <c r="AV4">
        <v>2</v>
      </c>
      <c r="AW4">
        <v>2</v>
      </c>
      <c r="AX4">
        <v>1</v>
      </c>
      <c r="AY4" t="s">
        <v>1147</v>
      </c>
      <c r="AZ4" t="s">
        <v>1147</v>
      </c>
      <c r="BA4">
        <v>3</v>
      </c>
      <c r="BD4">
        <v>1000000000</v>
      </c>
      <c r="BE4">
        <v>3</v>
      </c>
      <c r="BF4">
        <v>-0.5</v>
      </c>
      <c r="BG4">
        <v>0</v>
      </c>
      <c r="BH4">
        <v>0</v>
      </c>
      <c r="BI4">
        <v>0</v>
      </c>
      <c r="BJ4">
        <v>0</v>
      </c>
      <c r="BK4">
        <v>0</v>
      </c>
      <c r="BL4">
        <v>0</v>
      </c>
      <c r="BM4">
        <v>3</v>
      </c>
      <c r="BN4">
        <v>-0.5</v>
      </c>
      <c r="BO4">
        <v>0</v>
      </c>
      <c r="BP4">
        <v>0</v>
      </c>
      <c r="BR4">
        <v>0</v>
      </c>
      <c r="BS4">
        <v>1</v>
      </c>
      <c r="BX4">
        <v>0</v>
      </c>
      <c r="BY4">
        <v>26.62</v>
      </c>
      <c r="BZ4">
        <v>0</v>
      </c>
      <c r="CA4">
        <v>29.25</v>
      </c>
      <c r="CC4">
        <v>1</v>
      </c>
      <c r="CD4" s="56">
        <v>42619</v>
      </c>
      <c r="CE4" s="56">
        <v>42619</v>
      </c>
      <c r="CF4" s="56">
        <v>42619</v>
      </c>
      <c r="CG4" s="56">
        <v>42647</v>
      </c>
      <c r="CH4" s="56"/>
      <c r="CI4" s="56"/>
      <c r="CJ4">
        <v>0</v>
      </c>
      <c r="CK4">
        <v>0</v>
      </c>
      <c r="CL4">
        <v>0</v>
      </c>
      <c r="CM4">
        <v>0</v>
      </c>
      <c r="CN4">
        <v>0</v>
      </c>
      <c r="CO4">
        <v>0</v>
      </c>
      <c r="CP4">
        <v>0.65</v>
      </c>
      <c r="CQ4" t="s">
        <v>1378</v>
      </c>
      <c r="CR4" t="s">
        <v>1377</v>
      </c>
      <c r="CS4" t="s">
        <v>1451</v>
      </c>
      <c r="CT4" t="s">
        <v>1724</v>
      </c>
      <c r="CU4" t="s">
        <v>1742</v>
      </c>
      <c r="CV4" t="s">
        <v>1834</v>
      </c>
      <c r="DB4" t="s">
        <v>1830</v>
      </c>
      <c r="DE4" t="s">
        <v>1724</v>
      </c>
    </row>
    <row r="5" spans="1:110" x14ac:dyDescent="0.25">
      <c r="A5" t="s">
        <v>1378</v>
      </c>
      <c r="B5">
        <v>1</v>
      </c>
      <c r="C5" s="56">
        <v>42640</v>
      </c>
      <c r="D5" t="s">
        <v>1449</v>
      </c>
      <c r="E5" t="s">
        <v>2190</v>
      </c>
      <c r="G5" t="s">
        <v>1144</v>
      </c>
      <c r="H5" t="s">
        <v>1144</v>
      </c>
      <c r="I5" t="s">
        <v>1144</v>
      </c>
      <c r="J5" t="s">
        <v>1144</v>
      </c>
      <c r="K5" t="s">
        <v>1144</v>
      </c>
      <c r="L5">
        <v>458.57</v>
      </c>
      <c r="M5">
        <v>2</v>
      </c>
      <c r="N5">
        <v>0</v>
      </c>
      <c r="O5" s="56"/>
      <c r="P5" s="56"/>
      <c r="Q5">
        <v>13718</v>
      </c>
      <c r="R5">
        <v>9</v>
      </c>
      <c r="S5">
        <v>4</v>
      </c>
      <c r="T5">
        <v>2</v>
      </c>
      <c r="U5">
        <v>2</v>
      </c>
      <c r="V5">
        <v>1</v>
      </c>
      <c r="X5" t="s">
        <v>2386</v>
      </c>
      <c r="AA5">
        <v>0</v>
      </c>
      <c r="AB5">
        <v>0</v>
      </c>
      <c r="AC5">
        <v>0</v>
      </c>
      <c r="AD5">
        <v>0</v>
      </c>
      <c r="AE5">
        <v>0</v>
      </c>
      <c r="AF5">
        <v>0</v>
      </c>
      <c r="AG5">
        <v>0</v>
      </c>
      <c r="AJ5" s="56"/>
      <c r="AK5" s="56">
        <v>42369</v>
      </c>
      <c r="AL5" s="56"/>
      <c r="AM5">
        <v>1</v>
      </c>
      <c r="AP5" t="s">
        <v>1450</v>
      </c>
      <c r="AS5" t="s">
        <v>1152</v>
      </c>
      <c r="AT5">
        <v>1</v>
      </c>
      <c r="AV5">
        <v>1</v>
      </c>
      <c r="AW5">
        <v>1</v>
      </c>
      <c r="AX5">
        <v>0.5</v>
      </c>
      <c r="AY5" t="s">
        <v>1147</v>
      </c>
      <c r="AZ5" t="s">
        <v>1147</v>
      </c>
      <c r="BA5">
        <v>1</v>
      </c>
      <c r="BD5">
        <v>1000000000</v>
      </c>
      <c r="BE5">
        <v>2</v>
      </c>
      <c r="BF5">
        <v>-1</v>
      </c>
      <c r="BG5">
        <v>0</v>
      </c>
      <c r="BH5">
        <v>0</v>
      </c>
      <c r="BI5">
        <v>0</v>
      </c>
      <c r="BJ5">
        <v>0</v>
      </c>
      <c r="BK5">
        <v>0</v>
      </c>
      <c r="BL5">
        <v>0</v>
      </c>
      <c r="BM5">
        <v>2</v>
      </c>
      <c r="BN5">
        <v>-1</v>
      </c>
      <c r="BO5">
        <v>0</v>
      </c>
      <c r="BP5">
        <v>0</v>
      </c>
      <c r="BR5">
        <v>0</v>
      </c>
      <c r="BS5">
        <v>1</v>
      </c>
      <c r="BX5">
        <v>0</v>
      </c>
      <c r="BY5">
        <v>458.57</v>
      </c>
      <c r="BZ5">
        <v>0</v>
      </c>
      <c r="CA5">
        <v>-11.95</v>
      </c>
      <c r="CC5">
        <v>1</v>
      </c>
      <c r="CD5" s="56">
        <v>42593</v>
      </c>
      <c r="CE5" s="56">
        <v>42612</v>
      </c>
      <c r="CF5" s="56">
        <v>42612</v>
      </c>
      <c r="CG5" s="56">
        <v>42640</v>
      </c>
      <c r="CH5" s="56"/>
      <c r="CI5" s="56"/>
      <c r="CJ5">
        <v>0</v>
      </c>
      <c r="CK5">
        <v>0</v>
      </c>
      <c r="CL5">
        <v>0</v>
      </c>
      <c r="CM5">
        <v>0</v>
      </c>
      <c r="CN5">
        <v>0</v>
      </c>
      <c r="CO5">
        <v>0</v>
      </c>
      <c r="CP5">
        <v>0.71</v>
      </c>
      <c r="CQ5" t="s">
        <v>1378</v>
      </c>
      <c r="CR5" t="s">
        <v>1377</v>
      </c>
      <c r="CS5" t="s">
        <v>1451</v>
      </c>
      <c r="CT5" t="s">
        <v>1724</v>
      </c>
      <c r="CU5" t="s">
        <v>1742</v>
      </c>
      <c r="CV5" t="s">
        <v>2191</v>
      </c>
      <c r="DB5" t="s">
        <v>2161</v>
      </c>
      <c r="DE5" t="s">
        <v>1724</v>
      </c>
    </row>
    <row r="6" spans="1:110" x14ac:dyDescent="0.25">
      <c r="A6" t="s">
        <v>1378</v>
      </c>
      <c r="B6">
        <v>1</v>
      </c>
      <c r="C6" s="56">
        <v>42640</v>
      </c>
      <c r="D6" t="s">
        <v>1449</v>
      </c>
      <c r="E6" t="s">
        <v>1463</v>
      </c>
      <c r="G6" t="s">
        <v>1144</v>
      </c>
      <c r="H6" t="s">
        <v>1144</v>
      </c>
      <c r="I6" t="s">
        <v>1144</v>
      </c>
      <c r="J6" t="s">
        <v>1144</v>
      </c>
      <c r="K6" t="s">
        <v>1144</v>
      </c>
      <c r="L6">
        <v>477.87</v>
      </c>
      <c r="M6">
        <v>717.51</v>
      </c>
      <c r="N6">
        <v>0</v>
      </c>
      <c r="O6" s="56"/>
      <c r="P6" s="56"/>
      <c r="Q6">
        <v>13718</v>
      </c>
      <c r="R6">
        <v>9</v>
      </c>
      <c r="S6">
        <v>4</v>
      </c>
      <c r="T6">
        <v>2</v>
      </c>
      <c r="U6">
        <v>2</v>
      </c>
      <c r="V6">
        <v>1</v>
      </c>
      <c r="X6" t="s">
        <v>2385</v>
      </c>
      <c r="AA6">
        <v>0.04</v>
      </c>
      <c r="AB6">
        <v>1</v>
      </c>
      <c r="AC6">
        <v>18.75</v>
      </c>
      <c r="AD6">
        <v>31.25</v>
      </c>
      <c r="AE6">
        <v>0</v>
      </c>
      <c r="AF6">
        <v>0</v>
      </c>
      <c r="AG6">
        <v>0</v>
      </c>
      <c r="AJ6" s="56">
        <v>42666</v>
      </c>
      <c r="AK6" s="56"/>
      <c r="AL6" s="56"/>
      <c r="AM6">
        <v>5</v>
      </c>
      <c r="AP6" t="s">
        <v>1450</v>
      </c>
      <c r="AS6" t="s">
        <v>1152</v>
      </c>
      <c r="AT6">
        <v>1</v>
      </c>
      <c r="AV6">
        <v>3</v>
      </c>
      <c r="AW6">
        <v>2</v>
      </c>
      <c r="AX6">
        <v>1</v>
      </c>
      <c r="AY6" t="s">
        <v>1147</v>
      </c>
      <c r="AZ6" t="s">
        <v>1147</v>
      </c>
      <c r="BA6">
        <v>5</v>
      </c>
      <c r="BD6">
        <v>1000000000</v>
      </c>
      <c r="BE6">
        <v>5</v>
      </c>
      <c r="BF6">
        <v>-0.67</v>
      </c>
      <c r="BG6">
        <v>0</v>
      </c>
      <c r="BH6">
        <v>0</v>
      </c>
      <c r="BI6">
        <v>0</v>
      </c>
      <c r="BJ6">
        <v>0</v>
      </c>
      <c r="BK6">
        <v>0</v>
      </c>
      <c r="BL6">
        <v>0</v>
      </c>
      <c r="BM6">
        <v>5</v>
      </c>
      <c r="BN6">
        <v>-0.67</v>
      </c>
      <c r="BO6">
        <v>0</v>
      </c>
      <c r="BP6">
        <v>0</v>
      </c>
      <c r="BR6">
        <v>0</v>
      </c>
      <c r="BS6">
        <v>2</v>
      </c>
      <c r="BX6">
        <v>0</v>
      </c>
      <c r="BY6">
        <v>955.74</v>
      </c>
      <c r="BZ6">
        <v>0</v>
      </c>
      <c r="CA6">
        <v>6.02</v>
      </c>
      <c r="CC6">
        <v>1</v>
      </c>
      <c r="CD6" s="56">
        <v>42619</v>
      </c>
      <c r="CE6" s="56">
        <v>42619</v>
      </c>
      <c r="CF6" s="56">
        <v>42619</v>
      </c>
      <c r="CG6" s="56">
        <v>42647</v>
      </c>
      <c r="CH6" s="56"/>
      <c r="CI6" s="56"/>
      <c r="CJ6">
        <v>0</v>
      </c>
      <c r="CK6">
        <v>0</v>
      </c>
      <c r="CL6">
        <v>0</v>
      </c>
      <c r="CM6">
        <v>0</v>
      </c>
      <c r="CN6">
        <v>0</v>
      </c>
      <c r="CO6">
        <v>0</v>
      </c>
      <c r="CP6">
        <v>0.65</v>
      </c>
      <c r="CQ6" t="s">
        <v>1378</v>
      </c>
      <c r="CR6" t="s">
        <v>1377</v>
      </c>
      <c r="CS6" t="s">
        <v>1451</v>
      </c>
      <c r="CT6" t="s">
        <v>1724</v>
      </c>
      <c r="CU6" t="s">
        <v>1742</v>
      </c>
      <c r="CV6" t="s">
        <v>1887</v>
      </c>
      <c r="DB6" t="s">
        <v>1888</v>
      </c>
      <c r="DE6" t="s">
        <v>1724</v>
      </c>
    </row>
    <row r="7" spans="1:110" x14ac:dyDescent="0.25">
      <c r="A7" t="s">
        <v>1378</v>
      </c>
      <c r="B7">
        <v>1</v>
      </c>
      <c r="C7" s="56">
        <v>42640</v>
      </c>
      <c r="D7" t="s">
        <v>1449</v>
      </c>
      <c r="E7" t="s">
        <v>2238</v>
      </c>
      <c r="G7" t="s">
        <v>1144</v>
      </c>
      <c r="H7" t="s">
        <v>1144</v>
      </c>
      <c r="I7" t="s">
        <v>1144</v>
      </c>
      <c r="J7" t="s">
        <v>1144</v>
      </c>
      <c r="K7" t="s">
        <v>1144</v>
      </c>
      <c r="L7">
        <v>433.96</v>
      </c>
      <c r="M7">
        <v>2</v>
      </c>
      <c r="N7">
        <v>0</v>
      </c>
      <c r="O7" s="56"/>
      <c r="P7" s="56"/>
      <c r="Q7">
        <v>13718</v>
      </c>
      <c r="R7">
        <v>9</v>
      </c>
      <c r="S7">
        <v>4</v>
      </c>
      <c r="T7">
        <v>2</v>
      </c>
      <c r="U7">
        <v>2</v>
      </c>
      <c r="V7">
        <v>1</v>
      </c>
      <c r="X7" t="s">
        <v>2386</v>
      </c>
      <c r="AA7">
        <v>0</v>
      </c>
      <c r="AB7">
        <v>0</v>
      </c>
      <c r="AC7">
        <v>0</v>
      </c>
      <c r="AD7">
        <v>0</v>
      </c>
      <c r="AE7">
        <v>0</v>
      </c>
      <c r="AF7">
        <v>0</v>
      </c>
      <c r="AG7">
        <v>0</v>
      </c>
      <c r="AJ7" s="56"/>
      <c r="AK7" s="56">
        <v>42369</v>
      </c>
      <c r="AL7" s="56"/>
      <c r="AM7">
        <v>1</v>
      </c>
      <c r="AP7" t="s">
        <v>1450</v>
      </c>
      <c r="AS7" t="s">
        <v>1152</v>
      </c>
      <c r="AT7">
        <v>1</v>
      </c>
      <c r="AV7">
        <v>1</v>
      </c>
      <c r="AW7">
        <v>1</v>
      </c>
      <c r="AX7">
        <v>0.5</v>
      </c>
      <c r="AY7" t="s">
        <v>1147</v>
      </c>
      <c r="AZ7" t="s">
        <v>1147</v>
      </c>
      <c r="BA7">
        <v>1</v>
      </c>
      <c r="BD7">
        <v>1000000000</v>
      </c>
      <c r="BE7">
        <v>2</v>
      </c>
      <c r="BF7">
        <v>-1</v>
      </c>
      <c r="BG7">
        <v>0</v>
      </c>
      <c r="BH7">
        <v>0</v>
      </c>
      <c r="BI7">
        <v>0</v>
      </c>
      <c r="BJ7">
        <v>0</v>
      </c>
      <c r="BK7">
        <v>0</v>
      </c>
      <c r="BL7">
        <v>0</v>
      </c>
      <c r="BM7">
        <v>2</v>
      </c>
      <c r="BN7">
        <v>-1</v>
      </c>
      <c r="BO7">
        <v>0</v>
      </c>
      <c r="BP7">
        <v>0</v>
      </c>
      <c r="BR7">
        <v>0</v>
      </c>
      <c r="BS7">
        <v>1</v>
      </c>
      <c r="BX7">
        <v>0</v>
      </c>
      <c r="BY7">
        <v>433.96</v>
      </c>
      <c r="BZ7">
        <v>0</v>
      </c>
      <c r="CA7">
        <v>-11.94</v>
      </c>
      <c r="CC7">
        <v>1</v>
      </c>
      <c r="CD7" s="56">
        <v>42593</v>
      </c>
      <c r="CE7" s="56">
        <v>42612</v>
      </c>
      <c r="CF7" s="56">
        <v>42612</v>
      </c>
      <c r="CG7" s="56">
        <v>42640</v>
      </c>
      <c r="CH7" s="56"/>
      <c r="CI7" s="56"/>
      <c r="CJ7">
        <v>0</v>
      </c>
      <c r="CK7">
        <v>0</v>
      </c>
      <c r="CL7">
        <v>0</v>
      </c>
      <c r="CM7">
        <v>0</v>
      </c>
      <c r="CN7">
        <v>0</v>
      </c>
      <c r="CO7">
        <v>0</v>
      </c>
      <c r="CP7">
        <v>0.71</v>
      </c>
      <c r="CQ7" t="s">
        <v>1378</v>
      </c>
      <c r="CR7" t="s">
        <v>1377</v>
      </c>
      <c r="CS7" t="s">
        <v>1451</v>
      </c>
      <c r="CT7" t="s">
        <v>1724</v>
      </c>
      <c r="CU7" t="s">
        <v>1742</v>
      </c>
      <c r="CV7" t="s">
        <v>2236</v>
      </c>
      <c r="DB7" t="s">
        <v>2134</v>
      </c>
      <c r="DE7" t="s">
        <v>1724</v>
      </c>
    </row>
    <row r="8" spans="1:110" x14ac:dyDescent="0.25">
      <c r="A8" t="s">
        <v>1378</v>
      </c>
      <c r="B8">
        <v>1</v>
      </c>
      <c r="C8" s="56">
        <v>42640</v>
      </c>
      <c r="D8" t="s">
        <v>1449</v>
      </c>
      <c r="E8" t="s">
        <v>1953</v>
      </c>
      <c r="G8" t="s">
        <v>1144</v>
      </c>
      <c r="H8" t="s">
        <v>1144</v>
      </c>
      <c r="I8" t="s">
        <v>1144</v>
      </c>
      <c r="J8" t="s">
        <v>1144</v>
      </c>
      <c r="K8" t="s">
        <v>1144</v>
      </c>
      <c r="L8">
        <v>111.13</v>
      </c>
      <c r="M8">
        <v>230.18</v>
      </c>
      <c r="N8">
        <v>0</v>
      </c>
      <c r="O8" s="56"/>
      <c r="P8" s="56"/>
      <c r="Q8">
        <v>13718</v>
      </c>
      <c r="R8">
        <v>9</v>
      </c>
      <c r="S8">
        <v>4</v>
      </c>
      <c r="T8">
        <v>2</v>
      </c>
      <c r="U8">
        <v>2</v>
      </c>
      <c r="V8">
        <v>1</v>
      </c>
      <c r="X8" t="s">
        <v>2385</v>
      </c>
      <c r="AA8">
        <v>0</v>
      </c>
      <c r="AB8">
        <v>0</v>
      </c>
      <c r="AC8">
        <v>0</v>
      </c>
      <c r="AD8">
        <v>0</v>
      </c>
      <c r="AE8">
        <v>0</v>
      </c>
      <c r="AF8">
        <v>0</v>
      </c>
      <c r="AG8">
        <v>0</v>
      </c>
      <c r="AJ8" s="56"/>
      <c r="AK8" s="56"/>
      <c r="AL8" s="56"/>
      <c r="AP8" t="s">
        <v>1450</v>
      </c>
      <c r="AS8" t="s">
        <v>1152</v>
      </c>
      <c r="AT8">
        <v>1</v>
      </c>
      <c r="AV8">
        <v>0</v>
      </c>
      <c r="AW8">
        <v>0</v>
      </c>
      <c r="AX8">
        <v>0</v>
      </c>
      <c r="AY8" t="s">
        <v>1375</v>
      </c>
      <c r="AZ8" t="s">
        <v>1375</v>
      </c>
      <c r="BA8">
        <v>2</v>
      </c>
      <c r="BD8">
        <v>1000000000</v>
      </c>
      <c r="BE8">
        <v>2</v>
      </c>
      <c r="BF8">
        <v>0</v>
      </c>
      <c r="BG8">
        <v>0</v>
      </c>
      <c r="BH8">
        <v>0</v>
      </c>
      <c r="BI8">
        <v>0</v>
      </c>
      <c r="BJ8">
        <v>0</v>
      </c>
      <c r="BK8">
        <v>0</v>
      </c>
      <c r="BL8">
        <v>0</v>
      </c>
      <c r="BM8">
        <v>2</v>
      </c>
      <c r="BN8">
        <v>0</v>
      </c>
      <c r="BO8">
        <v>0</v>
      </c>
      <c r="BP8">
        <v>0</v>
      </c>
      <c r="BR8">
        <v>0</v>
      </c>
      <c r="BS8">
        <v>0</v>
      </c>
      <c r="BX8">
        <v>0</v>
      </c>
      <c r="BY8">
        <v>0</v>
      </c>
      <c r="BZ8">
        <v>0</v>
      </c>
      <c r="CA8">
        <v>0</v>
      </c>
      <c r="CC8">
        <v>1</v>
      </c>
      <c r="CD8" s="56">
        <v>42619</v>
      </c>
      <c r="CE8" s="56">
        <v>42619</v>
      </c>
      <c r="CF8" s="56">
        <v>42619</v>
      </c>
      <c r="CG8" s="56">
        <v>42647</v>
      </c>
      <c r="CH8" s="56"/>
      <c r="CI8" s="56"/>
      <c r="CJ8">
        <v>0</v>
      </c>
      <c r="CK8">
        <v>0</v>
      </c>
      <c r="CL8">
        <v>0</v>
      </c>
      <c r="CM8">
        <v>0</v>
      </c>
      <c r="CN8">
        <v>0</v>
      </c>
      <c r="CO8">
        <v>0</v>
      </c>
      <c r="CP8">
        <v>0.65</v>
      </c>
      <c r="CQ8" t="s">
        <v>1378</v>
      </c>
      <c r="CR8" t="s">
        <v>1377</v>
      </c>
      <c r="CS8" t="s">
        <v>1451</v>
      </c>
      <c r="CT8" t="s">
        <v>1724</v>
      </c>
      <c r="CU8" t="s">
        <v>1742</v>
      </c>
      <c r="CV8" t="s">
        <v>1954</v>
      </c>
      <c r="DB8" t="s">
        <v>1869</v>
      </c>
      <c r="DE8" t="s">
        <v>1724</v>
      </c>
    </row>
    <row r="9" spans="1:110" x14ac:dyDescent="0.25">
      <c r="A9" t="s">
        <v>1378</v>
      </c>
      <c r="B9">
        <v>1</v>
      </c>
      <c r="C9" s="56">
        <v>42640</v>
      </c>
      <c r="D9" t="s">
        <v>1449</v>
      </c>
      <c r="E9" t="s">
        <v>1467</v>
      </c>
      <c r="G9" t="s">
        <v>1144</v>
      </c>
      <c r="H9" t="s">
        <v>1144</v>
      </c>
      <c r="I9" t="s">
        <v>1144</v>
      </c>
      <c r="J9" t="s">
        <v>1144</v>
      </c>
      <c r="K9" t="s">
        <v>1144</v>
      </c>
      <c r="L9">
        <v>111.21</v>
      </c>
      <c r="M9">
        <v>230.18</v>
      </c>
      <c r="N9">
        <v>0</v>
      </c>
      <c r="O9" s="56"/>
      <c r="P9" s="56"/>
      <c r="Q9">
        <v>13718</v>
      </c>
      <c r="R9">
        <v>9</v>
      </c>
      <c r="S9">
        <v>4</v>
      </c>
      <c r="T9">
        <v>2</v>
      </c>
      <c r="U9">
        <v>2</v>
      </c>
      <c r="V9">
        <v>1</v>
      </c>
      <c r="X9" t="s">
        <v>2385</v>
      </c>
      <c r="AA9">
        <v>0.04</v>
      </c>
      <c r="AB9">
        <v>1</v>
      </c>
      <c r="AC9">
        <v>0</v>
      </c>
      <c r="AD9">
        <v>12.5</v>
      </c>
      <c r="AE9">
        <v>0</v>
      </c>
      <c r="AF9">
        <v>0</v>
      </c>
      <c r="AG9">
        <v>0</v>
      </c>
      <c r="AJ9" s="56"/>
      <c r="AK9" s="56"/>
      <c r="AL9" s="56"/>
      <c r="AP9" t="s">
        <v>1450</v>
      </c>
      <c r="AS9" t="s">
        <v>1152</v>
      </c>
      <c r="AT9">
        <v>1</v>
      </c>
      <c r="AV9">
        <v>0</v>
      </c>
      <c r="AW9">
        <v>0</v>
      </c>
      <c r="AX9">
        <v>0</v>
      </c>
      <c r="AY9" t="s">
        <v>1375</v>
      </c>
      <c r="AZ9" t="s">
        <v>1375</v>
      </c>
      <c r="BA9">
        <v>3</v>
      </c>
      <c r="BD9">
        <v>1000000000</v>
      </c>
      <c r="BE9">
        <v>2</v>
      </c>
      <c r="BF9">
        <v>0</v>
      </c>
      <c r="BG9">
        <v>0</v>
      </c>
      <c r="BH9">
        <v>0</v>
      </c>
      <c r="BI9">
        <v>0</v>
      </c>
      <c r="BJ9">
        <v>0</v>
      </c>
      <c r="BK9">
        <v>0</v>
      </c>
      <c r="BL9">
        <v>0</v>
      </c>
      <c r="BM9">
        <v>2</v>
      </c>
      <c r="BN9">
        <v>0</v>
      </c>
      <c r="BO9">
        <v>0</v>
      </c>
      <c r="BP9">
        <v>0</v>
      </c>
      <c r="BR9">
        <v>0</v>
      </c>
      <c r="BS9">
        <v>0</v>
      </c>
      <c r="BX9">
        <v>0</v>
      </c>
      <c r="BY9">
        <v>0</v>
      </c>
      <c r="BZ9">
        <v>0</v>
      </c>
      <c r="CA9">
        <v>0</v>
      </c>
      <c r="CC9">
        <v>1</v>
      </c>
      <c r="CD9" s="56">
        <v>42619</v>
      </c>
      <c r="CE9" s="56">
        <v>42619</v>
      </c>
      <c r="CF9" s="56">
        <v>42619</v>
      </c>
      <c r="CG9" s="56">
        <v>42647</v>
      </c>
      <c r="CH9" s="56"/>
      <c r="CI9" s="56"/>
      <c r="CJ9">
        <v>0</v>
      </c>
      <c r="CK9">
        <v>0</v>
      </c>
      <c r="CL9">
        <v>0</v>
      </c>
      <c r="CM9">
        <v>0</v>
      </c>
      <c r="CN9">
        <v>0</v>
      </c>
      <c r="CO9">
        <v>0</v>
      </c>
      <c r="CP9">
        <v>0.65</v>
      </c>
      <c r="CQ9" t="s">
        <v>1378</v>
      </c>
      <c r="CR9" t="s">
        <v>1377</v>
      </c>
      <c r="CS9" t="s">
        <v>1451</v>
      </c>
      <c r="CT9" t="s">
        <v>1724</v>
      </c>
      <c r="CU9" t="s">
        <v>1742</v>
      </c>
      <c r="CV9" t="s">
        <v>1936</v>
      </c>
      <c r="DB9" t="s">
        <v>1869</v>
      </c>
      <c r="DE9" t="s">
        <v>1724</v>
      </c>
    </row>
    <row r="10" spans="1:110" x14ac:dyDescent="0.25">
      <c r="A10" t="s">
        <v>1378</v>
      </c>
      <c r="B10">
        <v>1</v>
      </c>
      <c r="C10" s="56">
        <v>42640</v>
      </c>
      <c r="D10" t="s">
        <v>1449</v>
      </c>
      <c r="E10" t="s">
        <v>2289</v>
      </c>
      <c r="G10" t="s">
        <v>1144</v>
      </c>
      <c r="H10" t="s">
        <v>1144</v>
      </c>
      <c r="I10" t="s">
        <v>1144</v>
      </c>
      <c r="J10" t="s">
        <v>1144</v>
      </c>
      <c r="K10" t="s">
        <v>1144</v>
      </c>
      <c r="L10">
        <v>572.16999999999996</v>
      </c>
      <c r="M10">
        <v>2</v>
      </c>
      <c r="N10">
        <v>0</v>
      </c>
      <c r="O10" s="56"/>
      <c r="P10" s="56"/>
      <c r="Q10">
        <v>13718</v>
      </c>
      <c r="R10">
        <v>9</v>
      </c>
      <c r="S10">
        <v>4</v>
      </c>
      <c r="T10">
        <v>2</v>
      </c>
      <c r="U10">
        <v>2</v>
      </c>
      <c r="V10">
        <v>1</v>
      </c>
      <c r="W10" t="s">
        <v>2379</v>
      </c>
      <c r="X10" t="s">
        <v>2387</v>
      </c>
      <c r="AA10">
        <v>0.04</v>
      </c>
      <c r="AB10">
        <v>1</v>
      </c>
      <c r="AC10">
        <v>12.5</v>
      </c>
      <c r="AD10">
        <v>12.5</v>
      </c>
      <c r="AE10">
        <v>0</v>
      </c>
      <c r="AF10">
        <v>0</v>
      </c>
      <c r="AG10">
        <v>0</v>
      </c>
      <c r="AJ10" s="56"/>
      <c r="AK10" s="56"/>
      <c r="AL10" s="56"/>
      <c r="AM10">
        <v>1</v>
      </c>
      <c r="AP10" t="s">
        <v>1450</v>
      </c>
      <c r="AS10" t="s">
        <v>1152</v>
      </c>
      <c r="AT10">
        <v>1</v>
      </c>
      <c r="AV10">
        <v>2</v>
      </c>
      <c r="AW10">
        <v>2</v>
      </c>
      <c r="AX10">
        <v>1</v>
      </c>
      <c r="AY10" t="s">
        <v>1145</v>
      </c>
      <c r="AZ10" t="s">
        <v>1145</v>
      </c>
      <c r="BA10">
        <v>1</v>
      </c>
      <c r="BD10">
        <v>1000000000</v>
      </c>
      <c r="BE10">
        <v>2</v>
      </c>
      <c r="BF10">
        <v>0</v>
      </c>
      <c r="BG10">
        <v>0</v>
      </c>
      <c r="BH10">
        <v>0</v>
      </c>
      <c r="BI10">
        <v>0</v>
      </c>
      <c r="BJ10">
        <v>0</v>
      </c>
      <c r="BK10">
        <v>0</v>
      </c>
      <c r="BL10">
        <v>0</v>
      </c>
      <c r="BM10">
        <v>2</v>
      </c>
      <c r="BN10">
        <v>0</v>
      </c>
      <c r="BO10">
        <v>0</v>
      </c>
      <c r="BP10">
        <v>0</v>
      </c>
      <c r="BR10">
        <v>0</v>
      </c>
      <c r="BS10">
        <v>1</v>
      </c>
      <c r="BX10">
        <v>0</v>
      </c>
      <c r="BY10">
        <v>0</v>
      </c>
      <c r="BZ10">
        <v>0</v>
      </c>
      <c r="CA10">
        <v>-11.96</v>
      </c>
      <c r="CC10">
        <v>1</v>
      </c>
      <c r="CD10" s="56">
        <v>42592</v>
      </c>
      <c r="CE10" s="56">
        <v>42612</v>
      </c>
      <c r="CF10" s="56">
        <v>42612</v>
      </c>
      <c r="CG10" s="56">
        <v>42640</v>
      </c>
      <c r="CH10" s="56"/>
      <c r="CI10" s="56"/>
      <c r="CJ10">
        <v>0</v>
      </c>
      <c r="CK10">
        <v>0</v>
      </c>
      <c r="CL10">
        <v>0</v>
      </c>
      <c r="CM10">
        <v>0</v>
      </c>
      <c r="CN10">
        <v>0.71</v>
      </c>
      <c r="CO10">
        <v>0</v>
      </c>
      <c r="CP10">
        <v>0</v>
      </c>
      <c r="CQ10" t="s">
        <v>1378</v>
      </c>
      <c r="CR10" t="s">
        <v>1377</v>
      </c>
      <c r="CS10" t="s">
        <v>1451</v>
      </c>
      <c r="CT10" t="s">
        <v>1724</v>
      </c>
      <c r="CU10" t="s">
        <v>1742</v>
      </c>
      <c r="CV10" t="s">
        <v>2290</v>
      </c>
      <c r="DB10" t="s">
        <v>2286</v>
      </c>
      <c r="DE10" t="s">
        <v>1724</v>
      </c>
    </row>
    <row r="11" spans="1:110" x14ac:dyDescent="0.25">
      <c r="A11" t="s">
        <v>1378</v>
      </c>
      <c r="B11">
        <v>1</v>
      </c>
      <c r="C11" s="56">
        <v>42640</v>
      </c>
      <c r="D11" t="s">
        <v>1449</v>
      </c>
      <c r="E11" t="s">
        <v>1423</v>
      </c>
      <c r="G11" t="s">
        <v>1144</v>
      </c>
      <c r="H11" t="s">
        <v>1144</v>
      </c>
      <c r="I11" t="s">
        <v>1144</v>
      </c>
      <c r="J11" t="s">
        <v>1144</v>
      </c>
      <c r="K11" t="s">
        <v>1144</v>
      </c>
      <c r="L11">
        <v>542.45000000000005</v>
      </c>
      <c r="M11">
        <v>1056.52</v>
      </c>
      <c r="N11">
        <v>0</v>
      </c>
      <c r="O11" s="56"/>
      <c r="P11" s="56"/>
      <c r="Q11">
        <v>13718</v>
      </c>
      <c r="R11">
        <v>9</v>
      </c>
      <c r="S11">
        <v>4</v>
      </c>
      <c r="T11">
        <v>2</v>
      </c>
      <c r="U11">
        <v>2</v>
      </c>
      <c r="V11">
        <v>1</v>
      </c>
      <c r="W11" t="s">
        <v>2379</v>
      </c>
      <c r="X11" t="s">
        <v>2386</v>
      </c>
      <c r="AA11">
        <v>0.31</v>
      </c>
      <c r="AB11">
        <v>2</v>
      </c>
      <c r="AC11">
        <v>4.03</v>
      </c>
      <c r="AD11">
        <v>3.23</v>
      </c>
      <c r="AE11">
        <v>0</v>
      </c>
      <c r="AF11">
        <v>0</v>
      </c>
      <c r="AG11">
        <v>0</v>
      </c>
      <c r="AJ11" s="56"/>
      <c r="AK11" s="56"/>
      <c r="AL11" s="56"/>
      <c r="AM11">
        <v>5</v>
      </c>
      <c r="AP11" t="s">
        <v>1450</v>
      </c>
      <c r="AS11" t="s">
        <v>1152</v>
      </c>
      <c r="AT11">
        <v>1</v>
      </c>
      <c r="AV11">
        <v>5</v>
      </c>
      <c r="AW11">
        <v>3</v>
      </c>
      <c r="AX11">
        <v>2</v>
      </c>
      <c r="AY11" t="s">
        <v>1148</v>
      </c>
      <c r="AZ11" t="s">
        <v>1148</v>
      </c>
      <c r="BA11">
        <v>5</v>
      </c>
      <c r="BD11">
        <v>1000000000</v>
      </c>
      <c r="BE11">
        <v>4</v>
      </c>
      <c r="BF11">
        <v>0.2</v>
      </c>
      <c r="BG11">
        <v>0</v>
      </c>
      <c r="BH11">
        <v>0</v>
      </c>
      <c r="BI11">
        <v>0</v>
      </c>
      <c r="BJ11">
        <v>0</v>
      </c>
      <c r="BK11">
        <v>0</v>
      </c>
      <c r="BL11">
        <v>0</v>
      </c>
      <c r="BM11">
        <v>4</v>
      </c>
      <c r="BN11">
        <v>0.2</v>
      </c>
      <c r="BO11">
        <v>0</v>
      </c>
      <c r="BP11">
        <v>0</v>
      </c>
      <c r="BR11">
        <v>1</v>
      </c>
      <c r="BS11">
        <v>3</v>
      </c>
      <c r="BX11">
        <v>0</v>
      </c>
      <c r="BY11">
        <v>0</v>
      </c>
      <c r="BZ11">
        <v>0</v>
      </c>
      <c r="CA11">
        <v>11.37</v>
      </c>
      <c r="CC11">
        <v>1</v>
      </c>
      <c r="CD11" s="56">
        <v>42593</v>
      </c>
      <c r="CE11" s="56">
        <v>42612</v>
      </c>
      <c r="CF11" s="56">
        <v>42612</v>
      </c>
      <c r="CG11" s="56">
        <v>42640</v>
      </c>
      <c r="CH11" s="56"/>
      <c r="CI11" s="56"/>
      <c r="CJ11">
        <v>0</v>
      </c>
      <c r="CK11">
        <v>0</v>
      </c>
      <c r="CL11">
        <v>0</v>
      </c>
      <c r="CM11">
        <v>0</v>
      </c>
      <c r="CN11">
        <v>0</v>
      </c>
      <c r="CO11">
        <v>0.71</v>
      </c>
      <c r="CP11">
        <v>0</v>
      </c>
      <c r="CQ11" t="s">
        <v>1378</v>
      </c>
      <c r="CR11" t="s">
        <v>1377</v>
      </c>
      <c r="CS11" t="s">
        <v>1451</v>
      </c>
      <c r="CT11" t="s">
        <v>1724</v>
      </c>
      <c r="CU11" t="s">
        <v>1742</v>
      </c>
      <c r="CV11" t="s">
        <v>1994</v>
      </c>
      <c r="DB11" t="s">
        <v>1978</v>
      </c>
      <c r="DE11" t="s">
        <v>1724</v>
      </c>
    </row>
    <row r="12" spans="1:110" x14ac:dyDescent="0.25">
      <c r="A12" t="s">
        <v>1378</v>
      </c>
      <c r="B12">
        <v>1</v>
      </c>
      <c r="C12" s="56">
        <v>42640</v>
      </c>
      <c r="D12" t="s">
        <v>1449</v>
      </c>
      <c r="E12" t="s">
        <v>1741</v>
      </c>
      <c r="G12" t="s">
        <v>1144</v>
      </c>
      <c r="H12" t="s">
        <v>1144</v>
      </c>
      <c r="I12" t="s">
        <v>1144</v>
      </c>
      <c r="J12" t="s">
        <v>1144</v>
      </c>
      <c r="K12" t="s">
        <v>1144</v>
      </c>
      <c r="L12">
        <v>18.37</v>
      </c>
      <c r="M12">
        <v>34.32</v>
      </c>
      <c r="N12">
        <v>0</v>
      </c>
      <c r="O12" s="56"/>
      <c r="P12" s="56"/>
      <c r="Q12">
        <v>13718</v>
      </c>
      <c r="R12">
        <v>9</v>
      </c>
      <c r="S12">
        <v>4</v>
      </c>
      <c r="T12">
        <v>2</v>
      </c>
      <c r="U12">
        <v>2</v>
      </c>
      <c r="V12">
        <v>1</v>
      </c>
      <c r="X12" t="s">
        <v>2386</v>
      </c>
      <c r="AA12">
        <v>0</v>
      </c>
      <c r="AB12">
        <v>0</v>
      </c>
      <c r="AC12">
        <v>0</v>
      </c>
      <c r="AD12">
        <v>0</v>
      </c>
      <c r="AE12">
        <v>0</v>
      </c>
      <c r="AF12">
        <v>0</v>
      </c>
      <c r="AG12">
        <v>0</v>
      </c>
      <c r="AJ12" s="56"/>
      <c r="AK12" s="56"/>
      <c r="AL12" s="56"/>
      <c r="AP12" t="s">
        <v>1450</v>
      </c>
      <c r="AS12" t="s">
        <v>1152</v>
      </c>
      <c r="AT12">
        <v>1</v>
      </c>
      <c r="AV12">
        <v>0</v>
      </c>
      <c r="AW12">
        <v>0</v>
      </c>
      <c r="AX12">
        <v>0</v>
      </c>
      <c r="AY12" t="s">
        <v>1375</v>
      </c>
      <c r="AZ12" t="s">
        <v>1375</v>
      </c>
      <c r="BA12">
        <v>0</v>
      </c>
      <c r="BD12">
        <v>1000000000</v>
      </c>
      <c r="BE12">
        <v>2</v>
      </c>
      <c r="BF12">
        <v>0</v>
      </c>
      <c r="BG12">
        <v>0</v>
      </c>
      <c r="BH12">
        <v>0</v>
      </c>
      <c r="BI12">
        <v>0</v>
      </c>
      <c r="BJ12">
        <v>0</v>
      </c>
      <c r="BK12">
        <v>0</v>
      </c>
      <c r="BL12">
        <v>0</v>
      </c>
      <c r="BM12">
        <v>2</v>
      </c>
      <c r="BN12">
        <v>0</v>
      </c>
      <c r="BO12">
        <v>0</v>
      </c>
      <c r="BP12">
        <v>0</v>
      </c>
      <c r="BR12">
        <v>0</v>
      </c>
      <c r="BS12">
        <v>0</v>
      </c>
      <c r="BX12">
        <v>0</v>
      </c>
      <c r="BY12">
        <v>0</v>
      </c>
      <c r="BZ12">
        <v>0</v>
      </c>
      <c r="CA12">
        <v>0</v>
      </c>
      <c r="CC12">
        <v>1</v>
      </c>
      <c r="CD12" s="56">
        <v>42593</v>
      </c>
      <c r="CE12" s="56">
        <v>42612</v>
      </c>
      <c r="CF12" s="56">
        <v>42612</v>
      </c>
      <c r="CG12" s="56">
        <v>42640</v>
      </c>
      <c r="CH12" s="56"/>
      <c r="CI12" s="56"/>
      <c r="CJ12">
        <v>0</v>
      </c>
      <c r="CK12">
        <v>0</v>
      </c>
      <c r="CL12">
        <v>0</v>
      </c>
      <c r="CM12">
        <v>0</v>
      </c>
      <c r="CN12">
        <v>0</v>
      </c>
      <c r="CO12">
        <v>0</v>
      </c>
      <c r="CP12">
        <v>0.71</v>
      </c>
      <c r="CQ12" t="s">
        <v>1378</v>
      </c>
      <c r="CR12" t="s">
        <v>1377</v>
      </c>
      <c r="CS12" t="s">
        <v>1451</v>
      </c>
      <c r="CT12" t="s">
        <v>1724</v>
      </c>
      <c r="CU12" t="s">
        <v>1742</v>
      </c>
      <c r="CV12" t="s">
        <v>1743</v>
      </c>
      <c r="DB12" t="s">
        <v>1744</v>
      </c>
      <c r="DE12" t="s">
        <v>1724</v>
      </c>
    </row>
    <row r="13" spans="1:110" x14ac:dyDescent="0.25">
      <c r="A13" t="s">
        <v>1378</v>
      </c>
      <c r="B13">
        <v>1</v>
      </c>
      <c r="C13" s="56">
        <v>42640</v>
      </c>
      <c r="D13" t="s">
        <v>1449</v>
      </c>
      <c r="E13" t="s">
        <v>2345</v>
      </c>
      <c r="G13" t="s">
        <v>1144</v>
      </c>
      <c r="H13" t="s">
        <v>1144</v>
      </c>
      <c r="I13" t="s">
        <v>1144</v>
      </c>
      <c r="J13" t="s">
        <v>1144</v>
      </c>
      <c r="K13" t="s">
        <v>1144</v>
      </c>
      <c r="L13">
        <v>1147.3699999999999</v>
      </c>
      <c r="M13">
        <v>2</v>
      </c>
      <c r="N13">
        <v>0</v>
      </c>
      <c r="O13" s="56"/>
      <c r="P13" s="56"/>
      <c r="Q13">
        <v>13718</v>
      </c>
      <c r="R13">
        <v>9</v>
      </c>
      <c r="S13">
        <v>4</v>
      </c>
      <c r="T13">
        <v>2</v>
      </c>
      <c r="U13">
        <v>2</v>
      </c>
      <c r="V13">
        <v>1</v>
      </c>
      <c r="W13" t="s">
        <v>1376</v>
      </c>
      <c r="X13" t="s">
        <v>2385</v>
      </c>
      <c r="AA13">
        <v>0.04</v>
      </c>
      <c r="AB13">
        <v>1</v>
      </c>
      <c r="AC13">
        <v>12.5</v>
      </c>
      <c r="AD13">
        <v>6.25</v>
      </c>
      <c r="AE13">
        <v>0</v>
      </c>
      <c r="AF13">
        <v>0</v>
      </c>
      <c r="AG13">
        <v>0</v>
      </c>
      <c r="AJ13" s="56">
        <v>42666</v>
      </c>
      <c r="AK13" s="56">
        <v>42369</v>
      </c>
      <c r="AL13" s="56"/>
      <c r="AM13">
        <v>1</v>
      </c>
      <c r="AP13" t="s">
        <v>1450</v>
      </c>
      <c r="AS13" t="s">
        <v>1152</v>
      </c>
      <c r="AT13">
        <v>1</v>
      </c>
      <c r="AV13">
        <v>2</v>
      </c>
      <c r="AW13">
        <v>2</v>
      </c>
      <c r="AX13">
        <v>1</v>
      </c>
      <c r="AY13" t="s">
        <v>1146</v>
      </c>
      <c r="AZ13" t="s">
        <v>1146</v>
      </c>
      <c r="BA13">
        <v>4</v>
      </c>
      <c r="BD13">
        <v>1000000000</v>
      </c>
      <c r="BE13">
        <v>1</v>
      </c>
      <c r="BF13">
        <v>0.5</v>
      </c>
      <c r="BG13">
        <v>0</v>
      </c>
      <c r="BH13">
        <v>0</v>
      </c>
      <c r="BI13">
        <v>0</v>
      </c>
      <c r="BJ13">
        <v>0</v>
      </c>
      <c r="BK13">
        <v>0</v>
      </c>
      <c r="BL13">
        <v>0</v>
      </c>
      <c r="BM13">
        <v>1</v>
      </c>
      <c r="BN13">
        <v>0.5</v>
      </c>
      <c r="BO13">
        <v>0</v>
      </c>
      <c r="BP13">
        <v>0</v>
      </c>
      <c r="BR13">
        <v>1</v>
      </c>
      <c r="BS13">
        <v>1</v>
      </c>
      <c r="BX13">
        <v>0</v>
      </c>
      <c r="BY13">
        <v>0</v>
      </c>
      <c r="BZ13">
        <v>0</v>
      </c>
      <c r="CA13">
        <v>-11.98</v>
      </c>
      <c r="CC13">
        <v>1</v>
      </c>
      <c r="CD13" s="56">
        <v>42619</v>
      </c>
      <c r="CE13" s="56">
        <v>42619</v>
      </c>
      <c r="CF13" s="56">
        <v>42619</v>
      </c>
      <c r="CG13" s="56">
        <v>42647</v>
      </c>
      <c r="CH13" s="56"/>
      <c r="CI13" s="56"/>
      <c r="CJ13">
        <v>0</v>
      </c>
      <c r="CK13">
        <v>0</v>
      </c>
      <c r="CL13">
        <v>0</v>
      </c>
      <c r="CM13">
        <v>0.65</v>
      </c>
      <c r="CN13">
        <v>0</v>
      </c>
      <c r="CO13">
        <v>0</v>
      </c>
      <c r="CP13">
        <v>0</v>
      </c>
      <c r="CQ13" t="s">
        <v>1378</v>
      </c>
      <c r="CR13" t="s">
        <v>1377</v>
      </c>
      <c r="CS13" t="s">
        <v>1451</v>
      </c>
      <c r="CT13" t="s">
        <v>1724</v>
      </c>
      <c r="CU13" t="s">
        <v>1742</v>
      </c>
      <c r="CV13" t="s">
        <v>2346</v>
      </c>
      <c r="DB13" t="s">
        <v>2145</v>
      </c>
      <c r="DE13" t="s">
        <v>1724</v>
      </c>
    </row>
    <row r="14" spans="1:110" x14ac:dyDescent="0.25">
      <c r="A14" t="s">
        <v>1378</v>
      </c>
      <c r="B14">
        <v>1</v>
      </c>
      <c r="C14" s="56">
        <v>42640</v>
      </c>
      <c r="D14" t="s">
        <v>1449</v>
      </c>
      <c r="E14" t="s">
        <v>2045</v>
      </c>
      <c r="G14" t="s">
        <v>1144</v>
      </c>
      <c r="H14" t="s">
        <v>1144</v>
      </c>
      <c r="I14" t="s">
        <v>1144</v>
      </c>
      <c r="J14" t="s">
        <v>1144</v>
      </c>
      <c r="K14" t="s">
        <v>1144</v>
      </c>
      <c r="L14">
        <v>221.38</v>
      </c>
      <c r="M14">
        <v>2</v>
      </c>
      <c r="N14">
        <v>0</v>
      </c>
      <c r="O14" s="56"/>
      <c r="P14" s="56"/>
      <c r="Q14">
        <v>13718</v>
      </c>
      <c r="R14">
        <v>9</v>
      </c>
      <c r="S14">
        <v>4</v>
      </c>
      <c r="T14">
        <v>2</v>
      </c>
      <c r="U14">
        <v>2</v>
      </c>
      <c r="V14">
        <v>1</v>
      </c>
      <c r="W14" t="s">
        <v>1376</v>
      </c>
      <c r="X14" t="s">
        <v>2385</v>
      </c>
      <c r="AA14">
        <v>0</v>
      </c>
      <c r="AB14">
        <v>0</v>
      </c>
      <c r="AC14">
        <v>0</v>
      </c>
      <c r="AD14">
        <v>0</v>
      </c>
      <c r="AE14">
        <v>0</v>
      </c>
      <c r="AF14">
        <v>0</v>
      </c>
      <c r="AG14">
        <v>0</v>
      </c>
      <c r="AJ14" s="56"/>
      <c r="AK14" s="56">
        <v>42369</v>
      </c>
      <c r="AL14" s="56"/>
      <c r="AM14">
        <v>1</v>
      </c>
      <c r="AP14" t="s">
        <v>1450</v>
      </c>
      <c r="AS14" t="s">
        <v>1152</v>
      </c>
      <c r="AT14">
        <v>1</v>
      </c>
      <c r="AV14">
        <v>2</v>
      </c>
      <c r="AW14">
        <v>2</v>
      </c>
      <c r="AX14">
        <v>1</v>
      </c>
      <c r="AY14" t="s">
        <v>1145</v>
      </c>
      <c r="AZ14" t="s">
        <v>1145</v>
      </c>
      <c r="BA14">
        <v>1</v>
      </c>
      <c r="BD14">
        <v>1000000000</v>
      </c>
      <c r="BE14">
        <v>2</v>
      </c>
      <c r="BF14">
        <v>0</v>
      </c>
      <c r="BG14">
        <v>0</v>
      </c>
      <c r="BH14">
        <v>0</v>
      </c>
      <c r="BI14">
        <v>0</v>
      </c>
      <c r="BJ14">
        <v>0</v>
      </c>
      <c r="BK14">
        <v>0</v>
      </c>
      <c r="BL14">
        <v>0</v>
      </c>
      <c r="BM14">
        <v>2</v>
      </c>
      <c r="BN14">
        <v>0</v>
      </c>
      <c r="BO14">
        <v>0</v>
      </c>
      <c r="BP14">
        <v>0</v>
      </c>
      <c r="BR14">
        <v>0</v>
      </c>
      <c r="BS14">
        <v>1</v>
      </c>
      <c r="BX14">
        <v>0</v>
      </c>
      <c r="BY14">
        <v>0</v>
      </c>
      <c r="BZ14">
        <v>0</v>
      </c>
      <c r="CA14">
        <v>-11.89</v>
      </c>
      <c r="CC14">
        <v>1</v>
      </c>
      <c r="CD14" s="56">
        <v>42619</v>
      </c>
      <c r="CE14" s="56">
        <v>42619</v>
      </c>
      <c r="CF14" s="56">
        <v>42619</v>
      </c>
      <c r="CG14" s="56">
        <v>42647</v>
      </c>
      <c r="CH14" s="56"/>
      <c r="CI14" s="56"/>
      <c r="CJ14">
        <v>0</v>
      </c>
      <c r="CK14">
        <v>0</v>
      </c>
      <c r="CL14">
        <v>0</v>
      </c>
      <c r="CM14">
        <v>0</v>
      </c>
      <c r="CN14">
        <v>0.65</v>
      </c>
      <c r="CO14">
        <v>0</v>
      </c>
      <c r="CP14">
        <v>0</v>
      </c>
      <c r="CQ14" t="s">
        <v>1378</v>
      </c>
      <c r="CR14" t="s">
        <v>1377</v>
      </c>
      <c r="CS14" t="s">
        <v>1451</v>
      </c>
      <c r="CT14" t="s">
        <v>1724</v>
      </c>
      <c r="CU14" t="s">
        <v>1742</v>
      </c>
      <c r="CV14" t="s">
        <v>2046</v>
      </c>
      <c r="DB14" t="s">
        <v>2014</v>
      </c>
      <c r="DE14" t="s">
        <v>1724</v>
      </c>
    </row>
    <row r="15" spans="1:110" x14ac:dyDescent="0.25">
      <c r="A15" t="s">
        <v>1378</v>
      </c>
      <c r="B15">
        <v>1</v>
      </c>
      <c r="C15" s="56">
        <v>42640</v>
      </c>
      <c r="D15" t="s">
        <v>1449</v>
      </c>
      <c r="E15" t="s">
        <v>2096</v>
      </c>
      <c r="G15" t="s">
        <v>1144</v>
      </c>
      <c r="H15" t="s">
        <v>1144</v>
      </c>
      <c r="I15" t="s">
        <v>1144</v>
      </c>
      <c r="J15" t="s">
        <v>1144</v>
      </c>
      <c r="K15" t="s">
        <v>1144</v>
      </c>
      <c r="L15">
        <v>138.54</v>
      </c>
      <c r="M15">
        <v>293.95</v>
      </c>
      <c r="N15">
        <v>0</v>
      </c>
      <c r="O15" s="56"/>
      <c r="P15" s="56"/>
      <c r="Q15">
        <v>13718</v>
      </c>
      <c r="R15">
        <v>9</v>
      </c>
      <c r="S15">
        <v>4</v>
      </c>
      <c r="T15">
        <v>2</v>
      </c>
      <c r="U15">
        <v>2</v>
      </c>
      <c r="V15">
        <v>1</v>
      </c>
      <c r="X15" t="s">
        <v>2385</v>
      </c>
      <c r="AA15">
        <v>0.08</v>
      </c>
      <c r="AB15">
        <v>1</v>
      </c>
      <c r="AC15">
        <v>9.3800000000000008</v>
      </c>
      <c r="AD15">
        <v>15.63</v>
      </c>
      <c r="AE15">
        <v>0</v>
      </c>
      <c r="AF15">
        <v>0</v>
      </c>
      <c r="AG15">
        <v>0</v>
      </c>
      <c r="AJ15" s="56">
        <v>42666</v>
      </c>
      <c r="AK15" s="56"/>
      <c r="AL15" s="56"/>
      <c r="AM15">
        <v>4</v>
      </c>
      <c r="AP15" t="s">
        <v>1450</v>
      </c>
      <c r="AS15" t="s">
        <v>1152</v>
      </c>
      <c r="AT15">
        <v>1</v>
      </c>
      <c r="AV15">
        <v>3</v>
      </c>
      <c r="AW15">
        <v>2</v>
      </c>
      <c r="AX15">
        <v>1</v>
      </c>
      <c r="AY15" t="s">
        <v>1147</v>
      </c>
      <c r="AZ15" t="s">
        <v>1147</v>
      </c>
      <c r="BA15">
        <v>4</v>
      </c>
      <c r="BD15">
        <v>1000000000</v>
      </c>
      <c r="BE15">
        <v>5</v>
      </c>
      <c r="BF15">
        <v>-0.67</v>
      </c>
      <c r="BG15">
        <v>0</v>
      </c>
      <c r="BH15">
        <v>0</v>
      </c>
      <c r="BI15">
        <v>0</v>
      </c>
      <c r="BJ15">
        <v>0</v>
      </c>
      <c r="BK15">
        <v>0</v>
      </c>
      <c r="BL15">
        <v>0</v>
      </c>
      <c r="BM15">
        <v>5</v>
      </c>
      <c r="BN15">
        <v>-0.67</v>
      </c>
      <c r="BO15">
        <v>0</v>
      </c>
      <c r="BP15">
        <v>0</v>
      </c>
      <c r="BR15">
        <v>0</v>
      </c>
      <c r="BS15">
        <v>2</v>
      </c>
      <c r="BX15">
        <v>0</v>
      </c>
      <c r="BY15">
        <v>277.08</v>
      </c>
      <c r="BZ15">
        <v>0</v>
      </c>
      <c r="CA15">
        <v>13.46</v>
      </c>
      <c r="CC15">
        <v>1</v>
      </c>
      <c r="CD15" s="56">
        <v>42619</v>
      </c>
      <c r="CE15" s="56">
        <v>42619</v>
      </c>
      <c r="CF15" s="56">
        <v>42619</v>
      </c>
      <c r="CG15" s="56">
        <v>42647</v>
      </c>
      <c r="CH15" s="56"/>
      <c r="CI15" s="56"/>
      <c r="CJ15">
        <v>0</v>
      </c>
      <c r="CK15">
        <v>0</v>
      </c>
      <c r="CL15">
        <v>0</v>
      </c>
      <c r="CM15">
        <v>0</v>
      </c>
      <c r="CN15">
        <v>0</v>
      </c>
      <c r="CO15">
        <v>0</v>
      </c>
      <c r="CP15">
        <v>0.65</v>
      </c>
      <c r="CQ15" t="s">
        <v>1378</v>
      </c>
      <c r="CR15" t="s">
        <v>1377</v>
      </c>
      <c r="CS15" t="s">
        <v>1451</v>
      </c>
      <c r="CT15" t="s">
        <v>1724</v>
      </c>
      <c r="CU15" t="s">
        <v>1742</v>
      </c>
      <c r="CV15" t="s">
        <v>2097</v>
      </c>
      <c r="DB15" t="s">
        <v>2059</v>
      </c>
      <c r="DE15" t="s">
        <v>1724</v>
      </c>
    </row>
    <row r="16" spans="1:110" x14ac:dyDescent="0.25">
      <c r="A16" t="s">
        <v>1378</v>
      </c>
      <c r="B16">
        <v>1</v>
      </c>
      <c r="C16" s="56">
        <v>42640</v>
      </c>
      <c r="D16" t="s">
        <v>1449</v>
      </c>
      <c r="E16" t="s">
        <v>1394</v>
      </c>
      <c r="G16" t="s">
        <v>1144</v>
      </c>
      <c r="H16" t="s">
        <v>1144</v>
      </c>
      <c r="I16" t="s">
        <v>1144</v>
      </c>
      <c r="J16" t="s">
        <v>1144</v>
      </c>
      <c r="K16" t="s">
        <v>1144</v>
      </c>
      <c r="L16">
        <v>93.1</v>
      </c>
      <c r="M16">
        <v>230.18</v>
      </c>
      <c r="N16">
        <v>0</v>
      </c>
      <c r="O16" s="56"/>
      <c r="P16" s="56"/>
      <c r="Q16">
        <v>13718</v>
      </c>
      <c r="R16">
        <v>9</v>
      </c>
      <c r="S16">
        <v>4</v>
      </c>
      <c r="T16">
        <v>2</v>
      </c>
      <c r="U16">
        <v>2</v>
      </c>
      <c r="V16">
        <v>1</v>
      </c>
      <c r="X16" t="s">
        <v>2385</v>
      </c>
      <c r="AA16">
        <v>0.04</v>
      </c>
      <c r="AB16">
        <v>1</v>
      </c>
      <c r="AC16">
        <v>18.75</v>
      </c>
      <c r="AD16">
        <v>43.75</v>
      </c>
      <c r="AE16">
        <v>0</v>
      </c>
      <c r="AF16">
        <v>0</v>
      </c>
      <c r="AG16">
        <v>0</v>
      </c>
      <c r="AJ16" s="56">
        <v>42666</v>
      </c>
      <c r="AK16" s="56"/>
      <c r="AL16" s="56"/>
      <c r="AM16">
        <v>5</v>
      </c>
      <c r="AP16" t="s">
        <v>1450</v>
      </c>
      <c r="AS16" t="s">
        <v>1152</v>
      </c>
      <c r="AT16">
        <v>1</v>
      </c>
      <c r="AV16">
        <v>3</v>
      </c>
      <c r="AW16">
        <v>2</v>
      </c>
      <c r="AX16">
        <v>1</v>
      </c>
      <c r="AY16" t="s">
        <v>1147</v>
      </c>
      <c r="AZ16" t="s">
        <v>1147</v>
      </c>
      <c r="BA16">
        <v>5</v>
      </c>
      <c r="BD16">
        <v>1000000000</v>
      </c>
      <c r="BE16">
        <v>7</v>
      </c>
      <c r="BF16">
        <v>-1.33</v>
      </c>
      <c r="BG16">
        <v>0</v>
      </c>
      <c r="BH16">
        <v>0</v>
      </c>
      <c r="BI16">
        <v>0</v>
      </c>
      <c r="BJ16">
        <v>0</v>
      </c>
      <c r="BK16">
        <v>0</v>
      </c>
      <c r="BL16">
        <v>0</v>
      </c>
      <c r="BM16">
        <v>7</v>
      </c>
      <c r="BN16">
        <v>-1.33</v>
      </c>
      <c r="BO16">
        <v>0</v>
      </c>
      <c r="BP16">
        <v>0</v>
      </c>
      <c r="BR16">
        <v>0</v>
      </c>
      <c r="BS16">
        <v>2</v>
      </c>
      <c r="BX16">
        <v>0</v>
      </c>
      <c r="BY16">
        <v>372.4</v>
      </c>
      <c r="BZ16">
        <v>0</v>
      </c>
      <c r="CA16">
        <v>17.670000000000002</v>
      </c>
      <c r="CC16">
        <v>1</v>
      </c>
      <c r="CD16" s="56">
        <v>42619</v>
      </c>
      <c r="CE16" s="56">
        <v>42619</v>
      </c>
      <c r="CF16" s="56">
        <v>42619</v>
      </c>
      <c r="CG16" s="56">
        <v>42647</v>
      </c>
      <c r="CH16" s="56"/>
      <c r="CI16" s="56"/>
      <c r="CJ16">
        <v>0</v>
      </c>
      <c r="CK16">
        <v>0</v>
      </c>
      <c r="CL16">
        <v>0</v>
      </c>
      <c r="CM16">
        <v>0</v>
      </c>
      <c r="CN16">
        <v>0</v>
      </c>
      <c r="CO16">
        <v>0</v>
      </c>
      <c r="CP16">
        <v>0.65</v>
      </c>
      <c r="CQ16" t="s">
        <v>1378</v>
      </c>
      <c r="CR16" t="s">
        <v>1377</v>
      </c>
      <c r="CS16" t="s">
        <v>1451</v>
      </c>
      <c r="CT16" t="s">
        <v>1724</v>
      </c>
      <c r="CU16" t="s">
        <v>1742</v>
      </c>
      <c r="CV16" t="s">
        <v>1872</v>
      </c>
      <c r="DB16" t="s">
        <v>1869</v>
      </c>
      <c r="DE16" t="s">
        <v>1724</v>
      </c>
    </row>
    <row r="17" spans="1:109" x14ac:dyDescent="0.25">
      <c r="A17" t="s">
        <v>1378</v>
      </c>
      <c r="B17">
        <v>1</v>
      </c>
      <c r="C17" s="56">
        <v>42640</v>
      </c>
      <c r="D17" t="s">
        <v>1449</v>
      </c>
      <c r="E17" t="s">
        <v>2224</v>
      </c>
      <c r="G17" t="s">
        <v>1144</v>
      </c>
      <c r="H17" t="s">
        <v>1144</v>
      </c>
      <c r="I17" t="s">
        <v>1144</v>
      </c>
      <c r="J17" t="s">
        <v>1144</v>
      </c>
      <c r="K17" t="s">
        <v>1144</v>
      </c>
      <c r="L17">
        <v>262.01</v>
      </c>
      <c r="M17">
        <v>2</v>
      </c>
      <c r="N17">
        <v>0</v>
      </c>
      <c r="O17" s="56"/>
      <c r="P17" s="56"/>
      <c r="Q17">
        <v>13718</v>
      </c>
      <c r="R17">
        <v>9</v>
      </c>
      <c r="S17">
        <v>4</v>
      </c>
      <c r="T17">
        <v>2</v>
      </c>
      <c r="U17">
        <v>2</v>
      </c>
      <c r="V17">
        <v>1</v>
      </c>
      <c r="X17" t="s">
        <v>2386</v>
      </c>
      <c r="AA17">
        <v>0</v>
      </c>
      <c r="AB17">
        <v>0</v>
      </c>
      <c r="AC17">
        <v>0</v>
      </c>
      <c r="AD17">
        <v>0</v>
      </c>
      <c r="AE17">
        <v>0</v>
      </c>
      <c r="AF17">
        <v>0</v>
      </c>
      <c r="AG17">
        <v>0</v>
      </c>
      <c r="AJ17" s="56"/>
      <c r="AK17" s="56"/>
      <c r="AL17" s="56"/>
      <c r="AM17">
        <v>1</v>
      </c>
      <c r="AP17" t="s">
        <v>1450</v>
      </c>
      <c r="AS17" t="s">
        <v>1152</v>
      </c>
      <c r="AT17">
        <v>1</v>
      </c>
      <c r="AV17">
        <v>1</v>
      </c>
      <c r="AW17">
        <v>1</v>
      </c>
      <c r="AX17">
        <v>0.5</v>
      </c>
      <c r="AY17" t="s">
        <v>1147</v>
      </c>
      <c r="AZ17" t="s">
        <v>1147</v>
      </c>
      <c r="BA17">
        <v>1</v>
      </c>
      <c r="BD17">
        <v>1000000000</v>
      </c>
      <c r="BE17">
        <v>2</v>
      </c>
      <c r="BF17">
        <v>-1</v>
      </c>
      <c r="BG17">
        <v>0</v>
      </c>
      <c r="BH17">
        <v>0</v>
      </c>
      <c r="BI17">
        <v>0</v>
      </c>
      <c r="BJ17">
        <v>0</v>
      </c>
      <c r="BK17">
        <v>0</v>
      </c>
      <c r="BL17">
        <v>0</v>
      </c>
      <c r="BM17">
        <v>2</v>
      </c>
      <c r="BN17">
        <v>-1</v>
      </c>
      <c r="BO17">
        <v>0</v>
      </c>
      <c r="BP17">
        <v>0</v>
      </c>
      <c r="BR17">
        <v>0</v>
      </c>
      <c r="BS17">
        <v>1</v>
      </c>
      <c r="BX17">
        <v>0</v>
      </c>
      <c r="BY17">
        <v>262.01</v>
      </c>
      <c r="BZ17">
        <v>0</v>
      </c>
      <c r="CA17">
        <v>-11.91</v>
      </c>
      <c r="CC17">
        <v>1</v>
      </c>
      <c r="CD17" s="56">
        <v>42593</v>
      </c>
      <c r="CE17" s="56">
        <v>42612</v>
      </c>
      <c r="CF17" s="56">
        <v>42612</v>
      </c>
      <c r="CG17" s="56">
        <v>42640</v>
      </c>
      <c r="CH17" s="56"/>
      <c r="CI17" s="56"/>
      <c r="CJ17">
        <v>0</v>
      </c>
      <c r="CK17">
        <v>0</v>
      </c>
      <c r="CL17">
        <v>0</v>
      </c>
      <c r="CM17">
        <v>0</v>
      </c>
      <c r="CN17">
        <v>0</v>
      </c>
      <c r="CO17">
        <v>0</v>
      </c>
      <c r="CP17">
        <v>0.71</v>
      </c>
      <c r="CQ17" t="s">
        <v>1378</v>
      </c>
      <c r="CR17" t="s">
        <v>1377</v>
      </c>
      <c r="CS17" t="s">
        <v>1451</v>
      </c>
      <c r="CT17" t="s">
        <v>1724</v>
      </c>
      <c r="CU17" t="s">
        <v>1742</v>
      </c>
      <c r="CV17" t="s">
        <v>2225</v>
      </c>
      <c r="DB17" t="s">
        <v>2161</v>
      </c>
      <c r="DE17" t="s">
        <v>1724</v>
      </c>
    </row>
    <row r="18" spans="1:109" x14ac:dyDescent="0.25">
      <c r="A18" t="s">
        <v>1378</v>
      </c>
      <c r="B18">
        <v>1</v>
      </c>
      <c r="C18" s="56">
        <v>42640</v>
      </c>
      <c r="D18" t="s">
        <v>1449</v>
      </c>
      <c r="E18" t="s">
        <v>1943</v>
      </c>
      <c r="G18" t="s">
        <v>1144</v>
      </c>
      <c r="H18" t="s">
        <v>1144</v>
      </c>
      <c r="I18" t="s">
        <v>1144</v>
      </c>
      <c r="J18" t="s">
        <v>1144</v>
      </c>
      <c r="K18" t="s">
        <v>1144</v>
      </c>
      <c r="L18">
        <v>0</v>
      </c>
      <c r="M18">
        <v>230.18</v>
      </c>
      <c r="N18">
        <v>0</v>
      </c>
      <c r="O18" s="56"/>
      <c r="P18" s="56"/>
      <c r="Q18">
        <v>13718</v>
      </c>
      <c r="R18">
        <v>9</v>
      </c>
      <c r="S18">
        <v>4</v>
      </c>
      <c r="T18">
        <v>2</v>
      </c>
      <c r="U18">
        <v>2</v>
      </c>
      <c r="V18">
        <v>1</v>
      </c>
      <c r="X18" t="s">
        <v>2386</v>
      </c>
      <c r="AA18">
        <v>0</v>
      </c>
      <c r="AB18">
        <v>0</v>
      </c>
      <c r="AC18">
        <v>0</v>
      </c>
      <c r="AD18">
        <v>0</v>
      </c>
      <c r="AE18">
        <v>0</v>
      </c>
      <c r="AF18">
        <v>0</v>
      </c>
      <c r="AG18">
        <v>0</v>
      </c>
      <c r="AJ18" s="56"/>
      <c r="AK18" s="56"/>
      <c r="AL18" s="56"/>
      <c r="AP18" t="s">
        <v>1450</v>
      </c>
      <c r="AS18" t="s">
        <v>1152</v>
      </c>
      <c r="AT18">
        <v>1</v>
      </c>
      <c r="AV18">
        <v>0</v>
      </c>
      <c r="AW18">
        <v>0</v>
      </c>
      <c r="AX18">
        <v>0</v>
      </c>
      <c r="AY18" t="s">
        <v>1375</v>
      </c>
      <c r="AZ18" t="s">
        <v>1375</v>
      </c>
      <c r="BA18">
        <v>0</v>
      </c>
      <c r="BD18">
        <v>1000000000</v>
      </c>
      <c r="BE18">
        <v>0</v>
      </c>
      <c r="BF18">
        <v>0</v>
      </c>
      <c r="BG18">
        <v>0</v>
      </c>
      <c r="BH18">
        <v>0</v>
      </c>
      <c r="BI18">
        <v>0</v>
      </c>
      <c r="BJ18">
        <v>0</v>
      </c>
      <c r="BK18">
        <v>0</v>
      </c>
      <c r="BL18">
        <v>0</v>
      </c>
      <c r="BM18">
        <v>0</v>
      </c>
      <c r="BN18">
        <v>0</v>
      </c>
      <c r="BO18">
        <v>0</v>
      </c>
      <c r="BP18">
        <v>0</v>
      </c>
      <c r="BR18">
        <v>0</v>
      </c>
      <c r="BS18">
        <v>0</v>
      </c>
      <c r="BX18">
        <v>0</v>
      </c>
      <c r="BY18">
        <v>0</v>
      </c>
      <c r="BZ18">
        <v>0</v>
      </c>
      <c r="CA18">
        <v>0</v>
      </c>
      <c r="CC18">
        <v>1</v>
      </c>
      <c r="CD18" s="56">
        <v>42593</v>
      </c>
      <c r="CE18" s="56">
        <v>42612</v>
      </c>
      <c r="CF18" s="56">
        <v>42612</v>
      </c>
      <c r="CG18" s="56">
        <v>42640</v>
      </c>
      <c r="CH18" s="56"/>
      <c r="CI18" s="56"/>
      <c r="CJ18">
        <v>1</v>
      </c>
      <c r="CK18">
        <v>0</v>
      </c>
      <c r="CL18">
        <v>0.71</v>
      </c>
      <c r="CM18">
        <v>0</v>
      </c>
      <c r="CN18">
        <v>0</v>
      </c>
      <c r="CO18">
        <v>0</v>
      </c>
      <c r="CP18">
        <v>0</v>
      </c>
      <c r="CQ18" t="s">
        <v>1378</v>
      </c>
      <c r="CR18" t="s">
        <v>1377</v>
      </c>
      <c r="CS18" t="s">
        <v>1451</v>
      </c>
      <c r="CT18" t="s">
        <v>1724</v>
      </c>
      <c r="CU18" t="s">
        <v>1742</v>
      </c>
      <c r="CV18" t="s">
        <v>1936</v>
      </c>
      <c r="DB18" t="s">
        <v>1869</v>
      </c>
      <c r="DE18" t="s">
        <v>1724</v>
      </c>
    </row>
    <row r="19" spans="1:109" x14ac:dyDescent="0.25">
      <c r="A19" t="s">
        <v>1378</v>
      </c>
      <c r="B19">
        <v>1</v>
      </c>
      <c r="C19" s="56">
        <v>42640</v>
      </c>
      <c r="D19" t="s">
        <v>1449</v>
      </c>
      <c r="E19" t="s">
        <v>1923</v>
      </c>
      <c r="G19" t="s">
        <v>1144</v>
      </c>
      <c r="H19" t="s">
        <v>1144</v>
      </c>
      <c r="I19" t="s">
        <v>1144</v>
      </c>
      <c r="J19" t="s">
        <v>1144</v>
      </c>
      <c r="K19" t="s">
        <v>1144</v>
      </c>
      <c r="L19">
        <v>103.63</v>
      </c>
      <c r="M19">
        <v>230.18</v>
      </c>
      <c r="N19">
        <v>0</v>
      </c>
      <c r="O19" s="56"/>
      <c r="P19" s="56"/>
      <c r="Q19">
        <v>13718</v>
      </c>
      <c r="R19">
        <v>9</v>
      </c>
      <c r="S19">
        <v>4</v>
      </c>
      <c r="T19">
        <v>2</v>
      </c>
      <c r="U19">
        <v>2</v>
      </c>
      <c r="V19">
        <v>1</v>
      </c>
      <c r="X19" t="s">
        <v>2385</v>
      </c>
      <c r="AA19">
        <v>0</v>
      </c>
      <c r="AB19">
        <v>0</v>
      </c>
      <c r="AC19">
        <v>0</v>
      </c>
      <c r="AD19">
        <v>0</v>
      </c>
      <c r="AE19">
        <v>0</v>
      </c>
      <c r="AF19">
        <v>0</v>
      </c>
      <c r="AG19">
        <v>0</v>
      </c>
      <c r="AJ19" s="56"/>
      <c r="AK19" s="56"/>
      <c r="AL19" s="56"/>
      <c r="AP19" t="s">
        <v>1450</v>
      </c>
      <c r="AS19" t="s">
        <v>1152</v>
      </c>
      <c r="AT19">
        <v>1</v>
      </c>
      <c r="AV19">
        <v>0</v>
      </c>
      <c r="AW19">
        <v>0</v>
      </c>
      <c r="AX19">
        <v>0</v>
      </c>
      <c r="AY19" t="s">
        <v>1375</v>
      </c>
      <c r="AZ19" t="s">
        <v>1375</v>
      </c>
      <c r="BA19">
        <v>2</v>
      </c>
      <c r="BD19">
        <v>1000000000</v>
      </c>
      <c r="BE19">
        <v>0</v>
      </c>
      <c r="BF19">
        <v>0</v>
      </c>
      <c r="BG19">
        <v>0</v>
      </c>
      <c r="BH19">
        <v>0</v>
      </c>
      <c r="BI19">
        <v>0</v>
      </c>
      <c r="BJ19">
        <v>0</v>
      </c>
      <c r="BK19">
        <v>0</v>
      </c>
      <c r="BL19">
        <v>0</v>
      </c>
      <c r="BM19">
        <v>0</v>
      </c>
      <c r="BN19">
        <v>0</v>
      </c>
      <c r="BO19">
        <v>0</v>
      </c>
      <c r="BP19">
        <v>0</v>
      </c>
      <c r="BR19">
        <v>0</v>
      </c>
      <c r="BS19">
        <v>0</v>
      </c>
      <c r="BX19">
        <v>0</v>
      </c>
      <c r="BY19">
        <v>0</v>
      </c>
      <c r="BZ19">
        <v>0</v>
      </c>
      <c r="CA19">
        <v>0</v>
      </c>
      <c r="CC19">
        <v>1</v>
      </c>
      <c r="CD19" s="56">
        <v>42619</v>
      </c>
      <c r="CE19" s="56">
        <v>42619</v>
      </c>
      <c r="CF19" s="56">
        <v>42619</v>
      </c>
      <c r="CG19" s="56">
        <v>42647</v>
      </c>
      <c r="CH19" s="56"/>
      <c r="CI19" s="56"/>
      <c r="CJ19">
        <v>1</v>
      </c>
      <c r="CK19">
        <v>0</v>
      </c>
      <c r="CL19">
        <v>0.65</v>
      </c>
      <c r="CM19">
        <v>0</v>
      </c>
      <c r="CN19">
        <v>0</v>
      </c>
      <c r="CO19">
        <v>0</v>
      </c>
      <c r="CP19">
        <v>0</v>
      </c>
      <c r="CQ19" t="s">
        <v>1378</v>
      </c>
      <c r="CR19" t="s">
        <v>1377</v>
      </c>
      <c r="CS19" t="s">
        <v>1451</v>
      </c>
      <c r="CT19" t="s">
        <v>1724</v>
      </c>
      <c r="CU19" t="s">
        <v>1742</v>
      </c>
      <c r="CV19" t="s">
        <v>1921</v>
      </c>
      <c r="DB19" t="s">
        <v>1869</v>
      </c>
      <c r="DE19" t="s">
        <v>1724</v>
      </c>
    </row>
    <row r="20" spans="1:109" x14ac:dyDescent="0.25">
      <c r="A20" t="s">
        <v>1378</v>
      </c>
      <c r="B20">
        <v>1</v>
      </c>
      <c r="C20" s="56">
        <v>42640</v>
      </c>
      <c r="D20" t="s">
        <v>1449</v>
      </c>
      <c r="E20" t="s">
        <v>2272</v>
      </c>
      <c r="G20" t="s">
        <v>1144</v>
      </c>
      <c r="H20" t="s">
        <v>1144</v>
      </c>
      <c r="I20" t="s">
        <v>1144</v>
      </c>
      <c r="J20" t="s">
        <v>1144</v>
      </c>
      <c r="K20" t="s">
        <v>1144</v>
      </c>
      <c r="L20">
        <v>567.88</v>
      </c>
      <c r="M20">
        <v>2</v>
      </c>
      <c r="N20">
        <v>0</v>
      </c>
      <c r="O20" s="56"/>
      <c r="P20" s="56"/>
      <c r="Q20">
        <v>13718</v>
      </c>
      <c r="R20">
        <v>9</v>
      </c>
      <c r="S20">
        <v>4</v>
      </c>
      <c r="T20">
        <v>2</v>
      </c>
      <c r="U20">
        <v>2</v>
      </c>
      <c r="V20">
        <v>1</v>
      </c>
      <c r="W20" t="s">
        <v>2379</v>
      </c>
      <c r="X20" t="s">
        <v>2387</v>
      </c>
      <c r="AA20">
        <v>0</v>
      </c>
      <c r="AB20">
        <v>0</v>
      </c>
      <c r="AC20">
        <v>0</v>
      </c>
      <c r="AD20">
        <v>0</v>
      </c>
      <c r="AE20">
        <v>0</v>
      </c>
      <c r="AF20">
        <v>0</v>
      </c>
      <c r="AG20">
        <v>0</v>
      </c>
      <c r="AJ20" s="56"/>
      <c r="AK20" s="56"/>
      <c r="AL20" s="56"/>
      <c r="AM20">
        <v>1</v>
      </c>
      <c r="AP20" t="s">
        <v>1450</v>
      </c>
      <c r="AS20" t="s">
        <v>1152</v>
      </c>
      <c r="AT20">
        <v>1</v>
      </c>
      <c r="AV20">
        <v>2</v>
      </c>
      <c r="AW20">
        <v>2</v>
      </c>
      <c r="AX20">
        <v>1</v>
      </c>
      <c r="AY20" t="s">
        <v>1145</v>
      </c>
      <c r="AZ20" t="s">
        <v>1145</v>
      </c>
      <c r="BA20">
        <v>1</v>
      </c>
      <c r="BD20">
        <v>1000000000</v>
      </c>
      <c r="BE20">
        <v>2</v>
      </c>
      <c r="BF20">
        <v>0</v>
      </c>
      <c r="BG20">
        <v>0</v>
      </c>
      <c r="BH20">
        <v>0</v>
      </c>
      <c r="BI20">
        <v>0</v>
      </c>
      <c r="BJ20">
        <v>0</v>
      </c>
      <c r="BK20">
        <v>0</v>
      </c>
      <c r="BL20">
        <v>0</v>
      </c>
      <c r="BM20">
        <v>2</v>
      </c>
      <c r="BN20">
        <v>0</v>
      </c>
      <c r="BO20">
        <v>0</v>
      </c>
      <c r="BP20">
        <v>0</v>
      </c>
      <c r="BR20">
        <v>0</v>
      </c>
      <c r="BS20">
        <v>1</v>
      </c>
      <c r="BX20">
        <v>0</v>
      </c>
      <c r="BY20">
        <v>0</v>
      </c>
      <c r="BZ20">
        <v>0</v>
      </c>
      <c r="CA20">
        <v>-11.96</v>
      </c>
      <c r="CC20">
        <v>1</v>
      </c>
      <c r="CD20" s="56">
        <v>42592</v>
      </c>
      <c r="CE20" s="56">
        <v>42612</v>
      </c>
      <c r="CF20" s="56">
        <v>42612</v>
      </c>
      <c r="CG20" s="56">
        <v>42640</v>
      </c>
      <c r="CH20" s="56"/>
      <c r="CI20" s="56"/>
      <c r="CJ20">
        <v>0</v>
      </c>
      <c r="CK20">
        <v>0</v>
      </c>
      <c r="CL20">
        <v>0</v>
      </c>
      <c r="CM20">
        <v>0</v>
      </c>
      <c r="CN20">
        <v>0.71</v>
      </c>
      <c r="CO20">
        <v>0</v>
      </c>
      <c r="CP20">
        <v>0</v>
      </c>
      <c r="CQ20" t="s">
        <v>1378</v>
      </c>
      <c r="CR20" t="s">
        <v>1377</v>
      </c>
      <c r="CS20" t="s">
        <v>1451</v>
      </c>
      <c r="CT20" t="s">
        <v>1724</v>
      </c>
      <c r="CU20" t="s">
        <v>1742</v>
      </c>
      <c r="CV20" t="s">
        <v>2273</v>
      </c>
      <c r="DB20" t="s">
        <v>2265</v>
      </c>
      <c r="DE20" t="s">
        <v>1724</v>
      </c>
    </row>
    <row r="21" spans="1:109" x14ac:dyDescent="0.25">
      <c r="A21" t="s">
        <v>1378</v>
      </c>
      <c r="B21">
        <v>1</v>
      </c>
      <c r="C21" s="56">
        <v>42640</v>
      </c>
      <c r="D21" t="s">
        <v>1449</v>
      </c>
      <c r="E21" t="s">
        <v>1418</v>
      </c>
      <c r="G21" t="s">
        <v>1144</v>
      </c>
      <c r="H21" t="s">
        <v>1144</v>
      </c>
      <c r="I21" t="s">
        <v>1144</v>
      </c>
      <c r="J21" t="s">
        <v>1144</v>
      </c>
      <c r="K21" t="s">
        <v>1144</v>
      </c>
      <c r="L21">
        <v>544.11</v>
      </c>
      <c r="M21">
        <v>1056.52</v>
      </c>
      <c r="N21">
        <v>0</v>
      </c>
      <c r="O21" s="56"/>
      <c r="P21" s="56"/>
      <c r="Q21">
        <v>13718</v>
      </c>
      <c r="R21">
        <v>9</v>
      </c>
      <c r="S21">
        <v>4</v>
      </c>
      <c r="T21">
        <v>2</v>
      </c>
      <c r="U21">
        <v>2</v>
      </c>
      <c r="V21">
        <v>1</v>
      </c>
      <c r="W21" t="s">
        <v>2379</v>
      </c>
      <c r="X21" t="s">
        <v>2386</v>
      </c>
      <c r="AA21">
        <v>0.39</v>
      </c>
      <c r="AB21">
        <v>3</v>
      </c>
      <c r="AC21">
        <v>3.85</v>
      </c>
      <c r="AD21">
        <v>1.92</v>
      </c>
      <c r="AE21">
        <v>0</v>
      </c>
      <c r="AF21">
        <v>0</v>
      </c>
      <c r="AG21">
        <v>0</v>
      </c>
      <c r="AJ21" s="56"/>
      <c r="AK21" s="56">
        <v>42369</v>
      </c>
      <c r="AL21" s="56">
        <v>42322</v>
      </c>
      <c r="AM21">
        <v>6</v>
      </c>
      <c r="AP21" t="s">
        <v>1450</v>
      </c>
      <c r="AS21" t="s">
        <v>1152</v>
      </c>
      <c r="AT21">
        <v>1</v>
      </c>
      <c r="AV21">
        <v>6</v>
      </c>
      <c r="AW21">
        <v>4</v>
      </c>
      <c r="AX21">
        <v>2</v>
      </c>
      <c r="AY21" t="s">
        <v>1145</v>
      </c>
      <c r="AZ21" t="s">
        <v>1145</v>
      </c>
      <c r="BA21">
        <v>6</v>
      </c>
      <c r="BD21">
        <v>1000000000</v>
      </c>
      <c r="BE21">
        <v>3</v>
      </c>
      <c r="BF21">
        <v>0.5</v>
      </c>
      <c r="BG21">
        <v>0</v>
      </c>
      <c r="BH21">
        <v>0</v>
      </c>
      <c r="BI21">
        <v>0</v>
      </c>
      <c r="BJ21">
        <v>0</v>
      </c>
      <c r="BK21">
        <v>0</v>
      </c>
      <c r="BL21">
        <v>0</v>
      </c>
      <c r="BM21">
        <v>3</v>
      </c>
      <c r="BN21">
        <v>0.5</v>
      </c>
      <c r="BO21">
        <v>0</v>
      </c>
      <c r="BP21">
        <v>0</v>
      </c>
      <c r="BR21">
        <v>3</v>
      </c>
      <c r="BS21">
        <v>3</v>
      </c>
      <c r="BX21">
        <v>0</v>
      </c>
      <c r="BY21">
        <v>0</v>
      </c>
      <c r="BZ21">
        <v>0</v>
      </c>
      <c r="CA21">
        <v>11.3</v>
      </c>
      <c r="CC21">
        <v>1</v>
      </c>
      <c r="CD21" s="56">
        <v>42593</v>
      </c>
      <c r="CE21" s="56">
        <v>42612</v>
      </c>
      <c r="CF21" s="56">
        <v>42612</v>
      </c>
      <c r="CG21" s="56">
        <v>42640</v>
      </c>
      <c r="CH21" s="56"/>
      <c r="CI21" s="56"/>
      <c r="CJ21">
        <v>0.15</v>
      </c>
      <c r="CK21">
        <v>0</v>
      </c>
      <c r="CL21">
        <v>0</v>
      </c>
      <c r="CM21">
        <v>0</v>
      </c>
      <c r="CN21">
        <v>0.71</v>
      </c>
      <c r="CO21">
        <v>0</v>
      </c>
      <c r="CP21">
        <v>0</v>
      </c>
      <c r="CQ21" t="s">
        <v>1378</v>
      </c>
      <c r="CR21" t="s">
        <v>1377</v>
      </c>
      <c r="CS21" t="s">
        <v>1451</v>
      </c>
      <c r="CT21" t="s">
        <v>1724</v>
      </c>
      <c r="CU21" t="s">
        <v>1742</v>
      </c>
      <c r="CV21" t="s">
        <v>1983</v>
      </c>
      <c r="DB21" t="s">
        <v>1978</v>
      </c>
      <c r="DE21" t="s">
        <v>1724</v>
      </c>
    </row>
    <row r="22" spans="1:109" x14ac:dyDescent="0.25">
      <c r="A22" t="s">
        <v>1378</v>
      </c>
      <c r="B22">
        <v>1</v>
      </c>
      <c r="C22" s="56">
        <v>42640</v>
      </c>
      <c r="D22" t="s">
        <v>1449</v>
      </c>
      <c r="E22" t="s">
        <v>2328</v>
      </c>
      <c r="G22" t="s">
        <v>1144</v>
      </c>
      <c r="H22" t="s">
        <v>1144</v>
      </c>
      <c r="I22" t="s">
        <v>1144</v>
      </c>
      <c r="J22" t="s">
        <v>1144</v>
      </c>
      <c r="K22" t="s">
        <v>1144</v>
      </c>
      <c r="L22">
        <v>1140.72</v>
      </c>
      <c r="M22">
        <v>2</v>
      </c>
      <c r="N22">
        <v>0</v>
      </c>
      <c r="O22" s="56"/>
      <c r="P22" s="56"/>
      <c r="Q22">
        <v>13718</v>
      </c>
      <c r="R22">
        <v>9</v>
      </c>
      <c r="S22">
        <v>4</v>
      </c>
      <c r="T22">
        <v>2</v>
      </c>
      <c r="U22">
        <v>2</v>
      </c>
      <c r="V22">
        <v>1</v>
      </c>
      <c r="W22" t="s">
        <v>2379</v>
      </c>
      <c r="X22" t="s">
        <v>2386</v>
      </c>
      <c r="AA22">
        <v>0</v>
      </c>
      <c r="AB22">
        <v>0</v>
      </c>
      <c r="AC22">
        <v>0</v>
      </c>
      <c r="AD22">
        <v>0</v>
      </c>
      <c r="AE22">
        <v>0</v>
      </c>
      <c r="AF22">
        <v>0</v>
      </c>
      <c r="AG22">
        <v>0</v>
      </c>
      <c r="AJ22" s="56"/>
      <c r="AK22" s="56">
        <v>42369</v>
      </c>
      <c r="AL22" s="56"/>
      <c r="AM22">
        <v>2</v>
      </c>
      <c r="AP22" t="s">
        <v>1450</v>
      </c>
      <c r="AS22" t="s">
        <v>1152</v>
      </c>
      <c r="AT22">
        <v>1</v>
      </c>
      <c r="AV22">
        <v>2</v>
      </c>
      <c r="AW22">
        <v>2</v>
      </c>
      <c r="AX22">
        <v>1</v>
      </c>
      <c r="AY22" t="s">
        <v>1145</v>
      </c>
      <c r="AZ22" t="s">
        <v>1145</v>
      </c>
      <c r="BA22">
        <v>2</v>
      </c>
      <c r="BD22">
        <v>1000000000</v>
      </c>
      <c r="BE22">
        <v>2</v>
      </c>
      <c r="BF22">
        <v>0</v>
      </c>
      <c r="BG22">
        <v>0</v>
      </c>
      <c r="BH22">
        <v>0</v>
      </c>
      <c r="BI22">
        <v>0</v>
      </c>
      <c r="BJ22">
        <v>0</v>
      </c>
      <c r="BK22">
        <v>0</v>
      </c>
      <c r="BL22">
        <v>0</v>
      </c>
      <c r="BM22">
        <v>2</v>
      </c>
      <c r="BN22">
        <v>0</v>
      </c>
      <c r="BO22">
        <v>0</v>
      </c>
      <c r="BP22">
        <v>0</v>
      </c>
      <c r="BR22">
        <v>0</v>
      </c>
      <c r="BS22">
        <v>1</v>
      </c>
      <c r="BX22">
        <v>0</v>
      </c>
      <c r="BY22">
        <v>0</v>
      </c>
      <c r="BZ22">
        <v>0</v>
      </c>
      <c r="CA22">
        <v>-11.98</v>
      </c>
      <c r="CC22">
        <v>1</v>
      </c>
      <c r="CD22" s="56">
        <v>42593</v>
      </c>
      <c r="CE22" s="56">
        <v>42612</v>
      </c>
      <c r="CF22" s="56">
        <v>42612</v>
      </c>
      <c r="CG22" s="56">
        <v>42640</v>
      </c>
      <c r="CH22" s="56"/>
      <c r="CI22" s="56"/>
      <c r="CJ22">
        <v>0</v>
      </c>
      <c r="CK22">
        <v>0</v>
      </c>
      <c r="CL22">
        <v>0</v>
      </c>
      <c r="CM22">
        <v>0</v>
      </c>
      <c r="CN22">
        <v>0.71</v>
      </c>
      <c r="CO22">
        <v>0</v>
      </c>
      <c r="CP22">
        <v>0</v>
      </c>
      <c r="CQ22" t="s">
        <v>1378</v>
      </c>
      <c r="CR22" t="s">
        <v>1377</v>
      </c>
      <c r="CS22" t="s">
        <v>1451</v>
      </c>
      <c r="CT22" t="s">
        <v>1724</v>
      </c>
      <c r="CU22" t="s">
        <v>1742</v>
      </c>
      <c r="CV22" t="s">
        <v>2329</v>
      </c>
      <c r="DB22" t="s">
        <v>2145</v>
      </c>
      <c r="DE22" t="s">
        <v>1724</v>
      </c>
    </row>
    <row r="23" spans="1:109" x14ac:dyDescent="0.25">
      <c r="A23" t="s">
        <v>1378</v>
      </c>
      <c r="B23">
        <v>1</v>
      </c>
      <c r="C23" s="56">
        <v>42640</v>
      </c>
      <c r="D23" t="s">
        <v>1449</v>
      </c>
      <c r="E23" t="s">
        <v>2028</v>
      </c>
      <c r="G23" t="s">
        <v>1144</v>
      </c>
      <c r="H23" t="s">
        <v>1144</v>
      </c>
      <c r="I23" t="s">
        <v>1144</v>
      </c>
      <c r="J23" t="s">
        <v>1144</v>
      </c>
      <c r="K23" t="s">
        <v>1144</v>
      </c>
      <c r="L23">
        <v>185.69</v>
      </c>
      <c r="M23">
        <v>2</v>
      </c>
      <c r="N23">
        <v>0</v>
      </c>
      <c r="O23" s="56"/>
      <c r="P23" s="56"/>
      <c r="Q23">
        <v>13718</v>
      </c>
      <c r="R23">
        <v>9</v>
      </c>
      <c r="S23">
        <v>4</v>
      </c>
      <c r="T23">
        <v>2</v>
      </c>
      <c r="U23">
        <v>2</v>
      </c>
      <c r="V23">
        <v>1</v>
      </c>
      <c r="W23" t="s">
        <v>2379</v>
      </c>
      <c r="X23" t="s">
        <v>2387</v>
      </c>
      <c r="AA23">
        <v>0</v>
      </c>
      <c r="AB23">
        <v>0</v>
      </c>
      <c r="AC23">
        <v>0</v>
      </c>
      <c r="AD23">
        <v>0</v>
      </c>
      <c r="AE23">
        <v>0</v>
      </c>
      <c r="AF23">
        <v>0</v>
      </c>
      <c r="AG23">
        <v>0</v>
      </c>
      <c r="AJ23" s="56"/>
      <c r="AK23" s="56">
        <v>42369</v>
      </c>
      <c r="AL23" s="56"/>
      <c r="AM23">
        <v>1</v>
      </c>
      <c r="AP23" t="s">
        <v>1450</v>
      </c>
      <c r="AS23" t="s">
        <v>1152</v>
      </c>
      <c r="AT23">
        <v>1</v>
      </c>
      <c r="AV23">
        <v>2</v>
      </c>
      <c r="AW23">
        <v>2</v>
      </c>
      <c r="AX23">
        <v>1</v>
      </c>
      <c r="AY23" t="s">
        <v>1145</v>
      </c>
      <c r="AZ23" t="s">
        <v>1145</v>
      </c>
      <c r="BA23">
        <v>1</v>
      </c>
      <c r="BD23">
        <v>1000000000</v>
      </c>
      <c r="BE23">
        <v>2</v>
      </c>
      <c r="BF23">
        <v>0</v>
      </c>
      <c r="BG23">
        <v>0</v>
      </c>
      <c r="BH23">
        <v>0</v>
      </c>
      <c r="BI23">
        <v>0</v>
      </c>
      <c r="BJ23">
        <v>0</v>
      </c>
      <c r="BK23">
        <v>0</v>
      </c>
      <c r="BL23">
        <v>0</v>
      </c>
      <c r="BM23">
        <v>2</v>
      </c>
      <c r="BN23">
        <v>0</v>
      </c>
      <c r="BO23">
        <v>0</v>
      </c>
      <c r="BP23">
        <v>0</v>
      </c>
      <c r="BR23">
        <v>0</v>
      </c>
      <c r="BS23">
        <v>1</v>
      </c>
      <c r="BX23">
        <v>0</v>
      </c>
      <c r="BY23">
        <v>0</v>
      </c>
      <c r="BZ23">
        <v>0</v>
      </c>
      <c r="CA23">
        <v>-11.87</v>
      </c>
      <c r="CC23">
        <v>1</v>
      </c>
      <c r="CD23" s="56">
        <v>42592</v>
      </c>
      <c r="CE23" s="56">
        <v>42612</v>
      </c>
      <c r="CF23" s="56">
        <v>42612</v>
      </c>
      <c r="CG23" s="56">
        <v>42640</v>
      </c>
      <c r="CH23" s="56"/>
      <c r="CI23" s="56"/>
      <c r="CJ23">
        <v>0</v>
      </c>
      <c r="CK23">
        <v>0</v>
      </c>
      <c r="CL23">
        <v>0</v>
      </c>
      <c r="CM23">
        <v>0</v>
      </c>
      <c r="CN23">
        <v>0.71</v>
      </c>
      <c r="CO23">
        <v>0</v>
      </c>
      <c r="CP23">
        <v>0</v>
      </c>
      <c r="CQ23" t="s">
        <v>1378</v>
      </c>
      <c r="CR23" t="s">
        <v>1377</v>
      </c>
      <c r="CS23" t="s">
        <v>1451</v>
      </c>
      <c r="CT23" t="s">
        <v>1724</v>
      </c>
      <c r="CU23" t="s">
        <v>1742</v>
      </c>
      <c r="CV23" t="s">
        <v>2029</v>
      </c>
      <c r="DB23" t="s">
        <v>2014</v>
      </c>
      <c r="DE23" t="s">
        <v>1724</v>
      </c>
    </row>
    <row r="24" spans="1:109" x14ac:dyDescent="0.25">
      <c r="A24" t="s">
        <v>1378</v>
      </c>
      <c r="B24">
        <v>1</v>
      </c>
      <c r="C24" s="56">
        <v>42640</v>
      </c>
      <c r="D24" t="s">
        <v>1449</v>
      </c>
      <c r="E24" t="s">
        <v>1440</v>
      </c>
      <c r="G24" t="s">
        <v>1144</v>
      </c>
      <c r="H24" t="s">
        <v>1144</v>
      </c>
      <c r="I24" t="s">
        <v>1144</v>
      </c>
      <c r="J24" t="s">
        <v>1144</v>
      </c>
      <c r="K24" t="s">
        <v>1144</v>
      </c>
      <c r="L24">
        <v>120.77</v>
      </c>
      <c r="M24">
        <v>293.95</v>
      </c>
      <c r="N24">
        <v>0</v>
      </c>
      <c r="O24" s="56"/>
      <c r="P24" s="56"/>
      <c r="Q24">
        <v>13718</v>
      </c>
      <c r="R24">
        <v>9</v>
      </c>
      <c r="S24">
        <v>4</v>
      </c>
      <c r="T24">
        <v>2</v>
      </c>
      <c r="U24">
        <v>2</v>
      </c>
      <c r="V24">
        <v>1</v>
      </c>
      <c r="X24" t="s">
        <v>2385</v>
      </c>
      <c r="AA24">
        <v>0.47</v>
      </c>
      <c r="AB24">
        <v>3</v>
      </c>
      <c r="AC24">
        <v>2.13</v>
      </c>
      <c r="AD24">
        <v>4.26</v>
      </c>
      <c r="AE24">
        <v>0</v>
      </c>
      <c r="AF24">
        <v>0</v>
      </c>
      <c r="AG24">
        <v>0</v>
      </c>
      <c r="AJ24" s="56"/>
      <c r="AK24" s="56"/>
      <c r="AL24" s="56"/>
      <c r="AM24">
        <v>5</v>
      </c>
      <c r="AP24" t="s">
        <v>1450</v>
      </c>
      <c r="AS24" t="s">
        <v>1152</v>
      </c>
      <c r="AT24">
        <v>1</v>
      </c>
      <c r="AV24">
        <v>4</v>
      </c>
      <c r="AW24">
        <v>3</v>
      </c>
      <c r="AX24">
        <v>1</v>
      </c>
      <c r="AY24" t="s">
        <v>1147</v>
      </c>
      <c r="AZ24" t="s">
        <v>1147</v>
      </c>
      <c r="BA24">
        <v>5</v>
      </c>
      <c r="BD24">
        <v>1000000000</v>
      </c>
      <c r="BE24">
        <v>8</v>
      </c>
      <c r="BF24">
        <v>-1</v>
      </c>
      <c r="BG24">
        <v>0</v>
      </c>
      <c r="BH24">
        <v>0</v>
      </c>
      <c r="BI24">
        <v>0</v>
      </c>
      <c r="BJ24">
        <v>0</v>
      </c>
      <c r="BK24">
        <v>0</v>
      </c>
      <c r="BL24">
        <v>0</v>
      </c>
      <c r="BM24">
        <v>8</v>
      </c>
      <c r="BN24">
        <v>-1</v>
      </c>
      <c r="BO24">
        <v>0</v>
      </c>
      <c r="BP24">
        <v>0</v>
      </c>
      <c r="BR24">
        <v>0</v>
      </c>
      <c r="BS24">
        <v>2</v>
      </c>
      <c r="BX24">
        <v>0</v>
      </c>
      <c r="BY24">
        <v>483.08</v>
      </c>
      <c r="BZ24">
        <v>0</v>
      </c>
      <c r="CA24">
        <v>17.21</v>
      </c>
      <c r="CC24">
        <v>1</v>
      </c>
      <c r="CD24" s="56">
        <v>42619</v>
      </c>
      <c r="CE24" s="56">
        <v>42619</v>
      </c>
      <c r="CF24" s="56">
        <v>42619</v>
      </c>
      <c r="CG24" s="56">
        <v>42647</v>
      </c>
      <c r="CH24" s="56"/>
      <c r="CI24" s="56"/>
      <c r="CJ24">
        <v>0</v>
      </c>
      <c r="CK24">
        <v>0</v>
      </c>
      <c r="CL24">
        <v>0</v>
      </c>
      <c r="CM24">
        <v>0</v>
      </c>
      <c r="CN24">
        <v>0</v>
      </c>
      <c r="CO24">
        <v>0</v>
      </c>
      <c r="CP24">
        <v>0.65</v>
      </c>
      <c r="CQ24" t="s">
        <v>1378</v>
      </c>
      <c r="CR24" t="s">
        <v>1377</v>
      </c>
      <c r="CS24" t="s">
        <v>1451</v>
      </c>
      <c r="CT24" t="s">
        <v>1724</v>
      </c>
      <c r="CU24" t="s">
        <v>1742</v>
      </c>
      <c r="CV24" t="s">
        <v>2081</v>
      </c>
      <c r="DB24" t="s">
        <v>2059</v>
      </c>
      <c r="DE24" t="s">
        <v>1724</v>
      </c>
    </row>
    <row r="25" spans="1:109" x14ac:dyDescent="0.25">
      <c r="A25" t="s">
        <v>1378</v>
      </c>
      <c r="B25">
        <v>1</v>
      </c>
      <c r="C25" s="56">
        <v>42640</v>
      </c>
      <c r="D25" t="s">
        <v>1449</v>
      </c>
      <c r="E25" t="s">
        <v>1773</v>
      </c>
      <c r="G25" t="s">
        <v>1144</v>
      </c>
      <c r="H25" t="s">
        <v>1144</v>
      </c>
      <c r="I25" t="s">
        <v>1144</v>
      </c>
      <c r="J25" t="s">
        <v>1144</v>
      </c>
      <c r="K25" t="s">
        <v>1144</v>
      </c>
      <c r="L25">
        <v>224.97</v>
      </c>
      <c r="M25">
        <v>361.16</v>
      </c>
      <c r="N25">
        <v>0</v>
      </c>
      <c r="O25" s="56"/>
      <c r="P25" s="56"/>
      <c r="Q25">
        <v>13718</v>
      </c>
      <c r="R25">
        <v>9</v>
      </c>
      <c r="S25">
        <v>4</v>
      </c>
      <c r="T25">
        <v>2</v>
      </c>
      <c r="U25">
        <v>2</v>
      </c>
      <c r="V25">
        <v>1</v>
      </c>
      <c r="X25" t="s">
        <v>2385</v>
      </c>
      <c r="AA25">
        <v>0</v>
      </c>
      <c r="AB25">
        <v>0</v>
      </c>
      <c r="AC25">
        <v>0</v>
      </c>
      <c r="AD25">
        <v>0</v>
      </c>
      <c r="AE25">
        <v>0</v>
      </c>
      <c r="AF25">
        <v>0</v>
      </c>
      <c r="AG25">
        <v>0</v>
      </c>
      <c r="AJ25" s="56">
        <v>42666</v>
      </c>
      <c r="AK25" s="56"/>
      <c r="AL25" s="56"/>
      <c r="AM25">
        <v>5</v>
      </c>
      <c r="AP25" t="s">
        <v>1450</v>
      </c>
      <c r="AS25" t="s">
        <v>1152</v>
      </c>
      <c r="AT25">
        <v>1</v>
      </c>
      <c r="AV25">
        <v>3</v>
      </c>
      <c r="AW25">
        <v>2</v>
      </c>
      <c r="AX25">
        <v>1</v>
      </c>
      <c r="AY25" t="s">
        <v>1147</v>
      </c>
      <c r="AZ25" t="s">
        <v>1147</v>
      </c>
      <c r="BA25">
        <v>5</v>
      </c>
      <c r="BD25">
        <v>1000000000</v>
      </c>
      <c r="BE25">
        <v>4</v>
      </c>
      <c r="BF25">
        <v>-0.33</v>
      </c>
      <c r="BG25">
        <v>0</v>
      </c>
      <c r="BH25">
        <v>0</v>
      </c>
      <c r="BI25">
        <v>0</v>
      </c>
      <c r="BJ25">
        <v>0</v>
      </c>
      <c r="BK25">
        <v>0</v>
      </c>
      <c r="BL25">
        <v>0</v>
      </c>
      <c r="BM25">
        <v>4</v>
      </c>
      <c r="BN25">
        <v>-0.33</v>
      </c>
      <c r="BO25">
        <v>0</v>
      </c>
      <c r="BP25">
        <v>0</v>
      </c>
      <c r="BR25">
        <v>0</v>
      </c>
      <c r="BS25">
        <v>2</v>
      </c>
      <c r="BX25">
        <v>0</v>
      </c>
      <c r="BY25">
        <v>224.97</v>
      </c>
      <c r="BZ25">
        <v>0</v>
      </c>
      <c r="CA25">
        <v>7.26</v>
      </c>
      <c r="CC25">
        <v>1</v>
      </c>
      <c r="CD25" s="56">
        <v>42619</v>
      </c>
      <c r="CE25" s="56">
        <v>42619</v>
      </c>
      <c r="CF25" s="56">
        <v>42619</v>
      </c>
      <c r="CG25" s="56">
        <v>42647</v>
      </c>
      <c r="CH25" s="56"/>
      <c r="CI25" s="56"/>
      <c r="CJ25">
        <v>0</v>
      </c>
      <c r="CK25">
        <v>0</v>
      </c>
      <c r="CL25">
        <v>0</v>
      </c>
      <c r="CM25">
        <v>0</v>
      </c>
      <c r="CN25">
        <v>0</v>
      </c>
      <c r="CO25">
        <v>0</v>
      </c>
      <c r="CP25">
        <v>0.65</v>
      </c>
      <c r="CQ25" t="s">
        <v>1378</v>
      </c>
      <c r="CR25" t="s">
        <v>1377</v>
      </c>
      <c r="CS25" t="s">
        <v>1451</v>
      </c>
      <c r="CT25" t="s">
        <v>1724</v>
      </c>
      <c r="CU25" t="s">
        <v>1742</v>
      </c>
      <c r="CV25" t="s">
        <v>1774</v>
      </c>
      <c r="DB25" t="s">
        <v>1762</v>
      </c>
      <c r="DE25" t="s">
        <v>1724</v>
      </c>
    </row>
    <row r="26" spans="1:109" x14ac:dyDescent="0.25">
      <c r="A26" t="s">
        <v>1378</v>
      </c>
      <c r="B26">
        <v>1</v>
      </c>
      <c r="C26" s="56">
        <v>42640</v>
      </c>
      <c r="D26" t="s">
        <v>1449</v>
      </c>
      <c r="E26" t="s">
        <v>2137</v>
      </c>
      <c r="G26" t="s">
        <v>1144</v>
      </c>
      <c r="H26" t="s">
        <v>1144</v>
      </c>
      <c r="I26" t="s">
        <v>1144</v>
      </c>
      <c r="J26" t="s">
        <v>1144</v>
      </c>
      <c r="K26" t="s">
        <v>1144</v>
      </c>
      <c r="L26">
        <v>350.11</v>
      </c>
      <c r="M26">
        <v>2</v>
      </c>
      <c r="N26">
        <v>0</v>
      </c>
      <c r="O26" s="56"/>
      <c r="P26" s="56"/>
      <c r="Q26">
        <v>13718</v>
      </c>
      <c r="R26">
        <v>9</v>
      </c>
      <c r="S26">
        <v>4</v>
      </c>
      <c r="T26">
        <v>2</v>
      </c>
      <c r="U26">
        <v>2</v>
      </c>
      <c r="V26">
        <v>1</v>
      </c>
      <c r="X26" t="s">
        <v>2386</v>
      </c>
      <c r="AA26">
        <v>0</v>
      </c>
      <c r="AB26">
        <v>0</v>
      </c>
      <c r="AC26">
        <v>0</v>
      </c>
      <c r="AD26">
        <v>0</v>
      </c>
      <c r="AE26">
        <v>0</v>
      </c>
      <c r="AF26">
        <v>0</v>
      </c>
      <c r="AG26">
        <v>0</v>
      </c>
      <c r="AJ26" s="56"/>
      <c r="AK26" s="56">
        <v>42369</v>
      </c>
      <c r="AL26" s="56"/>
      <c r="AM26">
        <v>1</v>
      </c>
      <c r="AP26" t="s">
        <v>1450</v>
      </c>
      <c r="AS26" t="s">
        <v>1152</v>
      </c>
      <c r="AT26">
        <v>1</v>
      </c>
      <c r="AV26">
        <v>1</v>
      </c>
      <c r="AW26">
        <v>1</v>
      </c>
      <c r="AX26">
        <v>0.5</v>
      </c>
      <c r="AY26" t="s">
        <v>1147</v>
      </c>
      <c r="AZ26" t="s">
        <v>1147</v>
      </c>
      <c r="BA26">
        <v>1</v>
      </c>
      <c r="BD26">
        <v>1000000000</v>
      </c>
      <c r="BE26">
        <v>3</v>
      </c>
      <c r="BF26">
        <v>-2</v>
      </c>
      <c r="BG26">
        <v>0</v>
      </c>
      <c r="BH26">
        <v>0</v>
      </c>
      <c r="BI26">
        <v>0</v>
      </c>
      <c r="BJ26">
        <v>0</v>
      </c>
      <c r="BK26">
        <v>0</v>
      </c>
      <c r="BL26">
        <v>0</v>
      </c>
      <c r="BM26">
        <v>3</v>
      </c>
      <c r="BN26">
        <v>-2</v>
      </c>
      <c r="BO26">
        <v>0</v>
      </c>
      <c r="BP26">
        <v>0</v>
      </c>
      <c r="BR26">
        <v>0</v>
      </c>
      <c r="BS26">
        <v>1</v>
      </c>
      <c r="BX26">
        <v>0</v>
      </c>
      <c r="BY26">
        <v>700.22</v>
      </c>
      <c r="BZ26">
        <v>0</v>
      </c>
      <c r="CA26">
        <v>-11.93</v>
      </c>
      <c r="CC26">
        <v>1</v>
      </c>
      <c r="CD26" s="56">
        <v>42593</v>
      </c>
      <c r="CE26" s="56">
        <v>42612</v>
      </c>
      <c r="CF26" s="56">
        <v>42612</v>
      </c>
      <c r="CG26" s="56">
        <v>42640</v>
      </c>
      <c r="CH26" s="56"/>
      <c r="CI26" s="56"/>
      <c r="CJ26">
        <v>0</v>
      </c>
      <c r="CK26">
        <v>0</v>
      </c>
      <c r="CL26">
        <v>0</v>
      </c>
      <c r="CM26">
        <v>0</v>
      </c>
      <c r="CN26">
        <v>0</v>
      </c>
      <c r="CO26">
        <v>0</v>
      </c>
      <c r="CP26">
        <v>0.71</v>
      </c>
      <c r="CQ26" t="s">
        <v>1378</v>
      </c>
      <c r="CR26" t="s">
        <v>1377</v>
      </c>
      <c r="CS26" t="s">
        <v>1451</v>
      </c>
      <c r="CT26" t="s">
        <v>1724</v>
      </c>
      <c r="CU26" t="s">
        <v>1742</v>
      </c>
      <c r="CV26" t="s">
        <v>2133</v>
      </c>
      <c r="DB26" t="s">
        <v>2134</v>
      </c>
      <c r="DE26" t="s">
        <v>1724</v>
      </c>
    </row>
    <row r="27" spans="1:109" x14ac:dyDescent="0.25">
      <c r="A27" t="s">
        <v>1378</v>
      </c>
      <c r="B27">
        <v>1</v>
      </c>
      <c r="C27" s="56">
        <v>42640</v>
      </c>
      <c r="D27" t="s">
        <v>1449</v>
      </c>
      <c r="E27" t="s">
        <v>1387</v>
      </c>
      <c r="G27" t="s">
        <v>1144</v>
      </c>
      <c r="H27" t="s">
        <v>1144</v>
      </c>
      <c r="I27" t="s">
        <v>1144</v>
      </c>
      <c r="J27" t="s">
        <v>1144</v>
      </c>
      <c r="K27" t="s">
        <v>1144</v>
      </c>
      <c r="L27">
        <v>1091.1500000000001</v>
      </c>
      <c r="M27">
        <v>2032.14</v>
      </c>
      <c r="N27">
        <v>0</v>
      </c>
      <c r="O27" s="56"/>
      <c r="P27" s="56"/>
      <c r="Q27">
        <v>13718</v>
      </c>
      <c r="R27">
        <v>9</v>
      </c>
      <c r="S27">
        <v>4</v>
      </c>
      <c r="T27">
        <v>2</v>
      </c>
      <c r="U27">
        <v>2</v>
      </c>
      <c r="V27">
        <v>1</v>
      </c>
      <c r="W27" t="s">
        <v>1376</v>
      </c>
      <c r="X27" t="s">
        <v>2385</v>
      </c>
      <c r="AA27">
        <v>0.04</v>
      </c>
      <c r="AB27">
        <v>1</v>
      </c>
      <c r="AC27">
        <v>18.75</v>
      </c>
      <c r="AD27">
        <v>12.5</v>
      </c>
      <c r="AE27">
        <v>0</v>
      </c>
      <c r="AF27">
        <v>0</v>
      </c>
      <c r="AG27">
        <v>0</v>
      </c>
      <c r="AJ27" s="56">
        <v>42666</v>
      </c>
      <c r="AK27" s="56"/>
      <c r="AL27" s="56">
        <v>42322</v>
      </c>
      <c r="AM27">
        <v>5</v>
      </c>
      <c r="AP27" t="s">
        <v>1450</v>
      </c>
      <c r="AS27" t="s">
        <v>1152</v>
      </c>
      <c r="AT27">
        <v>1</v>
      </c>
      <c r="AV27">
        <v>3</v>
      </c>
      <c r="AW27">
        <v>2</v>
      </c>
      <c r="AX27">
        <v>1</v>
      </c>
      <c r="AY27" t="s">
        <v>1145</v>
      </c>
      <c r="AZ27" t="s">
        <v>1145</v>
      </c>
      <c r="BA27">
        <v>5</v>
      </c>
      <c r="BD27">
        <v>1000000000</v>
      </c>
      <c r="BE27">
        <v>2</v>
      </c>
      <c r="BF27">
        <v>0.33</v>
      </c>
      <c r="BG27">
        <v>0</v>
      </c>
      <c r="BH27">
        <v>0</v>
      </c>
      <c r="BI27">
        <v>0</v>
      </c>
      <c r="BJ27">
        <v>0</v>
      </c>
      <c r="BK27">
        <v>0</v>
      </c>
      <c r="BL27">
        <v>0</v>
      </c>
      <c r="BM27">
        <v>2</v>
      </c>
      <c r="BN27">
        <v>0.33</v>
      </c>
      <c r="BO27">
        <v>0</v>
      </c>
      <c r="BP27">
        <v>0</v>
      </c>
      <c r="BR27">
        <v>1</v>
      </c>
      <c r="BS27">
        <v>2</v>
      </c>
      <c r="BX27">
        <v>0</v>
      </c>
      <c r="BY27">
        <v>0</v>
      </c>
      <c r="BZ27">
        <v>0</v>
      </c>
      <c r="CA27">
        <v>10.35</v>
      </c>
      <c r="CC27">
        <v>1</v>
      </c>
      <c r="CD27" s="56">
        <v>42619</v>
      </c>
      <c r="CE27" s="56">
        <v>42619</v>
      </c>
      <c r="CF27" s="56">
        <v>42619</v>
      </c>
      <c r="CG27" s="56">
        <v>42647</v>
      </c>
      <c r="CH27" s="56"/>
      <c r="CI27" s="56"/>
      <c r="CJ27">
        <v>0</v>
      </c>
      <c r="CK27">
        <v>0</v>
      </c>
      <c r="CL27">
        <v>0</v>
      </c>
      <c r="CM27">
        <v>0</v>
      </c>
      <c r="CN27">
        <v>0.65</v>
      </c>
      <c r="CO27">
        <v>0</v>
      </c>
      <c r="CP27">
        <v>0</v>
      </c>
      <c r="CQ27" t="s">
        <v>1378</v>
      </c>
      <c r="CR27" t="s">
        <v>1377</v>
      </c>
      <c r="CS27" t="s">
        <v>1451</v>
      </c>
      <c r="CT27" t="s">
        <v>1724</v>
      </c>
      <c r="CU27" t="s">
        <v>1742</v>
      </c>
      <c r="CV27" t="s">
        <v>1823</v>
      </c>
      <c r="DB27" t="s">
        <v>1794</v>
      </c>
      <c r="DE27" t="s">
        <v>1724</v>
      </c>
    </row>
    <row r="28" spans="1:109" x14ac:dyDescent="0.25">
      <c r="A28" t="s">
        <v>1378</v>
      </c>
      <c r="B28">
        <v>1</v>
      </c>
      <c r="C28" s="56">
        <v>42640</v>
      </c>
      <c r="D28" t="s">
        <v>1449</v>
      </c>
      <c r="E28" t="s">
        <v>2176</v>
      </c>
      <c r="G28" t="s">
        <v>1144</v>
      </c>
      <c r="H28" t="s">
        <v>1144</v>
      </c>
      <c r="I28" t="s">
        <v>1144</v>
      </c>
      <c r="J28" t="s">
        <v>1144</v>
      </c>
      <c r="K28" t="s">
        <v>1144</v>
      </c>
      <c r="L28">
        <v>434.65</v>
      </c>
      <c r="M28">
        <v>2</v>
      </c>
      <c r="N28">
        <v>0</v>
      </c>
      <c r="O28" s="56"/>
      <c r="P28" s="56"/>
      <c r="Q28">
        <v>13718</v>
      </c>
      <c r="R28">
        <v>9</v>
      </c>
      <c r="S28">
        <v>4</v>
      </c>
      <c r="T28">
        <v>2</v>
      </c>
      <c r="U28">
        <v>2</v>
      </c>
      <c r="V28">
        <v>1</v>
      </c>
      <c r="X28" t="s">
        <v>2386</v>
      </c>
      <c r="AA28">
        <v>0</v>
      </c>
      <c r="AB28">
        <v>0</v>
      </c>
      <c r="AC28">
        <v>0</v>
      </c>
      <c r="AD28">
        <v>0</v>
      </c>
      <c r="AE28">
        <v>0</v>
      </c>
      <c r="AF28">
        <v>0</v>
      </c>
      <c r="AG28">
        <v>0</v>
      </c>
      <c r="AJ28" s="56"/>
      <c r="AK28" s="56">
        <v>42369</v>
      </c>
      <c r="AL28" s="56"/>
      <c r="AM28">
        <v>1</v>
      </c>
      <c r="AP28" t="s">
        <v>1450</v>
      </c>
      <c r="AS28" t="s">
        <v>1152</v>
      </c>
      <c r="AT28">
        <v>1</v>
      </c>
      <c r="AV28">
        <v>1</v>
      </c>
      <c r="AW28">
        <v>1</v>
      </c>
      <c r="AX28">
        <v>0.5</v>
      </c>
      <c r="AY28" t="s">
        <v>1147</v>
      </c>
      <c r="AZ28" t="s">
        <v>1147</v>
      </c>
      <c r="BA28">
        <v>1</v>
      </c>
      <c r="BD28">
        <v>1000000000</v>
      </c>
      <c r="BE28">
        <v>2</v>
      </c>
      <c r="BF28">
        <v>-1</v>
      </c>
      <c r="BG28">
        <v>0</v>
      </c>
      <c r="BH28">
        <v>0</v>
      </c>
      <c r="BI28">
        <v>0</v>
      </c>
      <c r="BJ28">
        <v>0</v>
      </c>
      <c r="BK28">
        <v>0</v>
      </c>
      <c r="BL28">
        <v>0</v>
      </c>
      <c r="BM28">
        <v>2</v>
      </c>
      <c r="BN28">
        <v>-1</v>
      </c>
      <c r="BO28">
        <v>0</v>
      </c>
      <c r="BP28">
        <v>0</v>
      </c>
      <c r="BR28">
        <v>0</v>
      </c>
      <c r="BS28">
        <v>1</v>
      </c>
      <c r="BX28">
        <v>0</v>
      </c>
      <c r="BY28">
        <v>434.65</v>
      </c>
      <c r="BZ28">
        <v>0</v>
      </c>
      <c r="CA28">
        <v>-11.94</v>
      </c>
      <c r="CC28">
        <v>1</v>
      </c>
      <c r="CD28" s="56">
        <v>42593</v>
      </c>
      <c r="CE28" s="56">
        <v>42612</v>
      </c>
      <c r="CF28" s="56">
        <v>42612</v>
      </c>
      <c r="CG28" s="56">
        <v>42640</v>
      </c>
      <c r="CH28" s="56"/>
      <c r="CI28" s="56"/>
      <c r="CJ28">
        <v>0</v>
      </c>
      <c r="CK28">
        <v>0</v>
      </c>
      <c r="CL28">
        <v>0</v>
      </c>
      <c r="CM28">
        <v>0</v>
      </c>
      <c r="CN28">
        <v>0</v>
      </c>
      <c r="CO28">
        <v>0</v>
      </c>
      <c r="CP28">
        <v>0.71</v>
      </c>
      <c r="CQ28" t="s">
        <v>1378</v>
      </c>
      <c r="CR28" t="s">
        <v>1377</v>
      </c>
      <c r="CS28" t="s">
        <v>1451</v>
      </c>
      <c r="CT28" t="s">
        <v>1724</v>
      </c>
      <c r="CU28" t="s">
        <v>1742</v>
      </c>
      <c r="CV28" t="s">
        <v>2175</v>
      </c>
      <c r="DB28" t="s">
        <v>2161</v>
      </c>
      <c r="DE28" t="s">
        <v>1724</v>
      </c>
    </row>
    <row r="29" spans="1:109" x14ac:dyDescent="0.25">
      <c r="A29" t="s">
        <v>1378</v>
      </c>
      <c r="B29">
        <v>1</v>
      </c>
      <c r="C29" s="56">
        <v>42640</v>
      </c>
      <c r="D29" t="s">
        <v>1449</v>
      </c>
      <c r="E29" t="s">
        <v>2312</v>
      </c>
      <c r="G29" t="s">
        <v>1144</v>
      </c>
      <c r="H29" t="s">
        <v>1144</v>
      </c>
      <c r="I29" t="s">
        <v>1144</v>
      </c>
      <c r="J29" t="s">
        <v>1144</v>
      </c>
      <c r="K29" t="s">
        <v>1144</v>
      </c>
      <c r="L29">
        <v>415.33</v>
      </c>
      <c r="M29">
        <v>2</v>
      </c>
      <c r="N29">
        <v>0</v>
      </c>
      <c r="O29" s="56"/>
      <c r="P29" s="56"/>
      <c r="Q29">
        <v>13718</v>
      </c>
      <c r="R29">
        <v>9</v>
      </c>
      <c r="S29">
        <v>4</v>
      </c>
      <c r="T29">
        <v>2</v>
      </c>
      <c r="U29">
        <v>2</v>
      </c>
      <c r="V29">
        <v>1</v>
      </c>
      <c r="W29" t="s">
        <v>1376</v>
      </c>
      <c r="X29" t="s">
        <v>2385</v>
      </c>
      <c r="AA29">
        <v>0</v>
      </c>
      <c r="AB29">
        <v>0</v>
      </c>
      <c r="AC29">
        <v>0</v>
      </c>
      <c r="AD29">
        <v>0</v>
      </c>
      <c r="AE29">
        <v>0</v>
      </c>
      <c r="AF29">
        <v>0</v>
      </c>
      <c r="AG29">
        <v>0</v>
      </c>
      <c r="AJ29" s="56"/>
      <c r="AK29" s="56"/>
      <c r="AL29" s="56"/>
      <c r="AM29">
        <v>1</v>
      </c>
      <c r="AP29" t="s">
        <v>1450</v>
      </c>
      <c r="AS29" t="s">
        <v>1152</v>
      </c>
      <c r="AT29">
        <v>1</v>
      </c>
      <c r="AV29">
        <v>2</v>
      </c>
      <c r="AW29">
        <v>2</v>
      </c>
      <c r="AX29">
        <v>1</v>
      </c>
      <c r="AY29" t="s">
        <v>1145</v>
      </c>
      <c r="AZ29" t="s">
        <v>1145</v>
      </c>
      <c r="BA29">
        <v>1</v>
      </c>
      <c r="BD29">
        <v>1000000000</v>
      </c>
      <c r="BE29">
        <v>2</v>
      </c>
      <c r="BF29">
        <v>0</v>
      </c>
      <c r="BG29">
        <v>0</v>
      </c>
      <c r="BH29">
        <v>0</v>
      </c>
      <c r="BI29">
        <v>0</v>
      </c>
      <c r="BJ29">
        <v>0</v>
      </c>
      <c r="BK29">
        <v>0</v>
      </c>
      <c r="BL29">
        <v>0</v>
      </c>
      <c r="BM29">
        <v>2</v>
      </c>
      <c r="BN29">
        <v>0</v>
      </c>
      <c r="BO29">
        <v>0</v>
      </c>
      <c r="BP29">
        <v>0</v>
      </c>
      <c r="BR29">
        <v>0</v>
      </c>
      <c r="BS29">
        <v>1</v>
      </c>
      <c r="BX29">
        <v>0</v>
      </c>
      <c r="BY29">
        <v>0</v>
      </c>
      <c r="BZ29">
        <v>0</v>
      </c>
      <c r="CA29">
        <v>-11.94</v>
      </c>
      <c r="CC29">
        <v>1</v>
      </c>
      <c r="CD29" s="56">
        <v>42619</v>
      </c>
      <c r="CE29" s="56">
        <v>42619</v>
      </c>
      <c r="CF29" s="56">
        <v>42619</v>
      </c>
      <c r="CG29" s="56">
        <v>42647</v>
      </c>
      <c r="CH29" s="56"/>
      <c r="CI29" s="56"/>
      <c r="CJ29">
        <v>0</v>
      </c>
      <c r="CK29">
        <v>0</v>
      </c>
      <c r="CL29">
        <v>0</v>
      </c>
      <c r="CM29">
        <v>0</v>
      </c>
      <c r="CN29">
        <v>0.65</v>
      </c>
      <c r="CO29">
        <v>0</v>
      </c>
      <c r="CP29">
        <v>0</v>
      </c>
      <c r="CQ29" t="s">
        <v>1378</v>
      </c>
      <c r="CR29" t="s">
        <v>1377</v>
      </c>
      <c r="CS29" t="s">
        <v>1451</v>
      </c>
      <c r="CT29" t="s">
        <v>1724</v>
      </c>
      <c r="CU29" t="s">
        <v>1742</v>
      </c>
      <c r="CV29" t="s">
        <v>2313</v>
      </c>
      <c r="DB29" t="s">
        <v>2309</v>
      </c>
      <c r="DE29" t="s">
        <v>1724</v>
      </c>
    </row>
    <row r="30" spans="1:109" x14ac:dyDescent="0.25">
      <c r="A30" t="s">
        <v>1378</v>
      </c>
      <c r="B30">
        <v>1</v>
      </c>
      <c r="C30" s="56">
        <v>42640</v>
      </c>
      <c r="D30" t="s">
        <v>1449</v>
      </c>
      <c r="E30" t="s">
        <v>1432</v>
      </c>
      <c r="G30" t="s">
        <v>1144</v>
      </c>
      <c r="H30" t="s">
        <v>1144</v>
      </c>
      <c r="I30" t="s">
        <v>1144</v>
      </c>
      <c r="J30" t="s">
        <v>1144</v>
      </c>
      <c r="K30" t="s">
        <v>1144</v>
      </c>
      <c r="L30">
        <v>359.38</v>
      </c>
      <c r="M30">
        <v>732.52</v>
      </c>
      <c r="N30">
        <v>0</v>
      </c>
      <c r="O30" s="56"/>
      <c r="P30" s="56"/>
      <c r="Q30">
        <v>13718</v>
      </c>
      <c r="R30">
        <v>9</v>
      </c>
      <c r="S30">
        <v>4</v>
      </c>
      <c r="T30">
        <v>2</v>
      </c>
      <c r="U30">
        <v>2</v>
      </c>
      <c r="V30">
        <v>1</v>
      </c>
      <c r="X30" t="s">
        <v>2385</v>
      </c>
      <c r="AA30">
        <v>0.63</v>
      </c>
      <c r="AB30">
        <v>4</v>
      </c>
      <c r="AC30">
        <v>1.98</v>
      </c>
      <c r="AD30">
        <v>2.38</v>
      </c>
      <c r="AE30">
        <v>0</v>
      </c>
      <c r="AF30">
        <v>0</v>
      </c>
      <c r="AG30">
        <v>0</v>
      </c>
      <c r="AJ30" s="56"/>
      <c r="AK30" s="56">
        <v>42369</v>
      </c>
      <c r="AL30" s="56"/>
      <c r="AM30">
        <v>6</v>
      </c>
      <c r="AP30" t="s">
        <v>1450</v>
      </c>
      <c r="AS30" t="s">
        <v>1152</v>
      </c>
      <c r="AT30">
        <v>1</v>
      </c>
      <c r="AV30">
        <v>5</v>
      </c>
      <c r="AW30">
        <v>3</v>
      </c>
      <c r="AX30">
        <v>2</v>
      </c>
      <c r="AY30" t="s">
        <v>1147</v>
      </c>
      <c r="AZ30" t="s">
        <v>1147</v>
      </c>
      <c r="BA30">
        <v>6</v>
      </c>
      <c r="BD30">
        <v>1000000000</v>
      </c>
      <c r="BE30">
        <v>6</v>
      </c>
      <c r="BF30">
        <v>-0.2</v>
      </c>
      <c r="BG30">
        <v>0</v>
      </c>
      <c r="BH30">
        <v>0</v>
      </c>
      <c r="BI30">
        <v>0</v>
      </c>
      <c r="BJ30">
        <v>0</v>
      </c>
      <c r="BK30">
        <v>0</v>
      </c>
      <c r="BL30">
        <v>0</v>
      </c>
      <c r="BM30">
        <v>6</v>
      </c>
      <c r="BN30">
        <v>-0.2</v>
      </c>
      <c r="BO30">
        <v>0</v>
      </c>
      <c r="BP30">
        <v>0</v>
      </c>
      <c r="BR30">
        <v>0</v>
      </c>
      <c r="BS30">
        <v>3</v>
      </c>
      <c r="BX30">
        <v>0</v>
      </c>
      <c r="BY30">
        <v>359.38</v>
      </c>
      <c r="BZ30">
        <v>0</v>
      </c>
      <c r="CA30">
        <v>12.46</v>
      </c>
      <c r="CC30">
        <v>1</v>
      </c>
      <c r="CD30" s="56">
        <v>42619</v>
      </c>
      <c r="CE30" s="56">
        <v>42619</v>
      </c>
      <c r="CF30" s="56">
        <v>42619</v>
      </c>
      <c r="CG30" s="56">
        <v>42647</v>
      </c>
      <c r="CH30" s="56"/>
      <c r="CI30" s="56"/>
      <c r="CJ30">
        <v>0</v>
      </c>
      <c r="CK30">
        <v>0</v>
      </c>
      <c r="CL30">
        <v>0</v>
      </c>
      <c r="CM30">
        <v>0</v>
      </c>
      <c r="CN30">
        <v>0</v>
      </c>
      <c r="CO30">
        <v>0</v>
      </c>
      <c r="CP30">
        <v>0.65</v>
      </c>
      <c r="CQ30" t="s">
        <v>1378</v>
      </c>
      <c r="CR30" t="s">
        <v>1377</v>
      </c>
      <c r="CS30" t="s">
        <v>1451</v>
      </c>
      <c r="CT30" t="s">
        <v>1724</v>
      </c>
      <c r="CU30" t="s">
        <v>1742</v>
      </c>
      <c r="CV30" t="s">
        <v>2012</v>
      </c>
      <c r="DB30" t="s">
        <v>1997</v>
      </c>
      <c r="DE30" t="s">
        <v>1724</v>
      </c>
    </row>
    <row r="31" spans="1:109" x14ac:dyDescent="0.25">
      <c r="A31" t="s">
        <v>1378</v>
      </c>
      <c r="B31">
        <v>1</v>
      </c>
      <c r="C31" s="56">
        <v>42640</v>
      </c>
      <c r="D31" t="s">
        <v>1449</v>
      </c>
      <c r="E31" t="s">
        <v>2367</v>
      </c>
      <c r="G31" t="s">
        <v>1144</v>
      </c>
      <c r="H31" t="s">
        <v>1144</v>
      </c>
      <c r="I31" t="s">
        <v>1144</v>
      </c>
      <c r="J31" t="s">
        <v>1144</v>
      </c>
      <c r="K31" t="s">
        <v>1144</v>
      </c>
      <c r="L31">
        <v>276.14999999999998</v>
      </c>
      <c r="M31">
        <v>878.08</v>
      </c>
      <c r="N31">
        <v>0</v>
      </c>
      <c r="O31" s="56"/>
      <c r="P31" s="56"/>
      <c r="Q31">
        <v>13718</v>
      </c>
      <c r="R31">
        <v>9</v>
      </c>
      <c r="S31">
        <v>4</v>
      </c>
      <c r="T31">
        <v>2</v>
      </c>
      <c r="U31">
        <v>2</v>
      </c>
      <c r="V31">
        <v>1</v>
      </c>
      <c r="X31" t="s">
        <v>2385</v>
      </c>
      <c r="AA31">
        <v>0.16</v>
      </c>
      <c r="AB31">
        <v>1</v>
      </c>
      <c r="AC31">
        <v>3.13</v>
      </c>
      <c r="AD31">
        <v>6.25</v>
      </c>
      <c r="AE31">
        <v>0</v>
      </c>
      <c r="AF31">
        <v>0</v>
      </c>
      <c r="AG31">
        <v>0</v>
      </c>
      <c r="AJ31" s="56"/>
      <c r="AK31" s="56"/>
      <c r="AL31" s="56"/>
      <c r="AM31">
        <v>4</v>
      </c>
      <c r="AP31" t="s">
        <v>1450</v>
      </c>
      <c r="AS31" t="s">
        <v>1152</v>
      </c>
      <c r="AT31">
        <v>1</v>
      </c>
      <c r="AV31">
        <v>2</v>
      </c>
      <c r="AW31">
        <v>2</v>
      </c>
      <c r="AX31">
        <v>1</v>
      </c>
      <c r="AY31" t="s">
        <v>1147</v>
      </c>
      <c r="AZ31" t="s">
        <v>1147</v>
      </c>
      <c r="BA31">
        <v>4</v>
      </c>
      <c r="BD31">
        <v>1000000000</v>
      </c>
      <c r="BE31">
        <v>4</v>
      </c>
      <c r="BF31">
        <v>-1</v>
      </c>
      <c r="BG31">
        <v>0</v>
      </c>
      <c r="BH31">
        <v>0</v>
      </c>
      <c r="BI31">
        <v>0</v>
      </c>
      <c r="BJ31">
        <v>0</v>
      </c>
      <c r="BK31">
        <v>0</v>
      </c>
      <c r="BL31">
        <v>0</v>
      </c>
      <c r="BM31">
        <v>4</v>
      </c>
      <c r="BN31">
        <v>-1</v>
      </c>
      <c r="BO31">
        <v>0</v>
      </c>
      <c r="BP31">
        <v>0</v>
      </c>
      <c r="BR31">
        <v>0</v>
      </c>
      <c r="BS31">
        <v>1</v>
      </c>
      <c r="BX31">
        <v>0</v>
      </c>
      <c r="BY31">
        <v>552.29999999999995</v>
      </c>
      <c r="BZ31">
        <v>0</v>
      </c>
      <c r="CA31">
        <v>26.16</v>
      </c>
      <c r="CC31">
        <v>1</v>
      </c>
      <c r="CD31" s="56">
        <v>42619</v>
      </c>
      <c r="CE31" s="56">
        <v>42619</v>
      </c>
      <c r="CF31" s="56">
        <v>42619</v>
      </c>
      <c r="CG31" s="56">
        <v>42647</v>
      </c>
      <c r="CH31" s="56"/>
      <c r="CI31" s="56"/>
      <c r="CJ31">
        <v>0</v>
      </c>
      <c r="CK31">
        <v>0</v>
      </c>
      <c r="CL31">
        <v>0</v>
      </c>
      <c r="CM31">
        <v>0</v>
      </c>
      <c r="CN31">
        <v>0</v>
      </c>
      <c r="CO31">
        <v>0</v>
      </c>
      <c r="CP31">
        <v>0.65</v>
      </c>
      <c r="CQ31" t="s">
        <v>1378</v>
      </c>
      <c r="CR31" t="s">
        <v>1377</v>
      </c>
      <c r="CS31" t="s">
        <v>1451</v>
      </c>
      <c r="CT31" t="s">
        <v>1724</v>
      </c>
      <c r="CU31" t="s">
        <v>1742</v>
      </c>
      <c r="CV31" t="s">
        <v>2368</v>
      </c>
      <c r="DB31" t="s">
        <v>2351</v>
      </c>
      <c r="DE31" t="s">
        <v>1724</v>
      </c>
    </row>
    <row r="32" spans="1:109" x14ac:dyDescent="0.25">
      <c r="A32" t="s">
        <v>1378</v>
      </c>
      <c r="B32">
        <v>1</v>
      </c>
      <c r="C32" s="56">
        <v>42640</v>
      </c>
      <c r="D32" t="s">
        <v>1449</v>
      </c>
      <c r="E32" t="s">
        <v>2067</v>
      </c>
      <c r="G32" t="s">
        <v>1144</v>
      </c>
      <c r="H32" t="s">
        <v>1144</v>
      </c>
      <c r="I32" t="s">
        <v>1144</v>
      </c>
      <c r="J32" t="s">
        <v>1144</v>
      </c>
      <c r="K32" t="s">
        <v>1144</v>
      </c>
      <c r="L32">
        <v>113.64</v>
      </c>
      <c r="M32">
        <v>293.95</v>
      </c>
      <c r="N32">
        <v>0</v>
      </c>
      <c r="O32" s="56"/>
      <c r="P32" s="56"/>
      <c r="Q32">
        <v>13718</v>
      </c>
      <c r="R32">
        <v>9</v>
      </c>
      <c r="S32">
        <v>4</v>
      </c>
      <c r="T32">
        <v>2</v>
      </c>
      <c r="U32">
        <v>2</v>
      </c>
      <c r="V32">
        <v>1</v>
      </c>
      <c r="W32" t="s">
        <v>2379</v>
      </c>
      <c r="X32" t="s">
        <v>2386</v>
      </c>
      <c r="AA32">
        <v>0</v>
      </c>
      <c r="AB32">
        <v>0</v>
      </c>
      <c r="AC32">
        <v>0</v>
      </c>
      <c r="AD32">
        <v>0</v>
      </c>
      <c r="AE32">
        <v>0</v>
      </c>
      <c r="AF32">
        <v>0</v>
      </c>
      <c r="AG32">
        <v>0</v>
      </c>
      <c r="AJ32" s="56"/>
      <c r="AK32" s="56">
        <v>42369</v>
      </c>
      <c r="AL32" s="56"/>
      <c r="AM32">
        <v>2</v>
      </c>
      <c r="AP32" t="s">
        <v>1450</v>
      </c>
      <c r="AS32" t="s">
        <v>1152</v>
      </c>
      <c r="AT32">
        <v>1</v>
      </c>
      <c r="AV32">
        <v>2</v>
      </c>
      <c r="AW32">
        <v>2</v>
      </c>
      <c r="AX32">
        <v>1</v>
      </c>
      <c r="AY32" t="s">
        <v>1145</v>
      </c>
      <c r="AZ32" t="s">
        <v>1145</v>
      </c>
      <c r="BA32">
        <v>2</v>
      </c>
      <c r="BD32">
        <v>1000000000</v>
      </c>
      <c r="BE32">
        <v>2</v>
      </c>
      <c r="BF32">
        <v>0</v>
      </c>
      <c r="BG32">
        <v>0</v>
      </c>
      <c r="BH32">
        <v>0</v>
      </c>
      <c r="BI32">
        <v>0</v>
      </c>
      <c r="BJ32">
        <v>0</v>
      </c>
      <c r="BK32">
        <v>0</v>
      </c>
      <c r="BL32">
        <v>0</v>
      </c>
      <c r="BM32">
        <v>2</v>
      </c>
      <c r="BN32">
        <v>0</v>
      </c>
      <c r="BO32">
        <v>0</v>
      </c>
      <c r="BP32">
        <v>0</v>
      </c>
      <c r="BR32">
        <v>0</v>
      </c>
      <c r="BS32">
        <v>1</v>
      </c>
      <c r="BX32">
        <v>0</v>
      </c>
      <c r="BY32">
        <v>0</v>
      </c>
      <c r="BZ32">
        <v>0</v>
      </c>
      <c r="CA32">
        <v>19.04</v>
      </c>
      <c r="CC32">
        <v>1</v>
      </c>
      <c r="CD32" s="56">
        <v>42593</v>
      </c>
      <c r="CE32" s="56">
        <v>42612</v>
      </c>
      <c r="CF32" s="56">
        <v>42612</v>
      </c>
      <c r="CG32" s="56">
        <v>42640</v>
      </c>
      <c r="CH32" s="56"/>
      <c r="CI32" s="56"/>
      <c r="CJ32">
        <v>0</v>
      </c>
      <c r="CK32">
        <v>0</v>
      </c>
      <c r="CL32">
        <v>0</v>
      </c>
      <c r="CM32">
        <v>0</v>
      </c>
      <c r="CN32">
        <v>0.71</v>
      </c>
      <c r="CO32">
        <v>0</v>
      </c>
      <c r="CP32">
        <v>0</v>
      </c>
      <c r="CQ32" t="s">
        <v>1378</v>
      </c>
      <c r="CR32" t="s">
        <v>1377</v>
      </c>
      <c r="CS32" t="s">
        <v>1451</v>
      </c>
      <c r="CT32" t="s">
        <v>1724</v>
      </c>
      <c r="CU32" t="s">
        <v>1742</v>
      </c>
      <c r="CV32" t="s">
        <v>2068</v>
      </c>
      <c r="DB32" t="s">
        <v>2059</v>
      </c>
      <c r="DE32" t="s">
        <v>1724</v>
      </c>
    </row>
    <row r="33" spans="1:109" x14ac:dyDescent="0.25">
      <c r="A33" t="s">
        <v>1378</v>
      </c>
      <c r="B33">
        <v>1</v>
      </c>
      <c r="C33" s="56">
        <v>42640</v>
      </c>
      <c r="D33" t="s">
        <v>1449</v>
      </c>
      <c r="E33" t="s">
        <v>1759</v>
      </c>
      <c r="G33" t="s">
        <v>1144</v>
      </c>
      <c r="H33" t="s">
        <v>1144</v>
      </c>
      <c r="I33" t="s">
        <v>1144</v>
      </c>
      <c r="J33" t="s">
        <v>1144</v>
      </c>
      <c r="K33" t="s">
        <v>1144</v>
      </c>
      <c r="L33">
        <v>0</v>
      </c>
      <c r="M33">
        <v>71.27</v>
      </c>
      <c r="N33">
        <v>0</v>
      </c>
      <c r="O33" s="56"/>
      <c r="P33" s="56"/>
      <c r="Q33">
        <v>13718</v>
      </c>
      <c r="R33">
        <v>9</v>
      </c>
      <c r="S33">
        <v>4</v>
      </c>
      <c r="T33">
        <v>2</v>
      </c>
      <c r="U33">
        <v>2</v>
      </c>
      <c r="V33">
        <v>1</v>
      </c>
      <c r="X33" t="s">
        <v>2386</v>
      </c>
      <c r="AA33">
        <v>0</v>
      </c>
      <c r="AB33">
        <v>0</v>
      </c>
      <c r="AC33">
        <v>0</v>
      </c>
      <c r="AD33">
        <v>0</v>
      </c>
      <c r="AE33">
        <v>0</v>
      </c>
      <c r="AF33">
        <v>0</v>
      </c>
      <c r="AG33">
        <v>0</v>
      </c>
      <c r="AJ33" s="56"/>
      <c r="AK33" s="56"/>
      <c r="AL33" s="56"/>
      <c r="AP33" t="s">
        <v>1450</v>
      </c>
      <c r="AR33">
        <v>3</v>
      </c>
      <c r="AS33" t="s">
        <v>1152</v>
      </c>
      <c r="AT33">
        <v>1</v>
      </c>
      <c r="AV33">
        <v>0</v>
      </c>
      <c r="AW33">
        <v>0</v>
      </c>
      <c r="AX33">
        <v>0</v>
      </c>
      <c r="AY33" t="s">
        <v>1375</v>
      </c>
      <c r="AZ33" t="s">
        <v>1375</v>
      </c>
      <c r="BA33">
        <v>0</v>
      </c>
      <c r="BD33">
        <v>1000000000</v>
      </c>
      <c r="BE33">
        <v>0</v>
      </c>
      <c r="BF33">
        <v>0</v>
      </c>
      <c r="BG33">
        <v>0</v>
      </c>
      <c r="BH33">
        <v>0</v>
      </c>
      <c r="BI33">
        <v>0</v>
      </c>
      <c r="BJ33">
        <v>0</v>
      </c>
      <c r="BK33">
        <v>0</v>
      </c>
      <c r="BL33">
        <v>0</v>
      </c>
      <c r="BM33">
        <v>0</v>
      </c>
      <c r="BN33">
        <v>0</v>
      </c>
      <c r="BO33">
        <v>0</v>
      </c>
      <c r="BP33">
        <v>0</v>
      </c>
      <c r="BR33">
        <v>0</v>
      </c>
      <c r="BS33">
        <v>0</v>
      </c>
      <c r="BX33">
        <v>0</v>
      </c>
      <c r="BY33">
        <v>0</v>
      </c>
      <c r="BZ33">
        <v>0</v>
      </c>
      <c r="CA33">
        <v>0</v>
      </c>
      <c r="CC33">
        <v>1</v>
      </c>
      <c r="CD33" s="56">
        <v>42593</v>
      </c>
      <c r="CE33" s="56">
        <v>42612</v>
      </c>
      <c r="CF33" s="56">
        <v>42612</v>
      </c>
      <c r="CG33" s="56">
        <v>42640</v>
      </c>
      <c r="CH33" s="56"/>
      <c r="CI33" s="56"/>
      <c r="CJ33">
        <v>1</v>
      </c>
      <c r="CK33">
        <v>0</v>
      </c>
      <c r="CL33">
        <v>0.71</v>
      </c>
      <c r="CM33">
        <v>0</v>
      </c>
      <c r="CN33">
        <v>0</v>
      </c>
      <c r="CO33">
        <v>0</v>
      </c>
      <c r="CP33">
        <v>0</v>
      </c>
      <c r="CQ33" t="s">
        <v>1378</v>
      </c>
      <c r="CR33" t="s">
        <v>1377</v>
      </c>
      <c r="CS33" t="s">
        <v>1451</v>
      </c>
      <c r="CT33" t="s">
        <v>1724</v>
      </c>
      <c r="CU33" t="s">
        <v>1742</v>
      </c>
      <c r="CV33" t="s">
        <v>1760</v>
      </c>
      <c r="DB33" t="s">
        <v>1744</v>
      </c>
      <c r="DE33" t="s">
        <v>1724</v>
      </c>
    </row>
    <row r="34" spans="1:109" x14ac:dyDescent="0.25">
      <c r="A34" t="s">
        <v>1378</v>
      </c>
      <c r="B34">
        <v>1</v>
      </c>
      <c r="C34" s="56">
        <v>42640</v>
      </c>
      <c r="D34" t="s">
        <v>1449</v>
      </c>
      <c r="E34" t="s">
        <v>2122</v>
      </c>
      <c r="G34" t="s">
        <v>1144</v>
      </c>
      <c r="H34" t="s">
        <v>1144</v>
      </c>
      <c r="I34" t="s">
        <v>1144</v>
      </c>
      <c r="J34" t="s">
        <v>1144</v>
      </c>
      <c r="K34" t="s">
        <v>1144</v>
      </c>
      <c r="L34">
        <v>1162.3</v>
      </c>
      <c r="M34">
        <v>2568.5100000000002</v>
      </c>
      <c r="N34">
        <v>0</v>
      </c>
      <c r="O34" s="56"/>
      <c r="P34" s="56"/>
      <c r="Q34">
        <v>13718</v>
      </c>
      <c r="R34">
        <v>9</v>
      </c>
      <c r="S34">
        <v>4</v>
      </c>
      <c r="T34">
        <v>2</v>
      </c>
      <c r="U34">
        <v>2</v>
      </c>
      <c r="V34">
        <v>1</v>
      </c>
      <c r="X34" t="s">
        <v>2385</v>
      </c>
      <c r="AA34">
        <v>0.39</v>
      </c>
      <c r="AB34">
        <v>3</v>
      </c>
      <c r="AC34">
        <v>1.92</v>
      </c>
      <c r="AD34">
        <v>2.56</v>
      </c>
      <c r="AE34">
        <v>0</v>
      </c>
      <c r="AF34">
        <v>0</v>
      </c>
      <c r="AG34">
        <v>0</v>
      </c>
      <c r="AJ34" s="56"/>
      <c r="AK34" s="56"/>
      <c r="AL34" s="56"/>
      <c r="AM34">
        <v>4</v>
      </c>
      <c r="AP34" t="s">
        <v>1450</v>
      </c>
      <c r="AS34" t="s">
        <v>1152</v>
      </c>
      <c r="AT34">
        <v>1</v>
      </c>
      <c r="AV34">
        <v>3</v>
      </c>
      <c r="AW34">
        <v>2</v>
      </c>
      <c r="AX34">
        <v>1</v>
      </c>
      <c r="AY34" t="s">
        <v>1147</v>
      </c>
      <c r="AZ34" t="s">
        <v>1147</v>
      </c>
      <c r="BA34">
        <v>4</v>
      </c>
      <c r="BD34">
        <v>1000000000</v>
      </c>
      <c r="BE34">
        <v>4</v>
      </c>
      <c r="BF34">
        <v>-0.33</v>
      </c>
      <c r="BG34">
        <v>0</v>
      </c>
      <c r="BH34">
        <v>0</v>
      </c>
      <c r="BI34">
        <v>0</v>
      </c>
      <c r="BJ34">
        <v>0</v>
      </c>
      <c r="BK34">
        <v>0</v>
      </c>
      <c r="BL34">
        <v>0</v>
      </c>
      <c r="BM34">
        <v>4</v>
      </c>
      <c r="BN34">
        <v>-0.33</v>
      </c>
      <c r="BO34">
        <v>0</v>
      </c>
      <c r="BP34">
        <v>0</v>
      </c>
      <c r="BR34">
        <v>0</v>
      </c>
      <c r="BS34">
        <v>2</v>
      </c>
      <c r="BX34">
        <v>0</v>
      </c>
      <c r="BY34">
        <v>1162.3</v>
      </c>
      <c r="BZ34">
        <v>0</v>
      </c>
      <c r="CA34">
        <v>14.52</v>
      </c>
      <c r="CC34">
        <v>1</v>
      </c>
      <c r="CD34" s="56">
        <v>42619</v>
      </c>
      <c r="CE34" s="56">
        <v>42619</v>
      </c>
      <c r="CF34" s="56">
        <v>42619</v>
      </c>
      <c r="CG34" s="56">
        <v>42647</v>
      </c>
      <c r="CH34" s="56"/>
      <c r="CI34" s="56"/>
      <c r="CJ34">
        <v>0</v>
      </c>
      <c r="CK34">
        <v>0</v>
      </c>
      <c r="CL34">
        <v>0</v>
      </c>
      <c r="CM34">
        <v>0</v>
      </c>
      <c r="CN34">
        <v>0</v>
      </c>
      <c r="CO34">
        <v>0</v>
      </c>
      <c r="CP34">
        <v>0.65</v>
      </c>
      <c r="CQ34" t="s">
        <v>1378</v>
      </c>
      <c r="CR34" t="s">
        <v>1377</v>
      </c>
      <c r="CS34" t="s">
        <v>1451</v>
      </c>
      <c r="CT34" t="s">
        <v>1724</v>
      </c>
      <c r="CU34" t="s">
        <v>1742</v>
      </c>
      <c r="CV34" t="s">
        <v>2123</v>
      </c>
      <c r="DB34" t="s">
        <v>2111</v>
      </c>
      <c r="DE34" t="s">
        <v>1724</v>
      </c>
    </row>
    <row r="35" spans="1:109" x14ac:dyDescent="0.25">
      <c r="A35" t="s">
        <v>1378</v>
      </c>
      <c r="B35">
        <v>1</v>
      </c>
      <c r="C35" s="56">
        <v>42640</v>
      </c>
      <c r="D35" t="s">
        <v>1449</v>
      </c>
      <c r="E35" t="s">
        <v>1812</v>
      </c>
      <c r="G35" t="s">
        <v>1144</v>
      </c>
      <c r="H35" t="s">
        <v>1144</v>
      </c>
      <c r="I35" t="s">
        <v>1144</v>
      </c>
      <c r="J35" t="s">
        <v>1144</v>
      </c>
      <c r="K35" t="s">
        <v>1144</v>
      </c>
      <c r="L35">
        <v>755.71</v>
      </c>
      <c r="M35">
        <v>1637.27</v>
      </c>
      <c r="N35">
        <v>0</v>
      </c>
      <c r="O35" s="56"/>
      <c r="P35" s="56"/>
      <c r="Q35">
        <v>13718</v>
      </c>
      <c r="R35">
        <v>9</v>
      </c>
      <c r="S35">
        <v>4</v>
      </c>
      <c r="T35">
        <v>2</v>
      </c>
      <c r="U35">
        <v>2</v>
      </c>
      <c r="V35">
        <v>1</v>
      </c>
      <c r="X35" t="s">
        <v>2385</v>
      </c>
      <c r="AA35">
        <v>0.04</v>
      </c>
      <c r="AB35">
        <v>1</v>
      </c>
      <c r="AC35">
        <v>18.75</v>
      </c>
      <c r="AD35">
        <v>25</v>
      </c>
      <c r="AE35">
        <v>0</v>
      </c>
      <c r="AF35">
        <v>0</v>
      </c>
      <c r="AG35">
        <v>0</v>
      </c>
      <c r="AJ35" s="56">
        <v>42666</v>
      </c>
      <c r="AK35" s="56"/>
      <c r="AL35" s="56"/>
      <c r="AM35">
        <v>5</v>
      </c>
      <c r="AP35" t="s">
        <v>1450</v>
      </c>
      <c r="AS35" t="s">
        <v>1152</v>
      </c>
      <c r="AT35">
        <v>1</v>
      </c>
      <c r="AV35">
        <v>3</v>
      </c>
      <c r="AW35">
        <v>2</v>
      </c>
      <c r="AX35">
        <v>1</v>
      </c>
      <c r="AY35" t="s">
        <v>1147</v>
      </c>
      <c r="AZ35" t="s">
        <v>1147</v>
      </c>
      <c r="BA35">
        <v>5</v>
      </c>
      <c r="BD35">
        <v>1000000000</v>
      </c>
      <c r="BE35">
        <v>4</v>
      </c>
      <c r="BF35">
        <v>-0.33</v>
      </c>
      <c r="BG35">
        <v>0</v>
      </c>
      <c r="BH35">
        <v>0</v>
      </c>
      <c r="BI35">
        <v>0</v>
      </c>
      <c r="BJ35">
        <v>0</v>
      </c>
      <c r="BK35">
        <v>0</v>
      </c>
      <c r="BL35">
        <v>0</v>
      </c>
      <c r="BM35">
        <v>4</v>
      </c>
      <c r="BN35">
        <v>-0.33</v>
      </c>
      <c r="BO35">
        <v>0</v>
      </c>
      <c r="BP35">
        <v>0</v>
      </c>
      <c r="BR35">
        <v>0</v>
      </c>
      <c r="BS35">
        <v>2</v>
      </c>
      <c r="BX35">
        <v>0</v>
      </c>
      <c r="BY35">
        <v>755.71</v>
      </c>
      <c r="BZ35">
        <v>0</v>
      </c>
      <c r="CA35">
        <v>14</v>
      </c>
      <c r="CC35">
        <v>1</v>
      </c>
      <c r="CD35" s="56">
        <v>42619</v>
      </c>
      <c r="CE35" s="56">
        <v>42619</v>
      </c>
      <c r="CF35" s="56">
        <v>42619</v>
      </c>
      <c r="CG35" s="56">
        <v>42647</v>
      </c>
      <c r="CH35" s="56"/>
      <c r="CI35" s="56"/>
      <c r="CJ35">
        <v>0</v>
      </c>
      <c r="CK35">
        <v>0</v>
      </c>
      <c r="CL35">
        <v>0</v>
      </c>
      <c r="CM35">
        <v>0</v>
      </c>
      <c r="CN35">
        <v>0</v>
      </c>
      <c r="CO35">
        <v>0</v>
      </c>
      <c r="CP35">
        <v>0.65</v>
      </c>
      <c r="CQ35" t="s">
        <v>1378</v>
      </c>
      <c r="CR35" t="s">
        <v>1377</v>
      </c>
      <c r="CS35" t="s">
        <v>1451</v>
      </c>
      <c r="CT35" t="s">
        <v>1724</v>
      </c>
      <c r="CU35" t="s">
        <v>1742</v>
      </c>
      <c r="CV35" t="s">
        <v>1813</v>
      </c>
      <c r="DB35" t="s">
        <v>1783</v>
      </c>
      <c r="DE35" t="s">
        <v>1724</v>
      </c>
    </row>
    <row r="36" spans="1:109" x14ac:dyDescent="0.25">
      <c r="A36" t="s">
        <v>1378</v>
      </c>
      <c r="B36">
        <v>1</v>
      </c>
      <c r="C36" s="56">
        <v>42640</v>
      </c>
      <c r="D36" t="s">
        <v>1449</v>
      </c>
      <c r="E36" t="s">
        <v>2166</v>
      </c>
      <c r="G36" t="s">
        <v>1144</v>
      </c>
      <c r="H36" t="s">
        <v>1144</v>
      </c>
      <c r="I36" t="s">
        <v>1144</v>
      </c>
      <c r="J36" t="s">
        <v>1144</v>
      </c>
      <c r="K36" t="s">
        <v>1144</v>
      </c>
      <c r="L36">
        <v>298.14999999999998</v>
      </c>
      <c r="M36">
        <v>2</v>
      </c>
      <c r="N36">
        <v>0</v>
      </c>
      <c r="O36" s="56"/>
      <c r="P36" s="56"/>
      <c r="Q36">
        <v>13718</v>
      </c>
      <c r="R36">
        <v>9</v>
      </c>
      <c r="S36">
        <v>4</v>
      </c>
      <c r="T36">
        <v>2</v>
      </c>
      <c r="U36">
        <v>2</v>
      </c>
      <c r="V36">
        <v>1</v>
      </c>
      <c r="X36" t="s">
        <v>2385</v>
      </c>
      <c r="AA36">
        <v>0</v>
      </c>
      <c r="AB36">
        <v>0</v>
      </c>
      <c r="AC36">
        <v>0</v>
      </c>
      <c r="AD36">
        <v>0</v>
      </c>
      <c r="AE36">
        <v>0</v>
      </c>
      <c r="AF36">
        <v>0</v>
      </c>
      <c r="AG36">
        <v>0</v>
      </c>
      <c r="AJ36" s="56"/>
      <c r="AK36" s="56">
        <v>42369</v>
      </c>
      <c r="AL36" s="56"/>
      <c r="AM36">
        <v>1</v>
      </c>
      <c r="AP36" t="s">
        <v>1450</v>
      </c>
      <c r="AS36" t="s">
        <v>1152</v>
      </c>
      <c r="AT36">
        <v>1</v>
      </c>
      <c r="AV36">
        <v>1</v>
      </c>
      <c r="AW36">
        <v>1</v>
      </c>
      <c r="AX36">
        <v>0.5</v>
      </c>
      <c r="AY36" t="s">
        <v>1147</v>
      </c>
      <c r="AZ36" t="s">
        <v>1147</v>
      </c>
      <c r="BA36">
        <v>2</v>
      </c>
      <c r="BD36">
        <v>1000000000</v>
      </c>
      <c r="BE36">
        <v>3</v>
      </c>
      <c r="BF36">
        <v>-2</v>
      </c>
      <c r="BG36">
        <v>0</v>
      </c>
      <c r="BH36">
        <v>0</v>
      </c>
      <c r="BI36">
        <v>0</v>
      </c>
      <c r="BJ36">
        <v>0</v>
      </c>
      <c r="BK36">
        <v>0</v>
      </c>
      <c r="BL36">
        <v>0</v>
      </c>
      <c r="BM36">
        <v>3</v>
      </c>
      <c r="BN36">
        <v>-2</v>
      </c>
      <c r="BO36">
        <v>0</v>
      </c>
      <c r="BP36">
        <v>0</v>
      </c>
      <c r="BR36">
        <v>0</v>
      </c>
      <c r="BS36">
        <v>1</v>
      </c>
      <c r="BX36">
        <v>0</v>
      </c>
      <c r="BY36">
        <v>596.29999999999995</v>
      </c>
      <c r="BZ36">
        <v>0</v>
      </c>
      <c r="CA36">
        <v>-11.92</v>
      </c>
      <c r="CC36">
        <v>1</v>
      </c>
      <c r="CD36" s="56">
        <v>42619</v>
      </c>
      <c r="CE36" s="56">
        <v>42619</v>
      </c>
      <c r="CF36" s="56">
        <v>42619</v>
      </c>
      <c r="CG36" s="56">
        <v>42647</v>
      </c>
      <c r="CH36" s="56"/>
      <c r="CI36" s="56"/>
      <c r="CJ36">
        <v>0</v>
      </c>
      <c r="CK36">
        <v>0</v>
      </c>
      <c r="CL36">
        <v>0</v>
      </c>
      <c r="CM36">
        <v>0</v>
      </c>
      <c r="CN36">
        <v>0</v>
      </c>
      <c r="CO36">
        <v>0</v>
      </c>
      <c r="CP36">
        <v>0.65</v>
      </c>
      <c r="CQ36" t="s">
        <v>1378</v>
      </c>
      <c r="CR36" t="s">
        <v>1377</v>
      </c>
      <c r="CS36" t="s">
        <v>1451</v>
      </c>
      <c r="CT36" t="s">
        <v>1724</v>
      </c>
      <c r="CU36" t="s">
        <v>1742</v>
      </c>
      <c r="CV36" t="s">
        <v>2159</v>
      </c>
      <c r="DB36" t="s">
        <v>2161</v>
      </c>
      <c r="DE36" t="s">
        <v>1724</v>
      </c>
    </row>
    <row r="37" spans="1:109" x14ac:dyDescent="0.25">
      <c r="A37" t="s">
        <v>1378</v>
      </c>
      <c r="B37">
        <v>1</v>
      </c>
      <c r="C37" s="56">
        <v>42640</v>
      </c>
      <c r="D37" t="s">
        <v>1449</v>
      </c>
      <c r="E37" t="s">
        <v>1858</v>
      </c>
      <c r="G37" t="s">
        <v>1144</v>
      </c>
      <c r="H37" t="s">
        <v>1144</v>
      </c>
      <c r="I37" t="s">
        <v>1144</v>
      </c>
      <c r="J37" t="s">
        <v>1144</v>
      </c>
      <c r="K37" t="s">
        <v>1144</v>
      </c>
      <c r="L37">
        <v>635.24</v>
      </c>
      <c r="M37">
        <v>1059.4100000000001</v>
      </c>
      <c r="N37">
        <v>0</v>
      </c>
      <c r="O37" s="56"/>
      <c r="P37" s="56"/>
      <c r="Q37">
        <v>13718</v>
      </c>
      <c r="R37">
        <v>9</v>
      </c>
      <c r="S37">
        <v>4</v>
      </c>
      <c r="T37">
        <v>2</v>
      </c>
      <c r="U37">
        <v>2</v>
      </c>
      <c r="V37">
        <v>1</v>
      </c>
      <c r="W37" t="s">
        <v>2379</v>
      </c>
      <c r="X37" t="s">
        <v>2386</v>
      </c>
      <c r="AA37">
        <v>0</v>
      </c>
      <c r="AB37">
        <v>0</v>
      </c>
      <c r="AC37">
        <v>0</v>
      </c>
      <c r="AD37">
        <v>0</v>
      </c>
      <c r="AE37">
        <v>0</v>
      </c>
      <c r="AF37">
        <v>0</v>
      </c>
      <c r="AG37">
        <v>0</v>
      </c>
      <c r="AJ37" s="56"/>
      <c r="AK37" s="56">
        <v>42369</v>
      </c>
      <c r="AL37" s="56"/>
      <c r="AM37">
        <v>3</v>
      </c>
      <c r="AP37" t="s">
        <v>1450</v>
      </c>
      <c r="AS37" t="s">
        <v>1152</v>
      </c>
      <c r="AT37">
        <v>1</v>
      </c>
      <c r="AV37">
        <v>3</v>
      </c>
      <c r="AW37">
        <v>2</v>
      </c>
      <c r="AX37">
        <v>1</v>
      </c>
      <c r="AY37" t="s">
        <v>1148</v>
      </c>
      <c r="AZ37" t="s">
        <v>1148</v>
      </c>
      <c r="BA37">
        <v>3</v>
      </c>
      <c r="BD37">
        <v>1000000000</v>
      </c>
      <c r="BE37">
        <v>3</v>
      </c>
      <c r="BF37">
        <v>0</v>
      </c>
      <c r="BG37">
        <v>0</v>
      </c>
      <c r="BH37">
        <v>0</v>
      </c>
      <c r="BI37">
        <v>0</v>
      </c>
      <c r="BJ37">
        <v>0</v>
      </c>
      <c r="BK37">
        <v>0</v>
      </c>
      <c r="BL37">
        <v>0</v>
      </c>
      <c r="BM37">
        <v>3</v>
      </c>
      <c r="BN37">
        <v>0</v>
      </c>
      <c r="BO37">
        <v>0</v>
      </c>
      <c r="BP37">
        <v>0</v>
      </c>
      <c r="BR37">
        <v>0</v>
      </c>
      <c r="BS37">
        <v>2</v>
      </c>
      <c r="BX37">
        <v>0</v>
      </c>
      <c r="BY37">
        <v>0</v>
      </c>
      <c r="BZ37">
        <v>0</v>
      </c>
      <c r="CA37">
        <v>8.01</v>
      </c>
      <c r="CC37">
        <v>1</v>
      </c>
      <c r="CD37" s="56">
        <v>42593</v>
      </c>
      <c r="CE37" s="56">
        <v>42612</v>
      </c>
      <c r="CF37" s="56">
        <v>42612</v>
      </c>
      <c r="CG37" s="56">
        <v>42640</v>
      </c>
      <c r="CH37" s="56"/>
      <c r="CI37" s="56"/>
      <c r="CJ37">
        <v>0</v>
      </c>
      <c r="CK37">
        <v>0</v>
      </c>
      <c r="CL37">
        <v>0</v>
      </c>
      <c r="CM37">
        <v>0</v>
      </c>
      <c r="CN37">
        <v>0</v>
      </c>
      <c r="CO37">
        <v>0.71</v>
      </c>
      <c r="CP37">
        <v>0</v>
      </c>
      <c r="CQ37" t="s">
        <v>1378</v>
      </c>
      <c r="CR37" t="s">
        <v>1377</v>
      </c>
      <c r="CS37" t="s">
        <v>1451</v>
      </c>
      <c r="CT37" t="s">
        <v>1724</v>
      </c>
      <c r="CU37" t="s">
        <v>1742</v>
      </c>
      <c r="CV37" t="s">
        <v>1859</v>
      </c>
      <c r="DB37" t="s">
        <v>1847</v>
      </c>
      <c r="DE37" t="s">
        <v>1724</v>
      </c>
    </row>
    <row r="38" spans="1:109" x14ac:dyDescent="0.25">
      <c r="A38" t="s">
        <v>1378</v>
      </c>
      <c r="B38">
        <v>1</v>
      </c>
      <c r="C38" s="56">
        <v>42640</v>
      </c>
      <c r="D38" t="s">
        <v>1449</v>
      </c>
      <c r="E38" t="s">
        <v>2209</v>
      </c>
      <c r="G38" t="s">
        <v>1144</v>
      </c>
      <c r="H38" t="s">
        <v>1144</v>
      </c>
      <c r="I38" t="s">
        <v>1144</v>
      </c>
      <c r="J38" t="s">
        <v>1144</v>
      </c>
      <c r="K38" t="s">
        <v>1144</v>
      </c>
      <c r="L38">
        <v>431.81</v>
      </c>
      <c r="M38">
        <v>2</v>
      </c>
      <c r="N38">
        <v>0</v>
      </c>
      <c r="O38" s="56"/>
      <c r="P38" s="56"/>
      <c r="Q38">
        <v>13718</v>
      </c>
      <c r="R38">
        <v>9</v>
      </c>
      <c r="S38">
        <v>4</v>
      </c>
      <c r="T38">
        <v>2</v>
      </c>
      <c r="U38">
        <v>2</v>
      </c>
      <c r="V38">
        <v>1</v>
      </c>
      <c r="X38" t="s">
        <v>2386</v>
      </c>
      <c r="AA38">
        <v>0</v>
      </c>
      <c r="AB38">
        <v>0</v>
      </c>
      <c r="AC38">
        <v>0</v>
      </c>
      <c r="AD38">
        <v>0</v>
      </c>
      <c r="AE38">
        <v>0</v>
      </c>
      <c r="AF38">
        <v>0</v>
      </c>
      <c r="AG38">
        <v>0</v>
      </c>
      <c r="AJ38" s="56"/>
      <c r="AK38" s="56"/>
      <c r="AL38" s="56"/>
      <c r="AM38">
        <v>1</v>
      </c>
      <c r="AP38" t="s">
        <v>1450</v>
      </c>
      <c r="AS38" t="s">
        <v>1152</v>
      </c>
      <c r="AT38">
        <v>1</v>
      </c>
      <c r="AV38">
        <v>1</v>
      </c>
      <c r="AW38">
        <v>1</v>
      </c>
      <c r="AX38">
        <v>0.5</v>
      </c>
      <c r="AY38" t="s">
        <v>1147</v>
      </c>
      <c r="AZ38" t="s">
        <v>1147</v>
      </c>
      <c r="BA38">
        <v>1</v>
      </c>
      <c r="BD38">
        <v>1000000000</v>
      </c>
      <c r="BE38">
        <v>2</v>
      </c>
      <c r="BF38">
        <v>-1</v>
      </c>
      <c r="BG38">
        <v>0</v>
      </c>
      <c r="BH38">
        <v>0</v>
      </c>
      <c r="BI38">
        <v>0</v>
      </c>
      <c r="BJ38">
        <v>0</v>
      </c>
      <c r="BK38">
        <v>0</v>
      </c>
      <c r="BL38">
        <v>0</v>
      </c>
      <c r="BM38">
        <v>2</v>
      </c>
      <c r="BN38">
        <v>-1</v>
      </c>
      <c r="BO38">
        <v>0</v>
      </c>
      <c r="BP38">
        <v>0</v>
      </c>
      <c r="BR38">
        <v>0</v>
      </c>
      <c r="BS38">
        <v>1</v>
      </c>
      <c r="BX38">
        <v>0</v>
      </c>
      <c r="BY38">
        <v>431.81</v>
      </c>
      <c r="BZ38">
        <v>0</v>
      </c>
      <c r="CA38">
        <v>-11.94</v>
      </c>
      <c r="CC38">
        <v>1</v>
      </c>
      <c r="CD38" s="56">
        <v>42593</v>
      </c>
      <c r="CE38" s="56">
        <v>42612</v>
      </c>
      <c r="CF38" s="56">
        <v>42612</v>
      </c>
      <c r="CG38" s="56">
        <v>42640</v>
      </c>
      <c r="CH38" s="56"/>
      <c r="CI38" s="56"/>
      <c r="CJ38">
        <v>0</v>
      </c>
      <c r="CK38">
        <v>0</v>
      </c>
      <c r="CL38">
        <v>0</v>
      </c>
      <c r="CM38">
        <v>0</v>
      </c>
      <c r="CN38">
        <v>0</v>
      </c>
      <c r="CO38">
        <v>0</v>
      </c>
      <c r="CP38">
        <v>0.71</v>
      </c>
      <c r="CQ38" t="s">
        <v>1378</v>
      </c>
      <c r="CR38" t="s">
        <v>1377</v>
      </c>
      <c r="CS38" t="s">
        <v>1451</v>
      </c>
      <c r="CT38" t="s">
        <v>1724</v>
      </c>
      <c r="CU38" t="s">
        <v>1742</v>
      </c>
      <c r="CV38" t="s">
        <v>2210</v>
      </c>
      <c r="DB38" t="s">
        <v>2161</v>
      </c>
      <c r="DE38" t="s">
        <v>1724</v>
      </c>
    </row>
    <row r="39" spans="1:109" x14ac:dyDescent="0.25">
      <c r="A39" t="s">
        <v>1378</v>
      </c>
      <c r="B39">
        <v>1</v>
      </c>
      <c r="C39" s="56">
        <v>42640</v>
      </c>
      <c r="D39" t="s">
        <v>1449</v>
      </c>
      <c r="E39" t="s">
        <v>1403</v>
      </c>
      <c r="G39" t="s">
        <v>1144</v>
      </c>
      <c r="H39" t="s">
        <v>1144</v>
      </c>
      <c r="I39" t="s">
        <v>1144</v>
      </c>
      <c r="J39" t="s">
        <v>1144</v>
      </c>
      <c r="K39" t="s">
        <v>1144</v>
      </c>
      <c r="L39">
        <v>96.9</v>
      </c>
      <c r="M39">
        <v>230.18</v>
      </c>
      <c r="N39">
        <v>0</v>
      </c>
      <c r="O39" s="56"/>
      <c r="P39" s="56"/>
      <c r="Q39">
        <v>13718</v>
      </c>
      <c r="R39">
        <v>9</v>
      </c>
      <c r="S39">
        <v>4</v>
      </c>
      <c r="T39">
        <v>2</v>
      </c>
      <c r="U39">
        <v>2</v>
      </c>
      <c r="V39">
        <v>1</v>
      </c>
      <c r="W39" t="s">
        <v>2379</v>
      </c>
      <c r="X39" t="s">
        <v>2386</v>
      </c>
      <c r="AA39">
        <v>0.04</v>
      </c>
      <c r="AB39">
        <v>1</v>
      </c>
      <c r="AC39">
        <v>12.5</v>
      </c>
      <c r="AD39">
        <v>6.25</v>
      </c>
      <c r="AE39">
        <v>0</v>
      </c>
      <c r="AF39">
        <v>0</v>
      </c>
      <c r="AG39">
        <v>0</v>
      </c>
      <c r="AJ39" s="56"/>
      <c r="AK39" s="56">
        <v>42369</v>
      </c>
      <c r="AL39" s="56">
        <v>42656</v>
      </c>
      <c r="AM39">
        <v>2</v>
      </c>
      <c r="AP39" t="s">
        <v>1450</v>
      </c>
      <c r="AS39" t="s">
        <v>1152</v>
      </c>
      <c r="AT39">
        <v>1</v>
      </c>
      <c r="AV39">
        <v>2</v>
      </c>
      <c r="AW39">
        <v>2</v>
      </c>
      <c r="AX39">
        <v>1</v>
      </c>
      <c r="AY39" t="s">
        <v>1146</v>
      </c>
      <c r="AZ39" t="s">
        <v>1146</v>
      </c>
      <c r="BA39">
        <v>2</v>
      </c>
      <c r="BD39">
        <v>1000000000</v>
      </c>
      <c r="BE39">
        <v>1</v>
      </c>
      <c r="BF39">
        <v>0.5</v>
      </c>
      <c r="BG39">
        <v>0</v>
      </c>
      <c r="BH39">
        <v>0</v>
      </c>
      <c r="BI39">
        <v>0</v>
      </c>
      <c r="BJ39">
        <v>0</v>
      </c>
      <c r="BK39">
        <v>0</v>
      </c>
      <c r="BL39">
        <v>0</v>
      </c>
      <c r="BM39">
        <v>1</v>
      </c>
      <c r="BN39">
        <v>0.5</v>
      </c>
      <c r="BO39">
        <v>0</v>
      </c>
      <c r="BP39">
        <v>0</v>
      </c>
      <c r="BR39">
        <v>1</v>
      </c>
      <c r="BS39">
        <v>1</v>
      </c>
      <c r="BX39">
        <v>0</v>
      </c>
      <c r="BY39">
        <v>0</v>
      </c>
      <c r="BZ39">
        <v>0</v>
      </c>
      <c r="CA39">
        <v>16.510000000000002</v>
      </c>
      <c r="CC39">
        <v>1</v>
      </c>
      <c r="CD39" s="56">
        <v>42593</v>
      </c>
      <c r="CE39" s="56">
        <v>42612</v>
      </c>
      <c r="CF39" s="56">
        <v>42612</v>
      </c>
      <c r="CG39" s="56">
        <v>42640</v>
      </c>
      <c r="CH39" s="56"/>
      <c r="CI39" s="56"/>
      <c r="CJ39">
        <v>0</v>
      </c>
      <c r="CK39">
        <v>1</v>
      </c>
      <c r="CL39">
        <v>0</v>
      </c>
      <c r="CM39">
        <v>0.71</v>
      </c>
      <c r="CN39">
        <v>0</v>
      </c>
      <c r="CO39">
        <v>0</v>
      </c>
      <c r="CP39">
        <v>0</v>
      </c>
      <c r="CQ39" t="s">
        <v>1378</v>
      </c>
      <c r="CR39" t="s">
        <v>1377</v>
      </c>
      <c r="CS39" t="s">
        <v>1451</v>
      </c>
      <c r="CT39" t="s">
        <v>1724</v>
      </c>
      <c r="CU39" t="s">
        <v>1742</v>
      </c>
      <c r="CV39" t="s">
        <v>1908</v>
      </c>
      <c r="DB39" t="s">
        <v>1869</v>
      </c>
      <c r="DE39" t="s">
        <v>1724</v>
      </c>
    </row>
    <row r="40" spans="1:109" x14ac:dyDescent="0.25">
      <c r="A40" t="s">
        <v>1378</v>
      </c>
      <c r="B40">
        <v>1</v>
      </c>
      <c r="C40" s="56">
        <v>42640</v>
      </c>
      <c r="D40" t="s">
        <v>1449</v>
      </c>
      <c r="E40" t="s">
        <v>2256</v>
      </c>
      <c r="G40" t="s">
        <v>1144</v>
      </c>
      <c r="H40" t="s">
        <v>1144</v>
      </c>
      <c r="I40" t="s">
        <v>1144</v>
      </c>
      <c r="J40" t="s">
        <v>1144</v>
      </c>
      <c r="K40" t="s">
        <v>1144</v>
      </c>
      <c r="L40">
        <v>472.43</v>
      </c>
      <c r="M40">
        <v>2</v>
      </c>
      <c r="N40">
        <v>0</v>
      </c>
      <c r="O40" s="56"/>
      <c r="P40" s="56"/>
      <c r="Q40">
        <v>13718</v>
      </c>
      <c r="R40">
        <v>9</v>
      </c>
      <c r="S40">
        <v>4</v>
      </c>
      <c r="T40">
        <v>2</v>
      </c>
      <c r="U40">
        <v>2</v>
      </c>
      <c r="V40">
        <v>1</v>
      </c>
      <c r="W40" t="s">
        <v>2379</v>
      </c>
      <c r="X40" t="s">
        <v>2386</v>
      </c>
      <c r="AA40">
        <v>0</v>
      </c>
      <c r="AB40">
        <v>0</v>
      </c>
      <c r="AC40">
        <v>0</v>
      </c>
      <c r="AD40">
        <v>0</v>
      </c>
      <c r="AE40">
        <v>0</v>
      </c>
      <c r="AF40">
        <v>0</v>
      </c>
      <c r="AG40">
        <v>0</v>
      </c>
      <c r="AJ40" s="56"/>
      <c r="AK40" s="56">
        <v>42369</v>
      </c>
      <c r="AL40" s="56"/>
      <c r="AM40">
        <v>1</v>
      </c>
      <c r="AP40" t="s">
        <v>1450</v>
      </c>
      <c r="AS40" t="s">
        <v>1152</v>
      </c>
      <c r="AT40">
        <v>1</v>
      </c>
      <c r="AV40">
        <v>1</v>
      </c>
      <c r="AW40">
        <v>1</v>
      </c>
      <c r="AX40">
        <v>0.5</v>
      </c>
      <c r="AY40" t="s">
        <v>1145</v>
      </c>
      <c r="AZ40" t="s">
        <v>1145</v>
      </c>
      <c r="BA40">
        <v>1</v>
      </c>
      <c r="BD40">
        <v>1000000000</v>
      </c>
      <c r="BE40">
        <v>1</v>
      </c>
      <c r="BF40">
        <v>0</v>
      </c>
      <c r="BG40">
        <v>0</v>
      </c>
      <c r="BH40">
        <v>0</v>
      </c>
      <c r="BI40">
        <v>0</v>
      </c>
      <c r="BJ40">
        <v>0</v>
      </c>
      <c r="BK40">
        <v>0</v>
      </c>
      <c r="BL40">
        <v>0</v>
      </c>
      <c r="BM40">
        <v>1</v>
      </c>
      <c r="BN40">
        <v>0</v>
      </c>
      <c r="BO40">
        <v>0</v>
      </c>
      <c r="BP40">
        <v>0</v>
      </c>
      <c r="BR40">
        <v>0</v>
      </c>
      <c r="BS40">
        <v>1</v>
      </c>
      <c r="BX40">
        <v>0</v>
      </c>
      <c r="BY40">
        <v>0</v>
      </c>
      <c r="BZ40">
        <v>0</v>
      </c>
      <c r="CA40">
        <v>-11.95</v>
      </c>
      <c r="CC40">
        <v>1</v>
      </c>
      <c r="CD40" s="56">
        <v>42593</v>
      </c>
      <c r="CE40" s="56">
        <v>42612</v>
      </c>
      <c r="CF40" s="56">
        <v>42612</v>
      </c>
      <c r="CG40" s="56">
        <v>42640</v>
      </c>
      <c r="CH40" s="56"/>
      <c r="CI40" s="56"/>
      <c r="CJ40">
        <v>0</v>
      </c>
      <c r="CK40">
        <v>0</v>
      </c>
      <c r="CL40">
        <v>0</v>
      </c>
      <c r="CM40">
        <v>0</v>
      </c>
      <c r="CN40">
        <v>0.71</v>
      </c>
      <c r="CO40">
        <v>0</v>
      </c>
      <c r="CP40">
        <v>0</v>
      </c>
      <c r="CQ40" t="s">
        <v>1378</v>
      </c>
      <c r="CR40" t="s">
        <v>1377</v>
      </c>
      <c r="CS40" t="s">
        <v>1451</v>
      </c>
      <c r="CT40" t="s">
        <v>1724</v>
      </c>
      <c r="CU40" t="s">
        <v>1742</v>
      </c>
      <c r="CV40" t="s">
        <v>2257</v>
      </c>
      <c r="DB40" t="s">
        <v>2134</v>
      </c>
      <c r="DE40" t="s">
        <v>1724</v>
      </c>
    </row>
    <row r="41" spans="1:109" x14ac:dyDescent="0.25">
      <c r="A41" t="s">
        <v>1378</v>
      </c>
      <c r="B41">
        <v>1</v>
      </c>
      <c r="C41" s="56">
        <v>42640</v>
      </c>
      <c r="D41" t="s">
        <v>1449</v>
      </c>
      <c r="E41" t="s">
        <v>1414</v>
      </c>
      <c r="G41" t="s">
        <v>1144</v>
      </c>
      <c r="H41" t="s">
        <v>1144</v>
      </c>
      <c r="I41" t="s">
        <v>1144</v>
      </c>
      <c r="J41" t="s">
        <v>1144</v>
      </c>
      <c r="K41" t="s">
        <v>1144</v>
      </c>
      <c r="L41">
        <v>336.49</v>
      </c>
      <c r="M41">
        <v>1020.89</v>
      </c>
      <c r="N41">
        <v>0</v>
      </c>
      <c r="O41" s="56"/>
      <c r="P41" s="56"/>
      <c r="Q41">
        <v>13718</v>
      </c>
      <c r="R41">
        <v>9</v>
      </c>
      <c r="S41">
        <v>4</v>
      </c>
      <c r="T41">
        <v>2</v>
      </c>
      <c r="U41">
        <v>2</v>
      </c>
      <c r="V41">
        <v>1</v>
      </c>
      <c r="X41" t="s">
        <v>2385</v>
      </c>
      <c r="AA41">
        <v>0.08</v>
      </c>
      <c r="AB41">
        <v>1</v>
      </c>
      <c r="AC41">
        <v>6.25</v>
      </c>
      <c r="AD41">
        <v>9.3800000000000008</v>
      </c>
      <c r="AE41">
        <v>0</v>
      </c>
      <c r="AF41">
        <v>0</v>
      </c>
      <c r="AG41">
        <v>0</v>
      </c>
      <c r="AJ41" s="56">
        <v>42666</v>
      </c>
      <c r="AK41" s="56"/>
      <c r="AL41" s="56"/>
      <c r="AM41">
        <v>5</v>
      </c>
      <c r="AP41" t="s">
        <v>1450</v>
      </c>
      <c r="AS41" t="s">
        <v>1152</v>
      </c>
      <c r="AT41">
        <v>1</v>
      </c>
      <c r="AV41">
        <v>2</v>
      </c>
      <c r="AW41">
        <v>2</v>
      </c>
      <c r="AX41">
        <v>1</v>
      </c>
      <c r="AY41" t="s">
        <v>1147</v>
      </c>
      <c r="AZ41" t="s">
        <v>1147</v>
      </c>
      <c r="BA41">
        <v>5</v>
      </c>
      <c r="BD41">
        <v>1000000000</v>
      </c>
      <c r="BE41">
        <v>3</v>
      </c>
      <c r="BF41">
        <v>-0.5</v>
      </c>
      <c r="BG41">
        <v>0</v>
      </c>
      <c r="BH41">
        <v>0</v>
      </c>
      <c r="BI41">
        <v>0</v>
      </c>
      <c r="BJ41">
        <v>0</v>
      </c>
      <c r="BK41">
        <v>0</v>
      </c>
      <c r="BL41">
        <v>0</v>
      </c>
      <c r="BM41">
        <v>3</v>
      </c>
      <c r="BN41">
        <v>-0.5</v>
      </c>
      <c r="BO41">
        <v>0</v>
      </c>
      <c r="BP41">
        <v>0</v>
      </c>
      <c r="BR41">
        <v>0</v>
      </c>
      <c r="BS41">
        <v>1</v>
      </c>
      <c r="BX41">
        <v>0</v>
      </c>
      <c r="BY41">
        <v>336.49</v>
      </c>
      <c r="BZ41">
        <v>0</v>
      </c>
      <c r="CA41">
        <v>24.41</v>
      </c>
      <c r="CC41">
        <v>1</v>
      </c>
      <c r="CD41" s="56">
        <v>42619</v>
      </c>
      <c r="CE41" s="56">
        <v>42619</v>
      </c>
      <c r="CF41" s="56">
        <v>42619</v>
      </c>
      <c r="CG41" s="56">
        <v>42647</v>
      </c>
      <c r="CH41" s="56"/>
      <c r="CI41" s="56"/>
      <c r="CJ41">
        <v>0</v>
      </c>
      <c r="CK41">
        <v>0</v>
      </c>
      <c r="CL41">
        <v>0</v>
      </c>
      <c r="CM41">
        <v>0</v>
      </c>
      <c r="CN41">
        <v>0</v>
      </c>
      <c r="CO41">
        <v>0</v>
      </c>
      <c r="CP41">
        <v>0.65</v>
      </c>
      <c r="CQ41" t="s">
        <v>1378</v>
      </c>
      <c r="CR41" t="s">
        <v>1377</v>
      </c>
      <c r="CS41" t="s">
        <v>1451</v>
      </c>
      <c r="CT41" t="s">
        <v>1724</v>
      </c>
      <c r="CU41" t="s">
        <v>1742</v>
      </c>
      <c r="CV41" t="s">
        <v>1969</v>
      </c>
      <c r="DB41" t="s">
        <v>1962</v>
      </c>
      <c r="DE41" t="s">
        <v>1724</v>
      </c>
    </row>
    <row r="42" spans="1:109" x14ac:dyDescent="0.25">
      <c r="A42" t="s">
        <v>1378</v>
      </c>
      <c r="B42">
        <v>1</v>
      </c>
      <c r="C42" s="56">
        <v>42640</v>
      </c>
      <c r="D42" t="s">
        <v>1449</v>
      </c>
      <c r="E42" t="s">
        <v>1441</v>
      </c>
      <c r="G42" t="s">
        <v>1144</v>
      </c>
      <c r="H42" t="s">
        <v>1144</v>
      </c>
      <c r="I42" t="s">
        <v>1144</v>
      </c>
      <c r="J42" t="s">
        <v>1144</v>
      </c>
      <c r="K42" t="s">
        <v>1144</v>
      </c>
      <c r="L42">
        <v>176.07</v>
      </c>
      <c r="M42">
        <v>2</v>
      </c>
      <c r="N42">
        <v>0</v>
      </c>
      <c r="O42" s="56"/>
      <c r="P42" s="56"/>
      <c r="Q42">
        <v>13718</v>
      </c>
      <c r="R42">
        <v>9</v>
      </c>
      <c r="S42">
        <v>4</v>
      </c>
      <c r="T42">
        <v>2</v>
      </c>
      <c r="U42">
        <v>2</v>
      </c>
      <c r="V42">
        <v>1</v>
      </c>
      <c r="W42" t="s">
        <v>2379</v>
      </c>
      <c r="X42" t="s">
        <v>2387</v>
      </c>
      <c r="AA42">
        <v>0.04</v>
      </c>
      <c r="AB42">
        <v>1</v>
      </c>
      <c r="AC42">
        <v>12.5</v>
      </c>
      <c r="AD42">
        <v>12.5</v>
      </c>
      <c r="AE42">
        <v>0</v>
      </c>
      <c r="AF42">
        <v>0</v>
      </c>
      <c r="AG42">
        <v>0</v>
      </c>
      <c r="AJ42" s="56"/>
      <c r="AK42" s="56">
        <v>42369</v>
      </c>
      <c r="AL42" s="56">
        <v>42656</v>
      </c>
      <c r="AM42">
        <v>1</v>
      </c>
      <c r="AP42" t="s">
        <v>1450</v>
      </c>
      <c r="AS42" t="s">
        <v>1152</v>
      </c>
      <c r="AT42">
        <v>1</v>
      </c>
      <c r="AV42">
        <v>2</v>
      </c>
      <c r="AW42">
        <v>2</v>
      </c>
      <c r="AX42">
        <v>1</v>
      </c>
      <c r="AY42" t="s">
        <v>1145</v>
      </c>
      <c r="AZ42" t="s">
        <v>1145</v>
      </c>
      <c r="BA42">
        <v>1</v>
      </c>
      <c r="BD42">
        <v>1000000000</v>
      </c>
      <c r="BE42">
        <v>2</v>
      </c>
      <c r="BF42">
        <v>0</v>
      </c>
      <c r="BG42">
        <v>0</v>
      </c>
      <c r="BH42">
        <v>0</v>
      </c>
      <c r="BI42">
        <v>0</v>
      </c>
      <c r="BJ42">
        <v>0</v>
      </c>
      <c r="BK42">
        <v>0</v>
      </c>
      <c r="BL42">
        <v>0</v>
      </c>
      <c r="BM42">
        <v>2</v>
      </c>
      <c r="BN42">
        <v>0</v>
      </c>
      <c r="BO42">
        <v>0</v>
      </c>
      <c r="BP42">
        <v>0</v>
      </c>
      <c r="BR42">
        <v>0</v>
      </c>
      <c r="BS42">
        <v>1</v>
      </c>
      <c r="BX42">
        <v>0</v>
      </c>
      <c r="BY42">
        <v>0</v>
      </c>
      <c r="BZ42">
        <v>0</v>
      </c>
      <c r="CA42">
        <v>-11.86</v>
      </c>
      <c r="CC42">
        <v>1</v>
      </c>
      <c r="CD42" s="56">
        <v>42592</v>
      </c>
      <c r="CE42" s="56">
        <v>42612</v>
      </c>
      <c r="CF42" s="56">
        <v>42612</v>
      </c>
      <c r="CG42" s="56">
        <v>42640</v>
      </c>
      <c r="CH42" s="56"/>
      <c r="CI42" s="56"/>
      <c r="CJ42">
        <v>0.2</v>
      </c>
      <c r="CK42">
        <v>1</v>
      </c>
      <c r="CL42">
        <v>0</v>
      </c>
      <c r="CM42">
        <v>0.11</v>
      </c>
      <c r="CN42">
        <v>0.61</v>
      </c>
      <c r="CO42">
        <v>0</v>
      </c>
      <c r="CP42">
        <v>0</v>
      </c>
      <c r="CQ42" t="s">
        <v>1378</v>
      </c>
      <c r="CR42" t="s">
        <v>1377</v>
      </c>
      <c r="CS42" t="s">
        <v>1451</v>
      </c>
      <c r="CT42" t="s">
        <v>1724</v>
      </c>
      <c r="CU42" t="s">
        <v>1742</v>
      </c>
      <c r="CV42" t="s">
        <v>2104</v>
      </c>
      <c r="DB42" t="s">
        <v>2014</v>
      </c>
      <c r="DE42" t="s">
        <v>1724</v>
      </c>
    </row>
    <row r="43" spans="1:109" x14ac:dyDescent="0.25">
      <c r="A43" t="s">
        <v>1378</v>
      </c>
      <c r="B43">
        <v>1</v>
      </c>
      <c r="C43" s="56">
        <v>42640</v>
      </c>
      <c r="D43" t="s">
        <v>1449</v>
      </c>
      <c r="E43" t="s">
        <v>1795</v>
      </c>
      <c r="G43" t="s">
        <v>1144</v>
      </c>
      <c r="H43" t="s">
        <v>1144</v>
      </c>
      <c r="I43" t="s">
        <v>1144</v>
      </c>
      <c r="J43" t="s">
        <v>1144</v>
      </c>
      <c r="K43" t="s">
        <v>1144</v>
      </c>
      <c r="L43">
        <v>915.04</v>
      </c>
      <c r="M43">
        <v>2032.14</v>
      </c>
      <c r="N43">
        <v>0</v>
      </c>
      <c r="O43" s="56"/>
      <c r="P43" s="56"/>
      <c r="Q43">
        <v>13718</v>
      </c>
      <c r="R43">
        <v>9</v>
      </c>
      <c r="S43">
        <v>4</v>
      </c>
      <c r="T43">
        <v>2</v>
      </c>
      <c r="U43">
        <v>2</v>
      </c>
      <c r="V43">
        <v>1</v>
      </c>
      <c r="X43" t="s">
        <v>2385</v>
      </c>
      <c r="AA43">
        <v>0</v>
      </c>
      <c r="AB43">
        <v>0</v>
      </c>
      <c r="AC43">
        <v>0</v>
      </c>
      <c r="AD43">
        <v>0</v>
      </c>
      <c r="AE43">
        <v>0</v>
      </c>
      <c r="AF43">
        <v>0</v>
      </c>
      <c r="AG43">
        <v>0</v>
      </c>
      <c r="AJ43" s="56"/>
      <c r="AK43" s="56">
        <v>42369</v>
      </c>
      <c r="AL43" s="56"/>
      <c r="AM43">
        <v>1</v>
      </c>
      <c r="AP43" t="s">
        <v>1450</v>
      </c>
      <c r="AS43" t="s">
        <v>1152</v>
      </c>
      <c r="AT43">
        <v>1</v>
      </c>
      <c r="AV43">
        <v>0</v>
      </c>
      <c r="AW43">
        <v>0</v>
      </c>
      <c r="AX43">
        <v>0</v>
      </c>
      <c r="AY43" t="s">
        <v>1375</v>
      </c>
      <c r="AZ43" t="s">
        <v>1375</v>
      </c>
      <c r="BA43">
        <v>2</v>
      </c>
      <c r="BD43">
        <v>1000000000</v>
      </c>
      <c r="BE43">
        <v>1</v>
      </c>
      <c r="BF43">
        <v>0</v>
      </c>
      <c r="BG43">
        <v>0</v>
      </c>
      <c r="BH43">
        <v>0</v>
      </c>
      <c r="BI43">
        <v>0</v>
      </c>
      <c r="BJ43">
        <v>0</v>
      </c>
      <c r="BK43">
        <v>0</v>
      </c>
      <c r="BL43">
        <v>0</v>
      </c>
      <c r="BM43">
        <v>1</v>
      </c>
      <c r="BN43">
        <v>0</v>
      </c>
      <c r="BO43">
        <v>0</v>
      </c>
      <c r="BP43">
        <v>0</v>
      </c>
      <c r="BR43">
        <v>0</v>
      </c>
      <c r="BS43">
        <v>0</v>
      </c>
      <c r="BX43">
        <v>0</v>
      </c>
      <c r="BY43">
        <v>0</v>
      </c>
      <c r="BZ43">
        <v>0</v>
      </c>
      <c r="CA43">
        <v>0</v>
      </c>
      <c r="CC43">
        <v>1</v>
      </c>
      <c r="CD43" s="56">
        <v>42619</v>
      </c>
      <c r="CE43" s="56">
        <v>42619</v>
      </c>
      <c r="CF43" s="56">
        <v>42619</v>
      </c>
      <c r="CG43" s="56">
        <v>42647</v>
      </c>
      <c r="CH43" s="56"/>
      <c r="CI43" s="56"/>
      <c r="CJ43">
        <v>0</v>
      </c>
      <c r="CK43">
        <v>0</v>
      </c>
      <c r="CL43">
        <v>0</v>
      </c>
      <c r="CM43">
        <v>0</v>
      </c>
      <c r="CN43">
        <v>0</v>
      </c>
      <c r="CO43">
        <v>0</v>
      </c>
      <c r="CP43">
        <v>0.65</v>
      </c>
      <c r="CQ43" t="s">
        <v>1378</v>
      </c>
      <c r="CR43" t="s">
        <v>1377</v>
      </c>
      <c r="CS43" t="s">
        <v>1451</v>
      </c>
      <c r="CT43" t="s">
        <v>1724</v>
      </c>
      <c r="CU43" t="s">
        <v>1742</v>
      </c>
      <c r="CV43" t="s">
        <v>1796</v>
      </c>
      <c r="DB43" t="s">
        <v>1794</v>
      </c>
      <c r="DE43" t="s">
        <v>1724</v>
      </c>
    </row>
    <row r="44" spans="1:109" x14ac:dyDescent="0.25">
      <c r="A44" t="s">
        <v>1378</v>
      </c>
      <c r="B44">
        <v>1</v>
      </c>
      <c r="C44" s="56">
        <v>42640</v>
      </c>
      <c r="D44" t="s">
        <v>1449</v>
      </c>
      <c r="E44" t="s">
        <v>2155</v>
      </c>
      <c r="G44" t="s">
        <v>1144</v>
      </c>
      <c r="H44" t="s">
        <v>1144</v>
      </c>
      <c r="I44" t="s">
        <v>1144</v>
      </c>
      <c r="J44" t="s">
        <v>1144</v>
      </c>
      <c r="K44" t="s">
        <v>1144</v>
      </c>
      <c r="L44">
        <v>2097.17</v>
      </c>
      <c r="M44">
        <v>2</v>
      </c>
      <c r="N44">
        <v>0</v>
      </c>
      <c r="O44" s="56"/>
      <c r="P44" s="56"/>
      <c r="Q44">
        <v>13718</v>
      </c>
      <c r="R44">
        <v>9</v>
      </c>
      <c r="S44">
        <v>4</v>
      </c>
      <c r="T44">
        <v>2</v>
      </c>
      <c r="U44">
        <v>2</v>
      </c>
      <c r="V44">
        <v>1</v>
      </c>
      <c r="X44" t="s">
        <v>2385</v>
      </c>
      <c r="AA44">
        <v>0.04</v>
      </c>
      <c r="AB44">
        <v>1</v>
      </c>
      <c r="AC44">
        <v>0</v>
      </c>
      <c r="AD44">
        <v>6.25</v>
      </c>
      <c r="AE44">
        <v>0</v>
      </c>
      <c r="AF44">
        <v>0</v>
      </c>
      <c r="AG44">
        <v>0</v>
      </c>
      <c r="AJ44" s="56"/>
      <c r="AK44" s="56"/>
      <c r="AL44" s="56"/>
      <c r="AP44" t="s">
        <v>1450</v>
      </c>
      <c r="AS44" t="s">
        <v>1152</v>
      </c>
      <c r="AT44">
        <v>1</v>
      </c>
      <c r="AV44">
        <v>0</v>
      </c>
      <c r="AW44">
        <v>0</v>
      </c>
      <c r="AX44">
        <v>0</v>
      </c>
      <c r="AY44" t="s">
        <v>1375</v>
      </c>
      <c r="AZ44" t="s">
        <v>1375</v>
      </c>
      <c r="BA44">
        <v>2</v>
      </c>
      <c r="BD44">
        <v>1000000000</v>
      </c>
      <c r="BE44">
        <v>1</v>
      </c>
      <c r="BF44">
        <v>0</v>
      </c>
      <c r="BG44">
        <v>0</v>
      </c>
      <c r="BH44">
        <v>0</v>
      </c>
      <c r="BI44">
        <v>0</v>
      </c>
      <c r="BJ44">
        <v>0</v>
      </c>
      <c r="BK44">
        <v>0</v>
      </c>
      <c r="BL44">
        <v>0</v>
      </c>
      <c r="BM44">
        <v>1</v>
      </c>
      <c r="BN44">
        <v>0</v>
      </c>
      <c r="BO44">
        <v>0</v>
      </c>
      <c r="BP44">
        <v>0</v>
      </c>
      <c r="BR44">
        <v>0</v>
      </c>
      <c r="BS44">
        <v>0</v>
      </c>
      <c r="BX44">
        <v>0</v>
      </c>
      <c r="BY44">
        <v>0</v>
      </c>
      <c r="BZ44">
        <v>0</v>
      </c>
      <c r="CA44">
        <v>0</v>
      </c>
      <c r="CC44">
        <v>1</v>
      </c>
      <c r="CD44" s="56">
        <v>42619</v>
      </c>
      <c r="CE44" s="56">
        <v>42619</v>
      </c>
      <c r="CF44" s="56">
        <v>42619</v>
      </c>
      <c r="CG44" s="56">
        <v>42647</v>
      </c>
      <c r="CH44" s="56"/>
      <c r="CI44" s="56"/>
      <c r="CJ44">
        <v>0</v>
      </c>
      <c r="CK44">
        <v>0</v>
      </c>
      <c r="CL44">
        <v>0</v>
      </c>
      <c r="CM44">
        <v>0</v>
      </c>
      <c r="CN44">
        <v>0</v>
      </c>
      <c r="CO44">
        <v>0</v>
      </c>
      <c r="CP44">
        <v>0.65</v>
      </c>
      <c r="CQ44" t="s">
        <v>1378</v>
      </c>
      <c r="CR44" t="s">
        <v>1377</v>
      </c>
      <c r="CS44" t="s">
        <v>1451</v>
      </c>
      <c r="CT44" t="s">
        <v>1724</v>
      </c>
      <c r="CU44" t="s">
        <v>1742</v>
      </c>
      <c r="CV44" t="s">
        <v>2147</v>
      </c>
      <c r="DB44" t="s">
        <v>2145</v>
      </c>
      <c r="DE44" t="s">
        <v>1724</v>
      </c>
    </row>
    <row r="45" spans="1:109" x14ac:dyDescent="0.25">
      <c r="A45" t="s">
        <v>1378</v>
      </c>
      <c r="B45">
        <v>1</v>
      </c>
      <c r="C45" s="56">
        <v>42640</v>
      </c>
      <c r="D45" t="s">
        <v>1449</v>
      </c>
      <c r="E45" t="s">
        <v>1843</v>
      </c>
      <c r="G45" t="s">
        <v>1144</v>
      </c>
      <c r="H45" t="s">
        <v>1144</v>
      </c>
      <c r="I45" t="s">
        <v>1144</v>
      </c>
      <c r="J45" t="s">
        <v>1144</v>
      </c>
      <c r="K45" t="s">
        <v>1144</v>
      </c>
      <c r="L45">
        <v>27.25</v>
      </c>
      <c r="M45">
        <v>91.5</v>
      </c>
      <c r="N45">
        <v>0</v>
      </c>
      <c r="O45" s="56"/>
      <c r="P45" s="56"/>
      <c r="Q45">
        <v>13718</v>
      </c>
      <c r="R45">
        <v>9</v>
      </c>
      <c r="S45">
        <v>4</v>
      </c>
      <c r="T45">
        <v>2</v>
      </c>
      <c r="U45">
        <v>2</v>
      </c>
      <c r="V45">
        <v>1</v>
      </c>
      <c r="X45" t="s">
        <v>2385</v>
      </c>
      <c r="AA45">
        <v>0</v>
      </c>
      <c r="AB45">
        <v>0</v>
      </c>
      <c r="AC45">
        <v>0</v>
      </c>
      <c r="AD45">
        <v>0</v>
      </c>
      <c r="AE45">
        <v>0</v>
      </c>
      <c r="AF45">
        <v>0</v>
      </c>
      <c r="AG45">
        <v>0</v>
      </c>
      <c r="AJ45" s="56"/>
      <c r="AK45" s="56">
        <v>42369</v>
      </c>
      <c r="AL45" s="56"/>
      <c r="AM45">
        <v>3</v>
      </c>
      <c r="AP45" t="s">
        <v>1450</v>
      </c>
      <c r="AS45" t="s">
        <v>1152</v>
      </c>
      <c r="AT45">
        <v>1</v>
      </c>
      <c r="AV45">
        <v>2</v>
      </c>
      <c r="AW45">
        <v>2</v>
      </c>
      <c r="AX45">
        <v>1</v>
      </c>
      <c r="AY45" t="s">
        <v>1147</v>
      </c>
      <c r="AZ45" t="s">
        <v>1147</v>
      </c>
      <c r="BA45">
        <v>3</v>
      </c>
      <c r="BD45">
        <v>1000000000</v>
      </c>
      <c r="BE45">
        <v>3</v>
      </c>
      <c r="BF45">
        <v>-0.5</v>
      </c>
      <c r="BG45">
        <v>0</v>
      </c>
      <c r="BH45">
        <v>0</v>
      </c>
      <c r="BI45">
        <v>0</v>
      </c>
      <c r="BJ45">
        <v>0</v>
      </c>
      <c r="BK45">
        <v>0</v>
      </c>
      <c r="BL45">
        <v>0</v>
      </c>
      <c r="BM45">
        <v>3</v>
      </c>
      <c r="BN45">
        <v>-0.5</v>
      </c>
      <c r="BO45">
        <v>0</v>
      </c>
      <c r="BP45">
        <v>0</v>
      </c>
      <c r="BR45">
        <v>0</v>
      </c>
      <c r="BS45">
        <v>1</v>
      </c>
      <c r="BX45">
        <v>0</v>
      </c>
      <c r="BY45">
        <v>27.25</v>
      </c>
      <c r="BZ45">
        <v>0</v>
      </c>
      <c r="CA45">
        <v>28.29</v>
      </c>
      <c r="CC45">
        <v>1</v>
      </c>
      <c r="CD45" s="56">
        <v>42619</v>
      </c>
      <c r="CE45" s="56">
        <v>42619</v>
      </c>
      <c r="CF45" s="56">
        <v>42619</v>
      </c>
      <c r="CG45" s="56">
        <v>42647</v>
      </c>
      <c r="CH45" s="56"/>
      <c r="CI45" s="56"/>
      <c r="CJ45">
        <v>0</v>
      </c>
      <c r="CK45">
        <v>0</v>
      </c>
      <c r="CL45">
        <v>0</v>
      </c>
      <c r="CM45">
        <v>0</v>
      </c>
      <c r="CN45">
        <v>0</v>
      </c>
      <c r="CO45">
        <v>0</v>
      </c>
      <c r="CP45">
        <v>0.65</v>
      </c>
      <c r="CQ45" t="s">
        <v>1378</v>
      </c>
      <c r="CR45" t="s">
        <v>1377</v>
      </c>
      <c r="CS45" t="s">
        <v>1451</v>
      </c>
      <c r="CT45" t="s">
        <v>1724</v>
      </c>
      <c r="CU45" t="s">
        <v>1742</v>
      </c>
      <c r="CV45" t="s">
        <v>1844</v>
      </c>
      <c r="DB45" t="s">
        <v>1830</v>
      </c>
      <c r="DE45" t="s">
        <v>1724</v>
      </c>
    </row>
    <row r="46" spans="1:109" x14ac:dyDescent="0.25">
      <c r="A46" t="s">
        <v>1378</v>
      </c>
      <c r="B46">
        <v>1</v>
      </c>
      <c r="C46" s="56">
        <v>42640</v>
      </c>
      <c r="D46" t="s">
        <v>1449</v>
      </c>
      <c r="E46" t="s">
        <v>2197</v>
      </c>
      <c r="G46" t="s">
        <v>1144</v>
      </c>
      <c r="H46" t="s">
        <v>1144</v>
      </c>
      <c r="I46" t="s">
        <v>1144</v>
      </c>
      <c r="J46" t="s">
        <v>1144</v>
      </c>
      <c r="K46" t="s">
        <v>1144</v>
      </c>
      <c r="L46">
        <v>450.66</v>
      </c>
      <c r="M46">
        <v>2</v>
      </c>
      <c r="N46">
        <v>0</v>
      </c>
      <c r="O46" s="56"/>
      <c r="P46" s="56"/>
      <c r="Q46">
        <v>13718</v>
      </c>
      <c r="R46">
        <v>9</v>
      </c>
      <c r="S46">
        <v>4</v>
      </c>
      <c r="T46">
        <v>2</v>
      </c>
      <c r="U46">
        <v>2</v>
      </c>
      <c r="V46">
        <v>1</v>
      </c>
      <c r="X46" t="s">
        <v>2386</v>
      </c>
      <c r="AA46">
        <v>0</v>
      </c>
      <c r="AB46">
        <v>0</v>
      </c>
      <c r="AC46">
        <v>0</v>
      </c>
      <c r="AD46">
        <v>0</v>
      </c>
      <c r="AE46">
        <v>0</v>
      </c>
      <c r="AF46">
        <v>0</v>
      </c>
      <c r="AG46">
        <v>0</v>
      </c>
      <c r="AJ46" s="56"/>
      <c r="AK46" s="56">
        <v>42369</v>
      </c>
      <c r="AL46" s="56"/>
      <c r="AM46">
        <v>1</v>
      </c>
      <c r="AP46" t="s">
        <v>1450</v>
      </c>
      <c r="AS46" t="s">
        <v>1152</v>
      </c>
      <c r="AT46">
        <v>1</v>
      </c>
      <c r="AV46">
        <v>1</v>
      </c>
      <c r="AW46">
        <v>1</v>
      </c>
      <c r="AX46">
        <v>0.5</v>
      </c>
      <c r="AY46" t="s">
        <v>1147</v>
      </c>
      <c r="AZ46" t="s">
        <v>1147</v>
      </c>
      <c r="BA46">
        <v>1</v>
      </c>
      <c r="BD46">
        <v>1000000000</v>
      </c>
      <c r="BE46">
        <v>2</v>
      </c>
      <c r="BF46">
        <v>-1</v>
      </c>
      <c r="BG46">
        <v>0</v>
      </c>
      <c r="BH46">
        <v>0</v>
      </c>
      <c r="BI46">
        <v>0</v>
      </c>
      <c r="BJ46">
        <v>0</v>
      </c>
      <c r="BK46">
        <v>0</v>
      </c>
      <c r="BL46">
        <v>0</v>
      </c>
      <c r="BM46">
        <v>2</v>
      </c>
      <c r="BN46">
        <v>-1</v>
      </c>
      <c r="BO46">
        <v>0</v>
      </c>
      <c r="BP46">
        <v>0</v>
      </c>
      <c r="BR46">
        <v>0</v>
      </c>
      <c r="BS46">
        <v>1</v>
      </c>
      <c r="BX46">
        <v>0</v>
      </c>
      <c r="BY46">
        <v>450.66</v>
      </c>
      <c r="BZ46">
        <v>0</v>
      </c>
      <c r="CA46">
        <v>-11.95</v>
      </c>
      <c r="CC46">
        <v>1</v>
      </c>
      <c r="CD46" s="56">
        <v>42593</v>
      </c>
      <c r="CE46" s="56">
        <v>42612</v>
      </c>
      <c r="CF46" s="56">
        <v>42612</v>
      </c>
      <c r="CG46" s="56">
        <v>42640</v>
      </c>
      <c r="CH46" s="56"/>
      <c r="CI46" s="56"/>
      <c r="CJ46">
        <v>0</v>
      </c>
      <c r="CK46">
        <v>0</v>
      </c>
      <c r="CL46">
        <v>0</v>
      </c>
      <c r="CM46">
        <v>0</v>
      </c>
      <c r="CN46">
        <v>0</v>
      </c>
      <c r="CO46">
        <v>0</v>
      </c>
      <c r="CP46">
        <v>0.71</v>
      </c>
      <c r="CQ46" t="s">
        <v>1378</v>
      </c>
      <c r="CR46" t="s">
        <v>1377</v>
      </c>
      <c r="CS46" t="s">
        <v>1451</v>
      </c>
      <c r="CT46" t="s">
        <v>1724</v>
      </c>
      <c r="CU46" t="s">
        <v>1742</v>
      </c>
      <c r="CV46" t="s">
        <v>2196</v>
      </c>
      <c r="DB46" t="s">
        <v>2161</v>
      </c>
      <c r="DE46" t="s">
        <v>1724</v>
      </c>
    </row>
    <row r="47" spans="1:109" x14ac:dyDescent="0.25">
      <c r="A47" t="s">
        <v>1378</v>
      </c>
      <c r="B47">
        <v>1</v>
      </c>
      <c r="C47" s="56">
        <v>42640</v>
      </c>
      <c r="D47" t="s">
        <v>1449</v>
      </c>
      <c r="E47" t="s">
        <v>1400</v>
      </c>
      <c r="G47" t="s">
        <v>1144</v>
      </c>
      <c r="H47" t="s">
        <v>1144</v>
      </c>
      <c r="I47" t="s">
        <v>1144</v>
      </c>
      <c r="J47" t="s">
        <v>1144</v>
      </c>
      <c r="K47" t="s">
        <v>1144</v>
      </c>
      <c r="L47">
        <v>372.37</v>
      </c>
      <c r="M47">
        <v>717.51</v>
      </c>
      <c r="N47">
        <v>0</v>
      </c>
      <c r="O47" s="56"/>
      <c r="P47" s="56"/>
      <c r="Q47">
        <v>13718</v>
      </c>
      <c r="R47">
        <v>9</v>
      </c>
      <c r="S47">
        <v>4</v>
      </c>
      <c r="T47">
        <v>2</v>
      </c>
      <c r="U47">
        <v>2</v>
      </c>
      <c r="V47">
        <v>1</v>
      </c>
      <c r="X47" t="s">
        <v>2385</v>
      </c>
      <c r="AA47">
        <v>0.2</v>
      </c>
      <c r="AB47">
        <v>2</v>
      </c>
      <c r="AC47">
        <v>6.25</v>
      </c>
      <c r="AD47">
        <v>15</v>
      </c>
      <c r="AE47">
        <v>0</v>
      </c>
      <c r="AF47">
        <v>0</v>
      </c>
      <c r="AG47">
        <v>0</v>
      </c>
      <c r="AJ47" s="56"/>
      <c r="AK47" s="56"/>
      <c r="AL47" s="56"/>
      <c r="AM47">
        <v>7</v>
      </c>
      <c r="AP47" t="s">
        <v>1450</v>
      </c>
      <c r="AS47" t="s">
        <v>1152</v>
      </c>
      <c r="AT47">
        <v>1</v>
      </c>
      <c r="AV47">
        <v>5</v>
      </c>
      <c r="AW47">
        <v>3</v>
      </c>
      <c r="AX47">
        <v>2</v>
      </c>
      <c r="AY47" t="s">
        <v>1147</v>
      </c>
      <c r="AZ47" t="s">
        <v>1147</v>
      </c>
      <c r="BA47">
        <v>7</v>
      </c>
      <c r="BD47">
        <v>1000000000</v>
      </c>
      <c r="BE47">
        <v>12</v>
      </c>
      <c r="BF47">
        <v>-1.4</v>
      </c>
      <c r="BG47">
        <v>0</v>
      </c>
      <c r="BH47">
        <v>0</v>
      </c>
      <c r="BI47">
        <v>0</v>
      </c>
      <c r="BJ47">
        <v>0</v>
      </c>
      <c r="BK47">
        <v>0</v>
      </c>
      <c r="BL47">
        <v>0</v>
      </c>
      <c r="BM47">
        <v>12</v>
      </c>
      <c r="BN47">
        <v>-1.4</v>
      </c>
      <c r="BO47">
        <v>0</v>
      </c>
      <c r="BP47">
        <v>0</v>
      </c>
      <c r="BR47">
        <v>0</v>
      </c>
      <c r="BS47">
        <v>3</v>
      </c>
      <c r="BX47">
        <v>0</v>
      </c>
      <c r="BY47">
        <v>2606.59</v>
      </c>
      <c r="BZ47">
        <v>0</v>
      </c>
      <c r="CA47">
        <v>11.12</v>
      </c>
      <c r="CC47">
        <v>1</v>
      </c>
      <c r="CD47" s="56">
        <v>42619</v>
      </c>
      <c r="CE47" s="56">
        <v>42619</v>
      </c>
      <c r="CF47" s="56">
        <v>42619</v>
      </c>
      <c r="CG47" s="56">
        <v>42647</v>
      </c>
      <c r="CH47" s="56"/>
      <c r="CI47" s="56"/>
      <c r="CJ47">
        <v>0</v>
      </c>
      <c r="CK47">
        <v>0</v>
      </c>
      <c r="CL47">
        <v>0</v>
      </c>
      <c r="CM47">
        <v>0</v>
      </c>
      <c r="CN47">
        <v>0</v>
      </c>
      <c r="CO47">
        <v>0</v>
      </c>
      <c r="CP47">
        <v>0.65</v>
      </c>
      <c r="CQ47" t="s">
        <v>1378</v>
      </c>
      <c r="CR47" t="s">
        <v>1377</v>
      </c>
      <c r="CS47" t="s">
        <v>1451</v>
      </c>
      <c r="CT47" t="s">
        <v>1724</v>
      </c>
      <c r="CU47" t="s">
        <v>1742</v>
      </c>
      <c r="CV47" t="s">
        <v>1894</v>
      </c>
      <c r="DB47" t="s">
        <v>1888</v>
      </c>
      <c r="DE47" t="s">
        <v>1724</v>
      </c>
    </row>
    <row r="48" spans="1:109" x14ac:dyDescent="0.25">
      <c r="A48" t="s">
        <v>1378</v>
      </c>
      <c r="B48">
        <v>1</v>
      </c>
      <c r="C48" s="56">
        <v>42640</v>
      </c>
      <c r="D48" t="s">
        <v>1449</v>
      </c>
      <c r="E48" t="s">
        <v>2243</v>
      </c>
      <c r="G48" t="s">
        <v>1144</v>
      </c>
      <c r="H48" t="s">
        <v>1144</v>
      </c>
      <c r="I48" t="s">
        <v>1144</v>
      </c>
      <c r="J48" t="s">
        <v>1144</v>
      </c>
      <c r="K48" t="s">
        <v>1144</v>
      </c>
      <c r="L48">
        <v>427.27</v>
      </c>
      <c r="M48">
        <v>2</v>
      </c>
      <c r="N48">
        <v>0</v>
      </c>
      <c r="O48" s="56"/>
      <c r="P48" s="56"/>
      <c r="Q48">
        <v>13718</v>
      </c>
      <c r="R48">
        <v>9</v>
      </c>
      <c r="S48">
        <v>4</v>
      </c>
      <c r="T48">
        <v>2</v>
      </c>
      <c r="U48">
        <v>2</v>
      </c>
      <c r="V48">
        <v>1</v>
      </c>
      <c r="W48" t="s">
        <v>2379</v>
      </c>
      <c r="X48" t="s">
        <v>2386</v>
      </c>
      <c r="AA48">
        <v>0</v>
      </c>
      <c r="AB48">
        <v>0</v>
      </c>
      <c r="AC48">
        <v>0</v>
      </c>
      <c r="AD48">
        <v>0</v>
      </c>
      <c r="AE48">
        <v>0</v>
      </c>
      <c r="AF48">
        <v>0</v>
      </c>
      <c r="AG48">
        <v>0</v>
      </c>
      <c r="AJ48" s="56"/>
      <c r="AK48" s="56">
        <v>42369</v>
      </c>
      <c r="AL48" s="56"/>
      <c r="AM48">
        <v>1</v>
      </c>
      <c r="AP48" t="s">
        <v>1450</v>
      </c>
      <c r="AS48" t="s">
        <v>1152</v>
      </c>
      <c r="AT48">
        <v>1</v>
      </c>
      <c r="AV48">
        <v>1</v>
      </c>
      <c r="AW48">
        <v>1</v>
      </c>
      <c r="AX48">
        <v>0.5</v>
      </c>
      <c r="AY48" t="s">
        <v>1145</v>
      </c>
      <c r="AZ48" t="s">
        <v>1145</v>
      </c>
      <c r="BA48">
        <v>1</v>
      </c>
      <c r="BD48">
        <v>1000000000</v>
      </c>
      <c r="BE48">
        <v>1</v>
      </c>
      <c r="BF48">
        <v>0</v>
      </c>
      <c r="BG48">
        <v>0</v>
      </c>
      <c r="BH48">
        <v>0</v>
      </c>
      <c r="BI48">
        <v>0</v>
      </c>
      <c r="BJ48">
        <v>0</v>
      </c>
      <c r="BK48">
        <v>0</v>
      </c>
      <c r="BL48">
        <v>0</v>
      </c>
      <c r="BM48">
        <v>1</v>
      </c>
      <c r="BN48">
        <v>0</v>
      </c>
      <c r="BO48">
        <v>0</v>
      </c>
      <c r="BP48">
        <v>0</v>
      </c>
      <c r="BR48">
        <v>0</v>
      </c>
      <c r="BS48">
        <v>1</v>
      </c>
      <c r="BX48">
        <v>0</v>
      </c>
      <c r="BY48">
        <v>0</v>
      </c>
      <c r="BZ48">
        <v>0</v>
      </c>
      <c r="CA48">
        <v>-11.94</v>
      </c>
      <c r="CC48">
        <v>1</v>
      </c>
      <c r="CD48" s="56">
        <v>42593</v>
      </c>
      <c r="CE48" s="56">
        <v>42612</v>
      </c>
      <c r="CF48" s="56">
        <v>42612</v>
      </c>
      <c r="CG48" s="56">
        <v>42640</v>
      </c>
      <c r="CH48" s="56"/>
      <c r="CI48" s="56"/>
      <c r="CJ48">
        <v>0</v>
      </c>
      <c r="CK48">
        <v>0</v>
      </c>
      <c r="CL48">
        <v>0</v>
      </c>
      <c r="CM48">
        <v>0</v>
      </c>
      <c r="CN48">
        <v>0.71</v>
      </c>
      <c r="CO48">
        <v>0</v>
      </c>
      <c r="CP48">
        <v>0</v>
      </c>
      <c r="CQ48" t="s">
        <v>1378</v>
      </c>
      <c r="CR48" t="s">
        <v>1377</v>
      </c>
      <c r="CS48" t="s">
        <v>1451</v>
      </c>
      <c r="CT48" t="s">
        <v>1724</v>
      </c>
      <c r="CU48" t="s">
        <v>1742</v>
      </c>
      <c r="CV48" t="s">
        <v>2231</v>
      </c>
      <c r="DB48" t="s">
        <v>2134</v>
      </c>
      <c r="DE48" t="s">
        <v>1724</v>
      </c>
    </row>
    <row r="49" spans="1:109" x14ac:dyDescent="0.25">
      <c r="A49" t="s">
        <v>1378</v>
      </c>
      <c r="B49">
        <v>1</v>
      </c>
      <c r="C49" s="56">
        <v>42640</v>
      </c>
      <c r="D49" t="s">
        <v>1449</v>
      </c>
      <c r="E49" t="s">
        <v>1959</v>
      </c>
      <c r="G49" t="s">
        <v>1144</v>
      </c>
      <c r="H49" t="s">
        <v>1144</v>
      </c>
      <c r="I49" t="s">
        <v>1144</v>
      </c>
      <c r="J49" t="s">
        <v>1144</v>
      </c>
      <c r="K49" t="s">
        <v>1144</v>
      </c>
      <c r="L49">
        <v>0</v>
      </c>
      <c r="M49">
        <v>230.18</v>
      </c>
      <c r="N49">
        <v>0</v>
      </c>
      <c r="O49" s="56"/>
      <c r="P49" s="56"/>
      <c r="Q49">
        <v>13718</v>
      </c>
      <c r="R49">
        <v>9</v>
      </c>
      <c r="S49">
        <v>4</v>
      </c>
      <c r="T49">
        <v>2</v>
      </c>
      <c r="U49">
        <v>2</v>
      </c>
      <c r="V49">
        <v>1</v>
      </c>
      <c r="X49" t="s">
        <v>2386</v>
      </c>
      <c r="AA49">
        <v>0</v>
      </c>
      <c r="AB49">
        <v>0</v>
      </c>
      <c r="AC49">
        <v>0</v>
      </c>
      <c r="AD49">
        <v>0</v>
      </c>
      <c r="AE49">
        <v>0</v>
      </c>
      <c r="AF49">
        <v>0</v>
      </c>
      <c r="AG49">
        <v>0</v>
      </c>
      <c r="AJ49" s="56"/>
      <c r="AK49" s="56"/>
      <c r="AL49" s="56"/>
      <c r="AP49" t="s">
        <v>1450</v>
      </c>
      <c r="AS49" t="s">
        <v>1152</v>
      </c>
      <c r="AT49">
        <v>1</v>
      </c>
      <c r="AV49">
        <v>0</v>
      </c>
      <c r="AW49">
        <v>0</v>
      </c>
      <c r="AX49">
        <v>0</v>
      </c>
      <c r="AY49" t="s">
        <v>1375</v>
      </c>
      <c r="AZ49" t="s">
        <v>1375</v>
      </c>
      <c r="BA49">
        <v>0</v>
      </c>
      <c r="BD49">
        <v>1000000000</v>
      </c>
      <c r="BE49">
        <v>0</v>
      </c>
      <c r="BF49">
        <v>0</v>
      </c>
      <c r="BG49">
        <v>0</v>
      </c>
      <c r="BH49">
        <v>0</v>
      </c>
      <c r="BI49">
        <v>0</v>
      </c>
      <c r="BJ49">
        <v>0</v>
      </c>
      <c r="BK49">
        <v>0</v>
      </c>
      <c r="BL49">
        <v>0</v>
      </c>
      <c r="BM49">
        <v>0</v>
      </c>
      <c r="BN49">
        <v>0</v>
      </c>
      <c r="BO49">
        <v>0</v>
      </c>
      <c r="BP49">
        <v>0</v>
      </c>
      <c r="BR49">
        <v>0</v>
      </c>
      <c r="BS49">
        <v>0</v>
      </c>
      <c r="BX49">
        <v>0</v>
      </c>
      <c r="BY49">
        <v>0</v>
      </c>
      <c r="BZ49">
        <v>0</v>
      </c>
      <c r="CA49">
        <v>0</v>
      </c>
      <c r="CC49">
        <v>1</v>
      </c>
      <c r="CD49" s="56">
        <v>42593</v>
      </c>
      <c r="CE49" s="56">
        <v>42612</v>
      </c>
      <c r="CF49" s="56">
        <v>42612</v>
      </c>
      <c r="CG49" s="56">
        <v>42640</v>
      </c>
      <c r="CH49" s="56"/>
      <c r="CI49" s="56"/>
      <c r="CJ49">
        <v>1</v>
      </c>
      <c r="CK49">
        <v>0</v>
      </c>
      <c r="CL49">
        <v>0.71</v>
      </c>
      <c r="CM49">
        <v>0</v>
      </c>
      <c r="CN49">
        <v>0</v>
      </c>
      <c r="CO49">
        <v>0</v>
      </c>
      <c r="CP49">
        <v>0</v>
      </c>
      <c r="CQ49" t="s">
        <v>1378</v>
      </c>
      <c r="CR49" t="s">
        <v>1377</v>
      </c>
      <c r="CS49" t="s">
        <v>1451</v>
      </c>
      <c r="CT49" t="s">
        <v>1724</v>
      </c>
      <c r="CU49" t="s">
        <v>1742</v>
      </c>
      <c r="CV49" t="s">
        <v>1954</v>
      </c>
      <c r="DB49" t="s">
        <v>1869</v>
      </c>
      <c r="DE49" t="s">
        <v>1724</v>
      </c>
    </row>
    <row r="50" spans="1:109" x14ac:dyDescent="0.25">
      <c r="A50" t="s">
        <v>1378</v>
      </c>
      <c r="B50">
        <v>1</v>
      </c>
      <c r="C50" s="56">
        <v>42640</v>
      </c>
      <c r="D50" t="s">
        <v>1449</v>
      </c>
      <c r="E50" t="s">
        <v>2296</v>
      </c>
      <c r="G50" t="s">
        <v>1144</v>
      </c>
      <c r="H50" t="s">
        <v>1144</v>
      </c>
      <c r="I50" t="s">
        <v>1144</v>
      </c>
      <c r="J50" t="s">
        <v>1144</v>
      </c>
      <c r="K50" t="s">
        <v>1144</v>
      </c>
      <c r="L50">
        <v>353.86</v>
      </c>
      <c r="M50">
        <v>2</v>
      </c>
      <c r="N50">
        <v>0</v>
      </c>
      <c r="O50" s="56"/>
      <c r="P50" s="56"/>
      <c r="Q50">
        <v>13718</v>
      </c>
      <c r="R50">
        <v>9</v>
      </c>
      <c r="S50">
        <v>4</v>
      </c>
      <c r="T50">
        <v>2</v>
      </c>
      <c r="U50">
        <v>2</v>
      </c>
      <c r="V50">
        <v>1</v>
      </c>
      <c r="W50" t="s">
        <v>1376</v>
      </c>
      <c r="X50" t="s">
        <v>2385</v>
      </c>
      <c r="AA50">
        <v>0.04</v>
      </c>
      <c r="AB50">
        <v>1</v>
      </c>
      <c r="AC50">
        <v>12.5</v>
      </c>
      <c r="AD50">
        <v>12.5</v>
      </c>
      <c r="AE50">
        <v>0</v>
      </c>
      <c r="AF50">
        <v>0</v>
      </c>
      <c r="AG50">
        <v>0</v>
      </c>
      <c r="AJ50" s="56"/>
      <c r="AK50" s="56"/>
      <c r="AL50" s="56"/>
      <c r="AM50">
        <v>1</v>
      </c>
      <c r="AP50" t="s">
        <v>1450</v>
      </c>
      <c r="AS50" t="s">
        <v>1152</v>
      </c>
      <c r="AT50">
        <v>1</v>
      </c>
      <c r="AV50">
        <v>2</v>
      </c>
      <c r="AW50">
        <v>2</v>
      </c>
      <c r="AX50">
        <v>1</v>
      </c>
      <c r="AY50" t="s">
        <v>1145</v>
      </c>
      <c r="AZ50" t="s">
        <v>1145</v>
      </c>
      <c r="BA50">
        <v>3</v>
      </c>
      <c r="BD50">
        <v>1000000000</v>
      </c>
      <c r="BE50">
        <v>2</v>
      </c>
      <c r="BF50">
        <v>0</v>
      </c>
      <c r="BG50">
        <v>0</v>
      </c>
      <c r="BH50">
        <v>0</v>
      </c>
      <c r="BI50">
        <v>0</v>
      </c>
      <c r="BJ50">
        <v>0</v>
      </c>
      <c r="BK50">
        <v>0</v>
      </c>
      <c r="BL50">
        <v>0</v>
      </c>
      <c r="BM50">
        <v>2</v>
      </c>
      <c r="BN50">
        <v>0</v>
      </c>
      <c r="BO50">
        <v>0</v>
      </c>
      <c r="BP50">
        <v>0</v>
      </c>
      <c r="BR50">
        <v>0</v>
      </c>
      <c r="BS50">
        <v>1</v>
      </c>
      <c r="BX50">
        <v>0</v>
      </c>
      <c r="BY50">
        <v>0</v>
      </c>
      <c r="BZ50">
        <v>0</v>
      </c>
      <c r="CA50">
        <v>-11.93</v>
      </c>
      <c r="CC50">
        <v>1</v>
      </c>
      <c r="CD50" s="56">
        <v>42619</v>
      </c>
      <c r="CE50" s="56">
        <v>42619</v>
      </c>
      <c r="CF50" s="56">
        <v>42619</v>
      </c>
      <c r="CG50" s="56">
        <v>42647</v>
      </c>
      <c r="CH50" s="56"/>
      <c r="CI50" s="56"/>
      <c r="CJ50">
        <v>0</v>
      </c>
      <c r="CK50">
        <v>0</v>
      </c>
      <c r="CL50">
        <v>0</v>
      </c>
      <c r="CM50">
        <v>0</v>
      </c>
      <c r="CN50">
        <v>0.65</v>
      </c>
      <c r="CO50">
        <v>0</v>
      </c>
      <c r="CP50">
        <v>0</v>
      </c>
      <c r="CQ50" t="s">
        <v>1378</v>
      </c>
      <c r="CR50" t="s">
        <v>1377</v>
      </c>
      <c r="CS50" t="s">
        <v>1451</v>
      </c>
      <c r="CT50" t="s">
        <v>1724</v>
      </c>
      <c r="CU50" t="s">
        <v>1742</v>
      </c>
      <c r="CV50" t="s">
        <v>2297</v>
      </c>
      <c r="DB50" t="s">
        <v>2286</v>
      </c>
      <c r="DE50" t="s">
        <v>1724</v>
      </c>
    </row>
    <row r="51" spans="1:109" x14ac:dyDescent="0.25">
      <c r="A51" t="s">
        <v>1378</v>
      </c>
      <c r="B51">
        <v>1</v>
      </c>
      <c r="C51" s="56">
        <v>42640</v>
      </c>
      <c r="D51" t="s">
        <v>1449</v>
      </c>
      <c r="E51" t="s">
        <v>2001</v>
      </c>
      <c r="G51" t="s">
        <v>1144</v>
      </c>
      <c r="H51" t="s">
        <v>1144</v>
      </c>
      <c r="I51" t="s">
        <v>1144</v>
      </c>
      <c r="J51" t="s">
        <v>1144</v>
      </c>
      <c r="K51" t="s">
        <v>1144</v>
      </c>
      <c r="L51">
        <v>280.05</v>
      </c>
      <c r="M51">
        <v>732.52</v>
      </c>
      <c r="N51">
        <v>0</v>
      </c>
      <c r="O51" s="56"/>
      <c r="P51" s="56"/>
      <c r="Q51">
        <v>13718</v>
      </c>
      <c r="R51">
        <v>9</v>
      </c>
      <c r="S51">
        <v>4</v>
      </c>
      <c r="T51">
        <v>2</v>
      </c>
      <c r="U51">
        <v>2</v>
      </c>
      <c r="V51">
        <v>1</v>
      </c>
      <c r="X51" t="s">
        <v>2385</v>
      </c>
      <c r="AA51">
        <v>0.59</v>
      </c>
      <c r="AB51">
        <v>4</v>
      </c>
      <c r="AC51">
        <v>2.12</v>
      </c>
      <c r="AD51">
        <v>2.97</v>
      </c>
      <c r="AE51">
        <v>0</v>
      </c>
      <c r="AF51">
        <v>0</v>
      </c>
      <c r="AG51">
        <v>0</v>
      </c>
      <c r="AJ51" s="56"/>
      <c r="AK51" s="56"/>
      <c r="AL51" s="56"/>
      <c r="AM51">
        <v>6</v>
      </c>
      <c r="AP51" t="s">
        <v>1450</v>
      </c>
      <c r="AS51" t="s">
        <v>1152</v>
      </c>
      <c r="AT51">
        <v>1</v>
      </c>
      <c r="AV51">
        <v>5</v>
      </c>
      <c r="AW51">
        <v>3</v>
      </c>
      <c r="AX51">
        <v>2</v>
      </c>
      <c r="AY51" t="s">
        <v>1147</v>
      </c>
      <c r="AZ51" t="s">
        <v>1147</v>
      </c>
      <c r="BA51">
        <v>6</v>
      </c>
      <c r="BD51">
        <v>1000000000</v>
      </c>
      <c r="BE51">
        <v>7</v>
      </c>
      <c r="BF51">
        <v>-0.4</v>
      </c>
      <c r="BG51">
        <v>0</v>
      </c>
      <c r="BH51">
        <v>0</v>
      </c>
      <c r="BI51">
        <v>0</v>
      </c>
      <c r="BJ51">
        <v>0</v>
      </c>
      <c r="BK51">
        <v>0</v>
      </c>
      <c r="BL51">
        <v>0</v>
      </c>
      <c r="BM51">
        <v>7</v>
      </c>
      <c r="BN51">
        <v>-0.4</v>
      </c>
      <c r="BO51">
        <v>0</v>
      </c>
      <c r="BP51">
        <v>0</v>
      </c>
      <c r="BR51">
        <v>0</v>
      </c>
      <c r="BS51">
        <v>3</v>
      </c>
      <c r="BX51">
        <v>0</v>
      </c>
      <c r="BY51">
        <v>560.1</v>
      </c>
      <c r="BZ51">
        <v>0</v>
      </c>
      <c r="CA51">
        <v>19.39</v>
      </c>
      <c r="CC51">
        <v>1</v>
      </c>
      <c r="CD51" s="56">
        <v>42619</v>
      </c>
      <c r="CE51" s="56">
        <v>42619</v>
      </c>
      <c r="CF51" s="56">
        <v>42619</v>
      </c>
      <c r="CG51" s="56">
        <v>42647</v>
      </c>
      <c r="CH51" s="56"/>
      <c r="CI51" s="56"/>
      <c r="CJ51">
        <v>0</v>
      </c>
      <c r="CK51">
        <v>0</v>
      </c>
      <c r="CL51">
        <v>0</v>
      </c>
      <c r="CM51">
        <v>0</v>
      </c>
      <c r="CN51">
        <v>0</v>
      </c>
      <c r="CO51">
        <v>0</v>
      </c>
      <c r="CP51">
        <v>0.65</v>
      </c>
      <c r="CQ51" t="s">
        <v>1378</v>
      </c>
      <c r="CR51" t="s">
        <v>1377</v>
      </c>
      <c r="CS51" t="s">
        <v>1451</v>
      </c>
      <c r="CT51" t="s">
        <v>1724</v>
      </c>
      <c r="CU51" t="s">
        <v>1742</v>
      </c>
      <c r="CV51" t="s">
        <v>2002</v>
      </c>
      <c r="DB51" t="s">
        <v>1997</v>
      </c>
      <c r="DE51" t="s">
        <v>1724</v>
      </c>
    </row>
    <row r="52" spans="1:109" x14ac:dyDescent="0.25">
      <c r="A52" t="s">
        <v>1378</v>
      </c>
      <c r="B52">
        <v>1</v>
      </c>
      <c r="C52" s="56">
        <v>42640</v>
      </c>
      <c r="D52" t="s">
        <v>1449</v>
      </c>
      <c r="E52" t="s">
        <v>2353</v>
      </c>
      <c r="G52" t="s">
        <v>1144</v>
      </c>
      <c r="H52" t="s">
        <v>1144</v>
      </c>
      <c r="I52" t="s">
        <v>1144</v>
      </c>
      <c r="J52" t="s">
        <v>1144</v>
      </c>
      <c r="K52" t="s">
        <v>1144</v>
      </c>
      <c r="L52">
        <v>192.33</v>
      </c>
      <c r="M52">
        <v>878.08</v>
      </c>
      <c r="N52">
        <v>0</v>
      </c>
      <c r="O52" s="56"/>
      <c r="P52" s="56"/>
      <c r="Q52">
        <v>13718</v>
      </c>
      <c r="R52">
        <v>9</v>
      </c>
      <c r="S52">
        <v>4</v>
      </c>
      <c r="T52">
        <v>2</v>
      </c>
      <c r="U52">
        <v>2</v>
      </c>
      <c r="V52">
        <v>1</v>
      </c>
      <c r="X52" t="s">
        <v>2385</v>
      </c>
      <c r="AA52">
        <v>0</v>
      </c>
      <c r="AB52">
        <v>0</v>
      </c>
      <c r="AC52">
        <v>0</v>
      </c>
      <c r="AD52">
        <v>0</v>
      </c>
      <c r="AE52">
        <v>0</v>
      </c>
      <c r="AF52">
        <v>0</v>
      </c>
      <c r="AG52">
        <v>0</v>
      </c>
      <c r="AJ52" s="56"/>
      <c r="AK52" s="56"/>
      <c r="AL52" s="56"/>
      <c r="AM52">
        <v>4</v>
      </c>
      <c r="AP52" t="s">
        <v>1450</v>
      </c>
      <c r="AS52" t="s">
        <v>1152</v>
      </c>
      <c r="AT52">
        <v>1</v>
      </c>
      <c r="AV52">
        <v>2</v>
      </c>
      <c r="AW52">
        <v>2</v>
      </c>
      <c r="AX52">
        <v>1</v>
      </c>
      <c r="AY52" t="s">
        <v>1147</v>
      </c>
      <c r="AZ52" t="s">
        <v>1147</v>
      </c>
      <c r="BA52">
        <v>4</v>
      </c>
      <c r="BD52">
        <v>1000000000</v>
      </c>
      <c r="BE52">
        <v>4</v>
      </c>
      <c r="BF52">
        <v>-1</v>
      </c>
      <c r="BG52">
        <v>0</v>
      </c>
      <c r="BH52">
        <v>0</v>
      </c>
      <c r="BI52">
        <v>0</v>
      </c>
      <c r="BJ52">
        <v>0</v>
      </c>
      <c r="BK52">
        <v>0</v>
      </c>
      <c r="BL52">
        <v>0</v>
      </c>
      <c r="BM52">
        <v>4</v>
      </c>
      <c r="BN52">
        <v>-1</v>
      </c>
      <c r="BO52">
        <v>0</v>
      </c>
      <c r="BP52">
        <v>0</v>
      </c>
      <c r="BR52">
        <v>0</v>
      </c>
      <c r="BS52">
        <v>1</v>
      </c>
      <c r="BX52">
        <v>0</v>
      </c>
      <c r="BY52">
        <v>384.66</v>
      </c>
      <c r="BZ52">
        <v>0</v>
      </c>
      <c r="CA52">
        <v>42.79</v>
      </c>
      <c r="CC52">
        <v>1</v>
      </c>
      <c r="CD52" s="56">
        <v>42619</v>
      </c>
      <c r="CE52" s="56">
        <v>42619</v>
      </c>
      <c r="CF52" s="56">
        <v>42619</v>
      </c>
      <c r="CG52" s="56">
        <v>42647</v>
      </c>
      <c r="CH52" s="56"/>
      <c r="CI52" s="56"/>
      <c r="CJ52">
        <v>0</v>
      </c>
      <c r="CK52">
        <v>0</v>
      </c>
      <c r="CL52">
        <v>0</v>
      </c>
      <c r="CM52">
        <v>0</v>
      </c>
      <c r="CN52">
        <v>0</v>
      </c>
      <c r="CO52">
        <v>0</v>
      </c>
      <c r="CP52">
        <v>0.65</v>
      </c>
      <c r="CQ52" t="s">
        <v>1378</v>
      </c>
      <c r="CR52" t="s">
        <v>1377</v>
      </c>
      <c r="CS52" t="s">
        <v>1451</v>
      </c>
      <c r="CT52" t="s">
        <v>1724</v>
      </c>
      <c r="CU52" t="s">
        <v>1742</v>
      </c>
      <c r="CV52" t="s">
        <v>2354</v>
      </c>
      <c r="DB52" t="s">
        <v>2351</v>
      </c>
      <c r="DE52" t="s">
        <v>1724</v>
      </c>
    </row>
    <row r="53" spans="1:109" x14ac:dyDescent="0.25">
      <c r="A53" t="s">
        <v>1378</v>
      </c>
      <c r="B53">
        <v>1</v>
      </c>
      <c r="C53" s="56">
        <v>42640</v>
      </c>
      <c r="D53" t="s">
        <v>1449</v>
      </c>
      <c r="E53" t="s">
        <v>1476</v>
      </c>
      <c r="G53" t="s">
        <v>1144</v>
      </c>
      <c r="H53" t="s">
        <v>1144</v>
      </c>
      <c r="I53" t="s">
        <v>1144</v>
      </c>
      <c r="J53" t="s">
        <v>1144</v>
      </c>
      <c r="K53" t="s">
        <v>1144</v>
      </c>
      <c r="L53">
        <v>57.95</v>
      </c>
      <c r="M53">
        <v>99.55</v>
      </c>
      <c r="N53">
        <v>0</v>
      </c>
      <c r="O53" s="56"/>
      <c r="P53" s="56"/>
      <c r="Q53">
        <v>13718</v>
      </c>
      <c r="R53">
        <v>9</v>
      </c>
      <c r="S53">
        <v>4</v>
      </c>
      <c r="T53">
        <v>2</v>
      </c>
      <c r="U53">
        <v>2</v>
      </c>
      <c r="V53">
        <v>1</v>
      </c>
      <c r="X53" t="s">
        <v>2386</v>
      </c>
      <c r="AA53">
        <v>1.29</v>
      </c>
      <c r="AB53">
        <v>8</v>
      </c>
      <c r="AC53">
        <v>0.78</v>
      </c>
      <c r="AD53">
        <v>1.36</v>
      </c>
      <c r="AE53">
        <v>0</v>
      </c>
      <c r="AF53">
        <v>0</v>
      </c>
      <c r="AG53">
        <v>0</v>
      </c>
      <c r="AJ53" s="56">
        <v>42666</v>
      </c>
      <c r="AK53" s="56"/>
      <c r="AL53" s="56"/>
      <c r="AM53">
        <v>4</v>
      </c>
      <c r="AP53" t="s">
        <v>1450</v>
      </c>
      <c r="AS53" t="s">
        <v>1152</v>
      </c>
      <c r="AT53">
        <v>1</v>
      </c>
      <c r="AV53">
        <v>4</v>
      </c>
      <c r="AW53">
        <v>3</v>
      </c>
      <c r="AX53">
        <v>1</v>
      </c>
      <c r="AY53" t="s">
        <v>1147</v>
      </c>
      <c r="AZ53" t="s">
        <v>1147</v>
      </c>
      <c r="BA53">
        <v>4</v>
      </c>
      <c r="BD53">
        <v>1000000000</v>
      </c>
      <c r="BE53">
        <v>7</v>
      </c>
      <c r="BF53">
        <v>-0.75</v>
      </c>
      <c r="BG53">
        <v>0</v>
      </c>
      <c r="BH53">
        <v>0</v>
      </c>
      <c r="BI53">
        <v>0</v>
      </c>
      <c r="BJ53">
        <v>0</v>
      </c>
      <c r="BK53">
        <v>0</v>
      </c>
      <c r="BL53">
        <v>0</v>
      </c>
      <c r="BM53">
        <v>7</v>
      </c>
      <c r="BN53">
        <v>-0.75</v>
      </c>
      <c r="BO53">
        <v>0</v>
      </c>
      <c r="BP53">
        <v>0</v>
      </c>
      <c r="BR53">
        <v>0</v>
      </c>
      <c r="BS53">
        <v>2</v>
      </c>
      <c r="BX53">
        <v>0</v>
      </c>
      <c r="BY53">
        <v>173.85</v>
      </c>
      <c r="BZ53">
        <v>0</v>
      </c>
      <c r="CA53">
        <v>8.61</v>
      </c>
      <c r="CC53">
        <v>1</v>
      </c>
      <c r="CD53" s="56">
        <v>42593</v>
      </c>
      <c r="CE53" s="56">
        <v>42612</v>
      </c>
      <c r="CF53" s="56">
        <v>42612</v>
      </c>
      <c r="CG53" s="56">
        <v>42640</v>
      </c>
      <c r="CH53" s="56"/>
      <c r="CI53" s="56"/>
      <c r="CJ53">
        <v>0.05</v>
      </c>
      <c r="CK53">
        <v>0</v>
      </c>
      <c r="CL53">
        <v>0</v>
      </c>
      <c r="CM53">
        <v>0</v>
      </c>
      <c r="CN53">
        <v>0</v>
      </c>
      <c r="CO53">
        <v>0</v>
      </c>
      <c r="CP53">
        <v>0.71</v>
      </c>
      <c r="CQ53" t="s">
        <v>1378</v>
      </c>
      <c r="CR53" t="s">
        <v>1377</v>
      </c>
      <c r="CS53" t="s">
        <v>1451</v>
      </c>
      <c r="CT53" t="s">
        <v>1724</v>
      </c>
      <c r="CU53" t="s">
        <v>1742</v>
      </c>
      <c r="CV53" t="s">
        <v>2055</v>
      </c>
      <c r="DB53" t="s">
        <v>2054</v>
      </c>
      <c r="DE53" t="s">
        <v>1724</v>
      </c>
    </row>
    <row r="54" spans="1:109" x14ac:dyDescent="0.25">
      <c r="A54" t="s">
        <v>1378</v>
      </c>
      <c r="B54">
        <v>1</v>
      </c>
      <c r="C54" s="56">
        <v>42640</v>
      </c>
      <c r="D54" t="s">
        <v>1449</v>
      </c>
      <c r="E54" t="s">
        <v>1729</v>
      </c>
      <c r="G54" t="s">
        <v>1144</v>
      </c>
      <c r="H54" t="s">
        <v>1144</v>
      </c>
      <c r="I54" t="s">
        <v>1144</v>
      </c>
      <c r="J54" t="s">
        <v>1144</v>
      </c>
      <c r="K54" t="s">
        <v>1144</v>
      </c>
      <c r="L54">
        <v>1108.94</v>
      </c>
      <c r="M54">
        <v>2032.14</v>
      </c>
      <c r="N54">
        <v>0</v>
      </c>
      <c r="O54" s="56"/>
      <c r="P54" s="56"/>
      <c r="Q54">
        <v>13718</v>
      </c>
      <c r="R54">
        <v>9</v>
      </c>
      <c r="S54">
        <v>4</v>
      </c>
      <c r="T54">
        <v>2</v>
      </c>
      <c r="U54">
        <v>2</v>
      </c>
      <c r="V54">
        <v>1</v>
      </c>
      <c r="W54" t="s">
        <v>1376</v>
      </c>
      <c r="X54" t="s">
        <v>2385</v>
      </c>
      <c r="AA54">
        <v>0</v>
      </c>
      <c r="AB54">
        <v>0</v>
      </c>
      <c r="AC54">
        <v>0</v>
      </c>
      <c r="AD54">
        <v>0</v>
      </c>
      <c r="AE54">
        <v>0</v>
      </c>
      <c r="AF54">
        <v>0</v>
      </c>
      <c r="AG54">
        <v>0</v>
      </c>
      <c r="AJ54" s="56"/>
      <c r="AK54" s="56">
        <v>42369</v>
      </c>
      <c r="AL54" s="56"/>
      <c r="AM54">
        <v>4</v>
      </c>
      <c r="AP54" t="s">
        <v>1450</v>
      </c>
      <c r="AS54" t="s">
        <v>1152</v>
      </c>
      <c r="AT54">
        <v>1</v>
      </c>
      <c r="AV54">
        <v>3</v>
      </c>
      <c r="AW54">
        <v>2</v>
      </c>
      <c r="AX54">
        <v>1</v>
      </c>
      <c r="AY54" t="s">
        <v>1145</v>
      </c>
      <c r="AZ54" t="s">
        <v>1145</v>
      </c>
      <c r="BA54">
        <v>4</v>
      </c>
      <c r="BD54">
        <v>1000000000</v>
      </c>
      <c r="BE54">
        <v>2</v>
      </c>
      <c r="BF54">
        <v>0.33</v>
      </c>
      <c r="BG54">
        <v>0</v>
      </c>
      <c r="BH54">
        <v>0</v>
      </c>
      <c r="BI54">
        <v>0</v>
      </c>
      <c r="BJ54">
        <v>0</v>
      </c>
      <c r="BK54">
        <v>0</v>
      </c>
      <c r="BL54">
        <v>0</v>
      </c>
      <c r="BM54">
        <v>2</v>
      </c>
      <c r="BN54">
        <v>0.33</v>
      </c>
      <c r="BO54">
        <v>0</v>
      </c>
      <c r="BP54">
        <v>0</v>
      </c>
      <c r="BR54">
        <v>1</v>
      </c>
      <c r="BS54">
        <v>2</v>
      </c>
      <c r="BX54">
        <v>0</v>
      </c>
      <c r="BY54">
        <v>0</v>
      </c>
      <c r="BZ54">
        <v>0</v>
      </c>
      <c r="CA54">
        <v>9.99</v>
      </c>
      <c r="CC54">
        <v>1</v>
      </c>
      <c r="CD54" s="56">
        <v>42619</v>
      </c>
      <c r="CE54" s="56">
        <v>42619</v>
      </c>
      <c r="CF54" s="56">
        <v>42619</v>
      </c>
      <c r="CG54" s="56">
        <v>42647</v>
      </c>
      <c r="CH54" s="56"/>
      <c r="CI54" s="56"/>
      <c r="CJ54">
        <v>0</v>
      </c>
      <c r="CK54">
        <v>0</v>
      </c>
      <c r="CL54">
        <v>0</v>
      </c>
      <c r="CM54">
        <v>0</v>
      </c>
      <c r="CN54">
        <v>0.65</v>
      </c>
      <c r="CO54">
        <v>0</v>
      </c>
      <c r="CP54">
        <v>0</v>
      </c>
      <c r="CQ54" t="s">
        <v>1378</v>
      </c>
      <c r="CR54" t="s">
        <v>1377</v>
      </c>
      <c r="CS54" t="s">
        <v>1451</v>
      </c>
      <c r="CT54" t="s">
        <v>1724</v>
      </c>
      <c r="CU54" t="s">
        <v>1742</v>
      </c>
      <c r="CV54" t="s">
        <v>1823</v>
      </c>
      <c r="DB54" t="s">
        <v>1794</v>
      </c>
      <c r="DE54" t="s">
        <v>1724</v>
      </c>
    </row>
    <row r="55" spans="1:109" x14ac:dyDescent="0.25">
      <c r="A55" t="s">
        <v>1378</v>
      </c>
      <c r="B55">
        <v>1</v>
      </c>
      <c r="C55" s="56">
        <v>42640</v>
      </c>
      <c r="D55" t="s">
        <v>1449</v>
      </c>
      <c r="E55" t="s">
        <v>2184</v>
      </c>
      <c r="G55" t="s">
        <v>1144</v>
      </c>
      <c r="H55" t="s">
        <v>1144</v>
      </c>
      <c r="I55" t="s">
        <v>1144</v>
      </c>
      <c r="J55" t="s">
        <v>1144</v>
      </c>
      <c r="K55" t="s">
        <v>1144</v>
      </c>
      <c r="L55">
        <v>434.65</v>
      </c>
      <c r="M55">
        <v>2</v>
      </c>
      <c r="N55">
        <v>0</v>
      </c>
      <c r="O55" s="56"/>
      <c r="P55" s="56"/>
      <c r="Q55">
        <v>13718</v>
      </c>
      <c r="R55">
        <v>9</v>
      </c>
      <c r="S55">
        <v>4</v>
      </c>
      <c r="T55">
        <v>2</v>
      </c>
      <c r="U55">
        <v>2</v>
      </c>
      <c r="V55">
        <v>1</v>
      </c>
      <c r="X55" t="s">
        <v>2385</v>
      </c>
      <c r="AA55">
        <v>0</v>
      </c>
      <c r="AB55">
        <v>0</v>
      </c>
      <c r="AC55">
        <v>0</v>
      </c>
      <c r="AD55">
        <v>0</v>
      </c>
      <c r="AE55">
        <v>0</v>
      </c>
      <c r="AF55">
        <v>0</v>
      </c>
      <c r="AG55">
        <v>0</v>
      </c>
      <c r="AJ55" s="56"/>
      <c r="AK55" s="56">
        <v>42369</v>
      </c>
      <c r="AL55" s="56"/>
      <c r="AM55">
        <v>1</v>
      </c>
      <c r="AP55" t="s">
        <v>1450</v>
      </c>
      <c r="AS55" t="s">
        <v>1152</v>
      </c>
      <c r="AT55">
        <v>1</v>
      </c>
      <c r="AV55">
        <v>1</v>
      </c>
      <c r="AW55">
        <v>1</v>
      </c>
      <c r="AX55">
        <v>0.5</v>
      </c>
      <c r="AY55" t="s">
        <v>1147</v>
      </c>
      <c r="AZ55" t="s">
        <v>1147</v>
      </c>
      <c r="BA55">
        <v>2</v>
      </c>
      <c r="BD55">
        <v>1000000000</v>
      </c>
      <c r="BE55">
        <v>2</v>
      </c>
      <c r="BF55">
        <v>-1</v>
      </c>
      <c r="BG55">
        <v>0</v>
      </c>
      <c r="BH55">
        <v>0</v>
      </c>
      <c r="BI55">
        <v>0</v>
      </c>
      <c r="BJ55">
        <v>0</v>
      </c>
      <c r="BK55">
        <v>0</v>
      </c>
      <c r="BL55">
        <v>0</v>
      </c>
      <c r="BM55">
        <v>2</v>
      </c>
      <c r="BN55">
        <v>-1</v>
      </c>
      <c r="BO55">
        <v>0</v>
      </c>
      <c r="BP55">
        <v>0</v>
      </c>
      <c r="BR55">
        <v>0</v>
      </c>
      <c r="BS55">
        <v>1</v>
      </c>
      <c r="BX55">
        <v>0</v>
      </c>
      <c r="BY55">
        <v>434.65</v>
      </c>
      <c r="BZ55">
        <v>0</v>
      </c>
      <c r="CA55">
        <v>-11.94</v>
      </c>
      <c r="CC55">
        <v>1</v>
      </c>
      <c r="CD55" s="56">
        <v>42619</v>
      </c>
      <c r="CE55" s="56">
        <v>42619</v>
      </c>
      <c r="CF55" s="56">
        <v>42619</v>
      </c>
      <c r="CG55" s="56">
        <v>42647</v>
      </c>
      <c r="CH55" s="56"/>
      <c r="CI55" s="56"/>
      <c r="CJ55">
        <v>0</v>
      </c>
      <c r="CK55">
        <v>0</v>
      </c>
      <c r="CL55">
        <v>0</v>
      </c>
      <c r="CM55">
        <v>0</v>
      </c>
      <c r="CN55">
        <v>0</v>
      </c>
      <c r="CO55">
        <v>0</v>
      </c>
      <c r="CP55">
        <v>0.65</v>
      </c>
      <c r="CQ55" t="s">
        <v>1378</v>
      </c>
      <c r="CR55" t="s">
        <v>1377</v>
      </c>
      <c r="CS55" t="s">
        <v>1451</v>
      </c>
      <c r="CT55" t="s">
        <v>1724</v>
      </c>
      <c r="CU55" t="s">
        <v>1742</v>
      </c>
      <c r="CV55" t="s">
        <v>2185</v>
      </c>
      <c r="DB55" t="s">
        <v>2161</v>
      </c>
      <c r="DE55" t="s">
        <v>1724</v>
      </c>
    </row>
    <row r="56" spans="1:109" x14ac:dyDescent="0.25">
      <c r="A56" t="s">
        <v>1378</v>
      </c>
      <c r="B56">
        <v>1</v>
      </c>
      <c r="C56" s="56">
        <v>42640</v>
      </c>
      <c r="D56" t="s">
        <v>1449</v>
      </c>
      <c r="E56" t="s">
        <v>1879</v>
      </c>
      <c r="G56" t="s">
        <v>1144</v>
      </c>
      <c r="H56" t="s">
        <v>1144</v>
      </c>
      <c r="I56" t="s">
        <v>1144</v>
      </c>
      <c r="J56" t="s">
        <v>1144</v>
      </c>
      <c r="K56" t="s">
        <v>1144</v>
      </c>
      <c r="L56">
        <v>90.42</v>
      </c>
      <c r="M56">
        <v>230.18</v>
      </c>
      <c r="N56">
        <v>0</v>
      </c>
      <c r="O56" s="56"/>
      <c r="P56" s="56"/>
      <c r="Q56">
        <v>13718</v>
      </c>
      <c r="R56">
        <v>9</v>
      </c>
      <c r="S56">
        <v>4</v>
      </c>
      <c r="T56">
        <v>2</v>
      </c>
      <c r="U56">
        <v>2</v>
      </c>
      <c r="V56">
        <v>1</v>
      </c>
      <c r="X56" t="s">
        <v>2385</v>
      </c>
      <c r="AA56">
        <v>0</v>
      </c>
      <c r="AB56">
        <v>0</v>
      </c>
      <c r="AC56">
        <v>0</v>
      </c>
      <c r="AD56">
        <v>0</v>
      </c>
      <c r="AE56">
        <v>0</v>
      </c>
      <c r="AF56">
        <v>0</v>
      </c>
      <c r="AG56">
        <v>0</v>
      </c>
      <c r="AJ56" s="56"/>
      <c r="AK56" s="56">
        <v>42369</v>
      </c>
      <c r="AL56" s="56"/>
      <c r="AM56">
        <v>5</v>
      </c>
      <c r="AP56" t="s">
        <v>1450</v>
      </c>
      <c r="AS56" t="s">
        <v>1152</v>
      </c>
      <c r="AT56">
        <v>1</v>
      </c>
      <c r="AV56">
        <v>3</v>
      </c>
      <c r="AW56">
        <v>2</v>
      </c>
      <c r="AX56">
        <v>1</v>
      </c>
      <c r="AY56" t="s">
        <v>1147</v>
      </c>
      <c r="AZ56" t="s">
        <v>1147</v>
      </c>
      <c r="BA56">
        <v>5</v>
      </c>
      <c r="BD56">
        <v>1000000000</v>
      </c>
      <c r="BE56">
        <v>4</v>
      </c>
      <c r="BF56">
        <v>-0.33</v>
      </c>
      <c r="BG56">
        <v>0</v>
      </c>
      <c r="BH56">
        <v>0</v>
      </c>
      <c r="BI56">
        <v>0</v>
      </c>
      <c r="BJ56">
        <v>0</v>
      </c>
      <c r="BK56">
        <v>0</v>
      </c>
      <c r="BL56">
        <v>0</v>
      </c>
      <c r="BM56">
        <v>4</v>
      </c>
      <c r="BN56">
        <v>-0.33</v>
      </c>
      <c r="BO56">
        <v>0</v>
      </c>
      <c r="BP56">
        <v>0</v>
      </c>
      <c r="BR56">
        <v>0</v>
      </c>
      <c r="BS56">
        <v>2</v>
      </c>
      <c r="BX56">
        <v>0</v>
      </c>
      <c r="BY56">
        <v>90.42</v>
      </c>
      <c r="BZ56">
        <v>0</v>
      </c>
      <c r="CA56">
        <v>18.55</v>
      </c>
      <c r="CC56">
        <v>1</v>
      </c>
      <c r="CD56" s="56">
        <v>42619</v>
      </c>
      <c r="CE56" s="56">
        <v>42619</v>
      </c>
      <c r="CF56" s="56">
        <v>42619</v>
      </c>
      <c r="CG56" s="56">
        <v>42647</v>
      </c>
      <c r="CH56" s="56"/>
      <c r="CI56" s="56"/>
      <c r="CJ56">
        <v>0</v>
      </c>
      <c r="CK56">
        <v>0</v>
      </c>
      <c r="CL56">
        <v>0</v>
      </c>
      <c r="CM56">
        <v>0</v>
      </c>
      <c r="CN56">
        <v>0</v>
      </c>
      <c r="CO56">
        <v>0</v>
      </c>
      <c r="CP56">
        <v>0.65</v>
      </c>
      <c r="CQ56" t="s">
        <v>1378</v>
      </c>
      <c r="CR56" t="s">
        <v>1377</v>
      </c>
      <c r="CS56" t="s">
        <v>1451</v>
      </c>
      <c r="CT56" t="s">
        <v>1724</v>
      </c>
      <c r="CU56" t="s">
        <v>1742</v>
      </c>
      <c r="CV56" t="s">
        <v>1880</v>
      </c>
      <c r="DB56" t="s">
        <v>1869</v>
      </c>
      <c r="DE56" t="s">
        <v>1724</v>
      </c>
    </row>
    <row r="57" spans="1:109" x14ac:dyDescent="0.25">
      <c r="A57" t="s">
        <v>1378</v>
      </c>
      <c r="B57">
        <v>1</v>
      </c>
      <c r="C57" s="56">
        <v>42640</v>
      </c>
      <c r="D57" t="s">
        <v>1449</v>
      </c>
      <c r="E57" t="s">
        <v>2233</v>
      </c>
      <c r="G57" t="s">
        <v>1144</v>
      </c>
      <c r="H57" t="s">
        <v>1144</v>
      </c>
      <c r="I57" t="s">
        <v>1144</v>
      </c>
      <c r="J57" t="s">
        <v>1144</v>
      </c>
      <c r="K57" t="s">
        <v>1144</v>
      </c>
      <c r="L57">
        <v>433.96</v>
      </c>
      <c r="M57">
        <v>2</v>
      </c>
      <c r="N57">
        <v>0</v>
      </c>
      <c r="O57" s="56"/>
      <c r="P57" s="56"/>
      <c r="Q57">
        <v>13718</v>
      </c>
      <c r="R57">
        <v>9</v>
      </c>
      <c r="S57">
        <v>4</v>
      </c>
      <c r="T57">
        <v>2</v>
      </c>
      <c r="U57">
        <v>2</v>
      </c>
      <c r="V57">
        <v>1</v>
      </c>
      <c r="X57" t="s">
        <v>2385</v>
      </c>
      <c r="AA57">
        <v>0</v>
      </c>
      <c r="AB57">
        <v>0</v>
      </c>
      <c r="AC57">
        <v>0</v>
      </c>
      <c r="AD57">
        <v>0</v>
      </c>
      <c r="AE57">
        <v>0</v>
      </c>
      <c r="AF57">
        <v>0</v>
      </c>
      <c r="AG57">
        <v>0</v>
      </c>
      <c r="AJ57" s="56"/>
      <c r="AK57" s="56">
        <v>42369</v>
      </c>
      <c r="AL57" s="56"/>
      <c r="AM57">
        <v>1</v>
      </c>
      <c r="AP57" t="s">
        <v>1450</v>
      </c>
      <c r="AS57" t="s">
        <v>1152</v>
      </c>
      <c r="AT57">
        <v>1</v>
      </c>
      <c r="AV57">
        <v>1</v>
      </c>
      <c r="AW57">
        <v>1</v>
      </c>
      <c r="AX57">
        <v>0.5</v>
      </c>
      <c r="AY57" t="s">
        <v>1147</v>
      </c>
      <c r="AZ57" t="s">
        <v>1147</v>
      </c>
      <c r="BA57">
        <v>2</v>
      </c>
      <c r="BD57">
        <v>1000000000</v>
      </c>
      <c r="BE57">
        <v>2</v>
      </c>
      <c r="BF57">
        <v>-1</v>
      </c>
      <c r="BG57">
        <v>0</v>
      </c>
      <c r="BH57">
        <v>0</v>
      </c>
      <c r="BI57">
        <v>0</v>
      </c>
      <c r="BJ57">
        <v>0</v>
      </c>
      <c r="BK57">
        <v>0</v>
      </c>
      <c r="BL57">
        <v>0</v>
      </c>
      <c r="BM57">
        <v>2</v>
      </c>
      <c r="BN57">
        <v>-1</v>
      </c>
      <c r="BO57">
        <v>0</v>
      </c>
      <c r="BP57">
        <v>0</v>
      </c>
      <c r="BR57">
        <v>0</v>
      </c>
      <c r="BS57">
        <v>1</v>
      </c>
      <c r="BX57">
        <v>0</v>
      </c>
      <c r="BY57">
        <v>433.96</v>
      </c>
      <c r="BZ57">
        <v>0</v>
      </c>
      <c r="CA57">
        <v>-11.94</v>
      </c>
      <c r="CC57">
        <v>1</v>
      </c>
      <c r="CD57" s="56">
        <v>42619</v>
      </c>
      <c r="CE57" s="56">
        <v>42619</v>
      </c>
      <c r="CF57" s="56">
        <v>42619</v>
      </c>
      <c r="CG57" s="56">
        <v>42647</v>
      </c>
      <c r="CH57" s="56"/>
      <c r="CI57" s="56"/>
      <c r="CJ57">
        <v>0</v>
      </c>
      <c r="CK57">
        <v>0</v>
      </c>
      <c r="CL57">
        <v>0</v>
      </c>
      <c r="CM57">
        <v>0</v>
      </c>
      <c r="CN57">
        <v>0</v>
      </c>
      <c r="CO57">
        <v>0</v>
      </c>
      <c r="CP57">
        <v>0.65</v>
      </c>
      <c r="CQ57" t="s">
        <v>1378</v>
      </c>
      <c r="CR57" t="s">
        <v>1377</v>
      </c>
      <c r="CS57" t="s">
        <v>1451</v>
      </c>
      <c r="CT57" t="s">
        <v>1724</v>
      </c>
      <c r="CU57" t="s">
        <v>1742</v>
      </c>
      <c r="CV57" t="s">
        <v>2231</v>
      </c>
      <c r="DB57" t="s">
        <v>2134</v>
      </c>
      <c r="DE57" t="s">
        <v>1724</v>
      </c>
    </row>
    <row r="58" spans="1:109" x14ac:dyDescent="0.25">
      <c r="A58" t="s">
        <v>1378</v>
      </c>
      <c r="B58">
        <v>1</v>
      </c>
      <c r="C58" s="56">
        <v>42640</v>
      </c>
      <c r="D58" t="s">
        <v>1449</v>
      </c>
      <c r="E58" t="s">
        <v>1949</v>
      </c>
      <c r="G58" t="s">
        <v>1144</v>
      </c>
      <c r="H58" t="s">
        <v>1144</v>
      </c>
      <c r="I58" t="s">
        <v>1144</v>
      </c>
      <c r="J58" t="s">
        <v>1144</v>
      </c>
      <c r="K58" t="s">
        <v>1144</v>
      </c>
      <c r="L58">
        <v>109.77</v>
      </c>
      <c r="M58">
        <v>230.18</v>
      </c>
      <c r="N58">
        <v>0</v>
      </c>
      <c r="O58" s="56"/>
      <c r="P58" s="56"/>
      <c r="Q58">
        <v>13718</v>
      </c>
      <c r="R58">
        <v>9</v>
      </c>
      <c r="S58">
        <v>4</v>
      </c>
      <c r="T58">
        <v>2</v>
      </c>
      <c r="U58">
        <v>2</v>
      </c>
      <c r="V58">
        <v>1</v>
      </c>
      <c r="X58" t="s">
        <v>2385</v>
      </c>
      <c r="AA58">
        <v>0</v>
      </c>
      <c r="AB58">
        <v>0</v>
      </c>
      <c r="AC58">
        <v>0</v>
      </c>
      <c r="AD58">
        <v>0</v>
      </c>
      <c r="AE58">
        <v>0</v>
      </c>
      <c r="AF58">
        <v>0</v>
      </c>
      <c r="AG58">
        <v>0</v>
      </c>
      <c r="AJ58" s="56"/>
      <c r="AK58" s="56"/>
      <c r="AL58" s="56"/>
      <c r="AP58" t="s">
        <v>1450</v>
      </c>
      <c r="AS58" t="s">
        <v>1152</v>
      </c>
      <c r="AT58">
        <v>1</v>
      </c>
      <c r="AV58">
        <v>0</v>
      </c>
      <c r="AW58">
        <v>0</v>
      </c>
      <c r="AX58">
        <v>0</v>
      </c>
      <c r="AY58" t="s">
        <v>1375</v>
      </c>
      <c r="AZ58" t="s">
        <v>1375</v>
      </c>
      <c r="BA58">
        <v>2</v>
      </c>
      <c r="BD58">
        <v>1000000000</v>
      </c>
      <c r="BE58">
        <v>4</v>
      </c>
      <c r="BF58">
        <v>0</v>
      </c>
      <c r="BG58">
        <v>0</v>
      </c>
      <c r="BH58">
        <v>0</v>
      </c>
      <c r="BI58">
        <v>0</v>
      </c>
      <c r="BJ58">
        <v>0</v>
      </c>
      <c r="BK58">
        <v>0</v>
      </c>
      <c r="BL58">
        <v>0</v>
      </c>
      <c r="BM58">
        <v>4</v>
      </c>
      <c r="BN58">
        <v>0</v>
      </c>
      <c r="BO58">
        <v>0</v>
      </c>
      <c r="BP58">
        <v>0</v>
      </c>
      <c r="BR58">
        <v>0</v>
      </c>
      <c r="BS58">
        <v>0</v>
      </c>
      <c r="BX58">
        <v>0</v>
      </c>
      <c r="BY58">
        <v>0</v>
      </c>
      <c r="BZ58">
        <v>0</v>
      </c>
      <c r="CA58">
        <v>0</v>
      </c>
      <c r="CC58">
        <v>1</v>
      </c>
      <c r="CD58" s="56">
        <v>42619</v>
      </c>
      <c r="CE58" s="56">
        <v>42619</v>
      </c>
      <c r="CF58" s="56">
        <v>42619</v>
      </c>
      <c r="CG58" s="56">
        <v>42647</v>
      </c>
      <c r="CH58" s="56"/>
      <c r="CI58" s="56"/>
      <c r="CJ58">
        <v>0</v>
      </c>
      <c r="CK58">
        <v>0</v>
      </c>
      <c r="CL58">
        <v>0</v>
      </c>
      <c r="CM58">
        <v>0</v>
      </c>
      <c r="CN58">
        <v>0</v>
      </c>
      <c r="CO58">
        <v>0</v>
      </c>
      <c r="CP58">
        <v>0.65</v>
      </c>
      <c r="CQ58" t="s">
        <v>1378</v>
      </c>
      <c r="CR58" t="s">
        <v>1377</v>
      </c>
      <c r="CS58" t="s">
        <v>1451</v>
      </c>
      <c r="CT58" t="s">
        <v>1724</v>
      </c>
      <c r="CU58" t="s">
        <v>1742</v>
      </c>
      <c r="CV58" t="s">
        <v>1945</v>
      </c>
      <c r="DB58" t="s">
        <v>1869</v>
      </c>
      <c r="DE58" t="s">
        <v>1724</v>
      </c>
    </row>
    <row r="59" spans="1:109" x14ac:dyDescent="0.25">
      <c r="A59" t="s">
        <v>1378</v>
      </c>
      <c r="B59">
        <v>1</v>
      </c>
      <c r="C59" s="56">
        <v>42640</v>
      </c>
      <c r="D59" t="s">
        <v>1449</v>
      </c>
      <c r="E59" t="s">
        <v>1406</v>
      </c>
      <c r="G59" t="s">
        <v>1144</v>
      </c>
      <c r="H59" t="s">
        <v>1144</v>
      </c>
      <c r="I59" t="s">
        <v>1144</v>
      </c>
      <c r="J59" t="s">
        <v>1144</v>
      </c>
      <c r="K59" t="s">
        <v>1144</v>
      </c>
      <c r="L59">
        <v>98.34</v>
      </c>
      <c r="M59">
        <v>230.18</v>
      </c>
      <c r="N59">
        <v>0</v>
      </c>
      <c r="O59" s="56"/>
      <c r="P59" s="56"/>
      <c r="Q59">
        <v>13718</v>
      </c>
      <c r="R59">
        <v>9</v>
      </c>
      <c r="S59">
        <v>4</v>
      </c>
      <c r="T59">
        <v>2</v>
      </c>
      <c r="U59">
        <v>2</v>
      </c>
      <c r="V59">
        <v>1</v>
      </c>
      <c r="W59" t="s">
        <v>1376</v>
      </c>
      <c r="X59" t="s">
        <v>2385</v>
      </c>
      <c r="AA59">
        <v>0.08</v>
      </c>
      <c r="AB59">
        <v>1</v>
      </c>
      <c r="AC59">
        <v>9.3800000000000008</v>
      </c>
      <c r="AD59">
        <v>9.3800000000000008</v>
      </c>
      <c r="AE59">
        <v>0</v>
      </c>
      <c r="AF59">
        <v>0</v>
      </c>
      <c r="AG59">
        <v>0</v>
      </c>
      <c r="AJ59" s="56">
        <v>42666</v>
      </c>
      <c r="AK59" s="56">
        <v>42369</v>
      </c>
      <c r="AL59" s="56"/>
      <c r="AM59">
        <v>4</v>
      </c>
      <c r="AP59" t="s">
        <v>1450</v>
      </c>
      <c r="AS59" t="s">
        <v>1152</v>
      </c>
      <c r="AT59">
        <v>1</v>
      </c>
      <c r="AV59">
        <v>3</v>
      </c>
      <c r="AW59">
        <v>2</v>
      </c>
      <c r="AX59">
        <v>1</v>
      </c>
      <c r="AY59" t="s">
        <v>1148</v>
      </c>
      <c r="AZ59" t="s">
        <v>1148</v>
      </c>
      <c r="BA59">
        <v>4</v>
      </c>
      <c r="BD59">
        <v>1000000000</v>
      </c>
      <c r="BE59">
        <v>3</v>
      </c>
      <c r="BF59">
        <v>0</v>
      </c>
      <c r="BG59">
        <v>0</v>
      </c>
      <c r="BH59">
        <v>0</v>
      </c>
      <c r="BI59">
        <v>0</v>
      </c>
      <c r="BJ59">
        <v>0</v>
      </c>
      <c r="BK59">
        <v>0</v>
      </c>
      <c r="BL59">
        <v>0</v>
      </c>
      <c r="BM59">
        <v>3</v>
      </c>
      <c r="BN59">
        <v>0</v>
      </c>
      <c r="BO59">
        <v>0</v>
      </c>
      <c r="BP59">
        <v>0</v>
      </c>
      <c r="BR59">
        <v>0</v>
      </c>
      <c r="BS59">
        <v>2</v>
      </c>
      <c r="BX59">
        <v>0</v>
      </c>
      <c r="BY59">
        <v>0</v>
      </c>
      <c r="BZ59">
        <v>0</v>
      </c>
      <c r="CA59">
        <v>16.09</v>
      </c>
      <c r="CC59">
        <v>1</v>
      </c>
      <c r="CD59" s="56">
        <v>42619</v>
      </c>
      <c r="CE59" s="56">
        <v>42619</v>
      </c>
      <c r="CF59" s="56">
        <v>42619</v>
      </c>
      <c r="CG59" s="56">
        <v>42647</v>
      </c>
      <c r="CH59" s="56"/>
      <c r="CI59" s="56"/>
      <c r="CJ59">
        <v>0</v>
      </c>
      <c r="CK59">
        <v>0</v>
      </c>
      <c r="CL59">
        <v>0</v>
      </c>
      <c r="CM59">
        <v>0</v>
      </c>
      <c r="CN59">
        <v>0</v>
      </c>
      <c r="CO59">
        <v>0.65</v>
      </c>
      <c r="CP59">
        <v>0</v>
      </c>
      <c r="CQ59" t="s">
        <v>1378</v>
      </c>
      <c r="CR59" t="s">
        <v>1377</v>
      </c>
      <c r="CS59" t="s">
        <v>1451</v>
      </c>
      <c r="CT59" t="s">
        <v>1724</v>
      </c>
      <c r="CU59" t="s">
        <v>1742</v>
      </c>
      <c r="CV59" t="s">
        <v>1929</v>
      </c>
      <c r="DB59" t="s">
        <v>1869</v>
      </c>
      <c r="DE59" t="s">
        <v>1724</v>
      </c>
    </row>
    <row r="60" spans="1:109" x14ac:dyDescent="0.25">
      <c r="A60" t="s">
        <v>1378</v>
      </c>
      <c r="B60">
        <v>1</v>
      </c>
      <c r="C60" s="56">
        <v>42640</v>
      </c>
      <c r="D60" t="s">
        <v>1449</v>
      </c>
      <c r="E60" t="s">
        <v>1489</v>
      </c>
      <c r="G60" t="s">
        <v>1144</v>
      </c>
      <c r="H60" t="s">
        <v>1144</v>
      </c>
      <c r="I60" t="s">
        <v>1144</v>
      </c>
      <c r="J60" t="s">
        <v>1144</v>
      </c>
      <c r="K60" t="s">
        <v>1144</v>
      </c>
      <c r="L60">
        <v>560.76</v>
      </c>
      <c r="M60">
        <v>2</v>
      </c>
      <c r="N60">
        <v>0</v>
      </c>
      <c r="O60" s="56"/>
      <c r="P60" s="56"/>
      <c r="Q60">
        <v>13718</v>
      </c>
      <c r="R60">
        <v>9</v>
      </c>
      <c r="S60">
        <v>4</v>
      </c>
      <c r="T60">
        <v>2</v>
      </c>
      <c r="U60">
        <v>2</v>
      </c>
      <c r="V60">
        <v>1</v>
      </c>
      <c r="W60" t="s">
        <v>2379</v>
      </c>
      <c r="X60" t="s">
        <v>2387</v>
      </c>
      <c r="AA60">
        <v>0.04</v>
      </c>
      <c r="AB60">
        <v>1</v>
      </c>
      <c r="AC60">
        <v>12.5</v>
      </c>
      <c r="AD60">
        <v>12.5</v>
      </c>
      <c r="AE60">
        <v>0</v>
      </c>
      <c r="AF60">
        <v>0</v>
      </c>
      <c r="AG60">
        <v>0</v>
      </c>
      <c r="AJ60" s="56"/>
      <c r="AK60" s="56"/>
      <c r="AL60" s="56"/>
      <c r="AM60">
        <v>1</v>
      </c>
      <c r="AP60" t="s">
        <v>1450</v>
      </c>
      <c r="AS60" t="s">
        <v>1152</v>
      </c>
      <c r="AT60">
        <v>1</v>
      </c>
      <c r="AV60">
        <v>2</v>
      </c>
      <c r="AW60">
        <v>2</v>
      </c>
      <c r="AX60">
        <v>1</v>
      </c>
      <c r="AY60" t="s">
        <v>1145</v>
      </c>
      <c r="AZ60" t="s">
        <v>1145</v>
      </c>
      <c r="BA60">
        <v>1</v>
      </c>
      <c r="BD60">
        <v>1000000000</v>
      </c>
      <c r="BE60">
        <v>2</v>
      </c>
      <c r="BF60">
        <v>0</v>
      </c>
      <c r="BG60">
        <v>0</v>
      </c>
      <c r="BH60">
        <v>0</v>
      </c>
      <c r="BI60">
        <v>0</v>
      </c>
      <c r="BJ60">
        <v>0</v>
      </c>
      <c r="BK60">
        <v>0</v>
      </c>
      <c r="BL60">
        <v>0</v>
      </c>
      <c r="BM60">
        <v>2</v>
      </c>
      <c r="BN60">
        <v>0</v>
      </c>
      <c r="BO60">
        <v>0</v>
      </c>
      <c r="BP60">
        <v>0</v>
      </c>
      <c r="BR60">
        <v>0</v>
      </c>
      <c r="BS60">
        <v>1</v>
      </c>
      <c r="BX60">
        <v>0</v>
      </c>
      <c r="BY60">
        <v>0</v>
      </c>
      <c r="BZ60">
        <v>0</v>
      </c>
      <c r="CA60">
        <v>-11.96</v>
      </c>
      <c r="CC60">
        <v>1</v>
      </c>
      <c r="CD60" s="56">
        <v>42592</v>
      </c>
      <c r="CE60" s="56">
        <v>42612</v>
      </c>
      <c r="CF60" s="56">
        <v>42612</v>
      </c>
      <c r="CG60" s="56">
        <v>42640</v>
      </c>
      <c r="CH60" s="56"/>
      <c r="CI60" s="56"/>
      <c r="CJ60">
        <v>0</v>
      </c>
      <c r="CK60">
        <v>0</v>
      </c>
      <c r="CL60">
        <v>0</v>
      </c>
      <c r="CM60">
        <v>0</v>
      </c>
      <c r="CN60">
        <v>0.71</v>
      </c>
      <c r="CO60">
        <v>0</v>
      </c>
      <c r="CP60">
        <v>0</v>
      </c>
      <c r="CQ60" t="s">
        <v>1378</v>
      </c>
      <c r="CR60" t="s">
        <v>1377</v>
      </c>
      <c r="CS60" t="s">
        <v>1451</v>
      </c>
      <c r="CT60" t="s">
        <v>1724</v>
      </c>
      <c r="CU60" t="s">
        <v>1742</v>
      </c>
      <c r="CV60" t="s">
        <v>2281</v>
      </c>
      <c r="DB60" t="s">
        <v>2265</v>
      </c>
      <c r="DE60" t="s">
        <v>1724</v>
      </c>
    </row>
    <row r="61" spans="1:109" x14ac:dyDescent="0.25">
      <c r="A61" t="s">
        <v>1378</v>
      </c>
      <c r="B61">
        <v>1</v>
      </c>
      <c r="C61" s="56">
        <v>42640</v>
      </c>
      <c r="D61" t="s">
        <v>1449</v>
      </c>
      <c r="E61" t="s">
        <v>1420</v>
      </c>
      <c r="G61" t="s">
        <v>1144</v>
      </c>
      <c r="H61" t="s">
        <v>1144</v>
      </c>
      <c r="I61" t="s">
        <v>1144</v>
      </c>
      <c r="J61" t="s">
        <v>1144</v>
      </c>
      <c r="K61" t="s">
        <v>1144</v>
      </c>
      <c r="L61">
        <v>542.45000000000005</v>
      </c>
      <c r="M61">
        <v>1056.52</v>
      </c>
      <c r="N61">
        <v>0</v>
      </c>
      <c r="O61" s="56"/>
      <c r="P61" s="56"/>
      <c r="Q61">
        <v>13718</v>
      </c>
      <c r="R61">
        <v>9</v>
      </c>
      <c r="S61">
        <v>4</v>
      </c>
      <c r="T61">
        <v>2</v>
      </c>
      <c r="U61">
        <v>2</v>
      </c>
      <c r="V61">
        <v>1</v>
      </c>
      <c r="X61" t="s">
        <v>2386</v>
      </c>
      <c r="AA61">
        <v>0.27</v>
      </c>
      <c r="AB61">
        <v>2</v>
      </c>
      <c r="AC61">
        <v>5.56</v>
      </c>
      <c r="AD61">
        <v>6.48</v>
      </c>
      <c r="AE61">
        <v>0</v>
      </c>
      <c r="AF61">
        <v>0</v>
      </c>
      <c r="AG61">
        <v>0</v>
      </c>
      <c r="AJ61" s="56"/>
      <c r="AK61" s="56">
        <v>42369</v>
      </c>
      <c r="AL61" s="56"/>
      <c r="AM61">
        <v>6</v>
      </c>
      <c r="AP61" t="s">
        <v>1450</v>
      </c>
      <c r="AS61" t="s">
        <v>1152</v>
      </c>
      <c r="AT61">
        <v>1</v>
      </c>
      <c r="AV61">
        <v>6</v>
      </c>
      <c r="AW61">
        <v>4</v>
      </c>
      <c r="AX61">
        <v>2</v>
      </c>
      <c r="AY61" t="s">
        <v>1147</v>
      </c>
      <c r="AZ61" t="s">
        <v>1147</v>
      </c>
      <c r="BA61">
        <v>6</v>
      </c>
      <c r="BD61">
        <v>1000000000</v>
      </c>
      <c r="BE61">
        <v>7</v>
      </c>
      <c r="BF61">
        <v>-0.17</v>
      </c>
      <c r="BG61">
        <v>0</v>
      </c>
      <c r="BH61">
        <v>0</v>
      </c>
      <c r="BI61">
        <v>0</v>
      </c>
      <c r="BJ61">
        <v>0</v>
      </c>
      <c r="BK61">
        <v>0</v>
      </c>
      <c r="BL61">
        <v>0</v>
      </c>
      <c r="BM61">
        <v>7</v>
      </c>
      <c r="BN61">
        <v>-0.17</v>
      </c>
      <c r="BO61">
        <v>0</v>
      </c>
      <c r="BP61">
        <v>0</v>
      </c>
      <c r="BR61">
        <v>0</v>
      </c>
      <c r="BS61">
        <v>3</v>
      </c>
      <c r="BX61">
        <v>0</v>
      </c>
      <c r="BY61">
        <v>542.45000000000005</v>
      </c>
      <c r="BZ61">
        <v>0</v>
      </c>
      <c r="CA61">
        <v>11.37</v>
      </c>
      <c r="CC61">
        <v>1</v>
      </c>
      <c r="CD61" s="56">
        <v>42593</v>
      </c>
      <c r="CE61" s="56">
        <v>42612</v>
      </c>
      <c r="CF61" s="56">
        <v>42612</v>
      </c>
      <c r="CG61" s="56">
        <v>42640</v>
      </c>
      <c r="CH61" s="56"/>
      <c r="CI61" s="56"/>
      <c r="CJ61">
        <v>0.08</v>
      </c>
      <c r="CK61">
        <v>0</v>
      </c>
      <c r="CL61">
        <v>0</v>
      </c>
      <c r="CM61">
        <v>0</v>
      </c>
      <c r="CN61">
        <v>0</v>
      </c>
      <c r="CO61">
        <v>0.32</v>
      </c>
      <c r="CP61">
        <v>0.39</v>
      </c>
      <c r="CQ61" t="s">
        <v>1378</v>
      </c>
      <c r="CR61" t="s">
        <v>1377</v>
      </c>
      <c r="CS61" t="s">
        <v>1451</v>
      </c>
      <c r="CT61" t="s">
        <v>1724</v>
      </c>
      <c r="CU61" t="s">
        <v>1742</v>
      </c>
      <c r="CV61" t="s">
        <v>1990</v>
      </c>
      <c r="DB61" t="s">
        <v>1978</v>
      </c>
      <c r="DE61" t="s">
        <v>1724</v>
      </c>
    </row>
    <row r="62" spans="1:109" x14ac:dyDescent="0.25">
      <c r="A62" t="s">
        <v>1378</v>
      </c>
      <c r="B62">
        <v>1</v>
      </c>
      <c r="C62" s="56">
        <v>42640</v>
      </c>
      <c r="D62" t="s">
        <v>1449</v>
      </c>
      <c r="E62" t="s">
        <v>2337</v>
      </c>
      <c r="G62" t="s">
        <v>1144</v>
      </c>
      <c r="H62" t="s">
        <v>1144</v>
      </c>
      <c r="I62" t="s">
        <v>1144</v>
      </c>
      <c r="J62" t="s">
        <v>1144</v>
      </c>
      <c r="K62" t="s">
        <v>1144</v>
      </c>
      <c r="L62">
        <v>1158.47</v>
      </c>
      <c r="M62">
        <v>2</v>
      </c>
      <c r="N62">
        <v>0</v>
      </c>
      <c r="O62" s="56"/>
      <c r="P62" s="56"/>
      <c r="Q62">
        <v>13718</v>
      </c>
      <c r="R62">
        <v>9</v>
      </c>
      <c r="S62">
        <v>4</v>
      </c>
      <c r="T62">
        <v>2</v>
      </c>
      <c r="U62">
        <v>2</v>
      </c>
      <c r="V62">
        <v>1</v>
      </c>
      <c r="W62" t="s">
        <v>1376</v>
      </c>
      <c r="X62" t="s">
        <v>2385</v>
      </c>
      <c r="AA62">
        <v>0</v>
      </c>
      <c r="AB62">
        <v>0</v>
      </c>
      <c r="AC62">
        <v>0</v>
      </c>
      <c r="AD62">
        <v>0</v>
      </c>
      <c r="AE62">
        <v>0</v>
      </c>
      <c r="AF62">
        <v>0</v>
      </c>
      <c r="AG62">
        <v>0</v>
      </c>
      <c r="AJ62" s="56"/>
      <c r="AK62" s="56">
        <v>42369</v>
      </c>
      <c r="AL62" s="56"/>
      <c r="AM62">
        <v>1</v>
      </c>
      <c r="AP62" t="s">
        <v>1450</v>
      </c>
      <c r="AS62" t="s">
        <v>1152</v>
      </c>
      <c r="AT62">
        <v>1</v>
      </c>
      <c r="AV62">
        <v>2</v>
      </c>
      <c r="AW62">
        <v>2</v>
      </c>
      <c r="AX62">
        <v>1</v>
      </c>
      <c r="AY62" t="s">
        <v>1145</v>
      </c>
      <c r="AZ62" t="s">
        <v>1145</v>
      </c>
      <c r="BA62">
        <v>1</v>
      </c>
      <c r="BD62">
        <v>1000000000</v>
      </c>
      <c r="BE62">
        <v>2</v>
      </c>
      <c r="BF62">
        <v>0</v>
      </c>
      <c r="BG62">
        <v>0</v>
      </c>
      <c r="BH62">
        <v>0</v>
      </c>
      <c r="BI62">
        <v>0</v>
      </c>
      <c r="BJ62">
        <v>0</v>
      </c>
      <c r="BK62">
        <v>0</v>
      </c>
      <c r="BL62">
        <v>0</v>
      </c>
      <c r="BM62">
        <v>2</v>
      </c>
      <c r="BN62">
        <v>0</v>
      </c>
      <c r="BO62">
        <v>0</v>
      </c>
      <c r="BP62">
        <v>0</v>
      </c>
      <c r="BR62">
        <v>0</v>
      </c>
      <c r="BS62">
        <v>1</v>
      </c>
      <c r="BX62">
        <v>0</v>
      </c>
      <c r="BY62">
        <v>0</v>
      </c>
      <c r="BZ62">
        <v>0</v>
      </c>
      <c r="CA62">
        <v>-11.98</v>
      </c>
      <c r="CC62">
        <v>1</v>
      </c>
      <c r="CD62" s="56">
        <v>42619</v>
      </c>
      <c r="CE62" s="56">
        <v>42619</v>
      </c>
      <c r="CF62" s="56">
        <v>42619</v>
      </c>
      <c r="CG62" s="56">
        <v>42647</v>
      </c>
      <c r="CH62" s="56"/>
      <c r="CI62" s="56"/>
      <c r="CJ62">
        <v>0</v>
      </c>
      <c r="CK62">
        <v>0</v>
      </c>
      <c r="CL62">
        <v>0</v>
      </c>
      <c r="CM62">
        <v>0</v>
      </c>
      <c r="CN62">
        <v>0.65</v>
      </c>
      <c r="CO62">
        <v>0</v>
      </c>
      <c r="CP62">
        <v>0</v>
      </c>
      <c r="CQ62" t="s">
        <v>1378</v>
      </c>
      <c r="CR62" t="s">
        <v>1377</v>
      </c>
      <c r="CS62" t="s">
        <v>1451</v>
      </c>
      <c r="CT62" t="s">
        <v>1724</v>
      </c>
      <c r="CU62" t="s">
        <v>1742</v>
      </c>
      <c r="CV62" t="s">
        <v>2338</v>
      </c>
      <c r="DB62" t="s">
        <v>2145</v>
      </c>
      <c r="DE62" t="s">
        <v>1724</v>
      </c>
    </row>
    <row r="63" spans="1:109" x14ac:dyDescent="0.25">
      <c r="A63" t="s">
        <v>1378</v>
      </c>
      <c r="B63">
        <v>1</v>
      </c>
      <c r="C63" s="56">
        <v>42640</v>
      </c>
      <c r="D63" t="s">
        <v>1449</v>
      </c>
      <c r="E63" t="s">
        <v>2037</v>
      </c>
      <c r="G63" t="s">
        <v>1144</v>
      </c>
      <c r="H63" t="s">
        <v>1144</v>
      </c>
      <c r="I63" t="s">
        <v>1144</v>
      </c>
      <c r="J63" t="s">
        <v>1144</v>
      </c>
      <c r="K63" t="s">
        <v>1144</v>
      </c>
      <c r="L63">
        <v>195.17</v>
      </c>
      <c r="M63">
        <v>2</v>
      </c>
      <c r="N63">
        <v>0</v>
      </c>
      <c r="O63" s="56"/>
      <c r="P63" s="56"/>
      <c r="Q63">
        <v>13718</v>
      </c>
      <c r="R63">
        <v>9</v>
      </c>
      <c r="S63">
        <v>4</v>
      </c>
      <c r="T63">
        <v>2</v>
      </c>
      <c r="U63">
        <v>2</v>
      </c>
      <c r="V63">
        <v>1</v>
      </c>
      <c r="W63" t="s">
        <v>2379</v>
      </c>
      <c r="X63" t="s">
        <v>2386</v>
      </c>
      <c r="AA63">
        <v>0</v>
      </c>
      <c r="AB63">
        <v>0</v>
      </c>
      <c r="AC63">
        <v>0</v>
      </c>
      <c r="AD63">
        <v>0</v>
      </c>
      <c r="AE63">
        <v>0</v>
      </c>
      <c r="AF63">
        <v>0</v>
      </c>
      <c r="AG63">
        <v>0</v>
      </c>
      <c r="AJ63" s="56"/>
      <c r="AK63" s="56">
        <v>42369</v>
      </c>
      <c r="AL63" s="56"/>
      <c r="AM63">
        <v>1</v>
      </c>
      <c r="AP63" t="s">
        <v>1450</v>
      </c>
      <c r="AS63" t="s">
        <v>1152</v>
      </c>
      <c r="AT63">
        <v>1</v>
      </c>
      <c r="AV63">
        <v>1</v>
      </c>
      <c r="AW63">
        <v>1</v>
      </c>
      <c r="AX63">
        <v>0.5</v>
      </c>
      <c r="AY63" t="s">
        <v>1145</v>
      </c>
      <c r="AZ63" t="s">
        <v>1145</v>
      </c>
      <c r="BA63">
        <v>1</v>
      </c>
      <c r="BD63">
        <v>1000000000</v>
      </c>
      <c r="BE63">
        <v>1</v>
      </c>
      <c r="BF63">
        <v>0</v>
      </c>
      <c r="BG63">
        <v>0</v>
      </c>
      <c r="BH63">
        <v>0</v>
      </c>
      <c r="BI63">
        <v>0</v>
      </c>
      <c r="BJ63">
        <v>0</v>
      </c>
      <c r="BK63">
        <v>0</v>
      </c>
      <c r="BL63">
        <v>0</v>
      </c>
      <c r="BM63">
        <v>1</v>
      </c>
      <c r="BN63">
        <v>0</v>
      </c>
      <c r="BO63">
        <v>0</v>
      </c>
      <c r="BP63">
        <v>0</v>
      </c>
      <c r="BR63">
        <v>0</v>
      </c>
      <c r="BS63">
        <v>1</v>
      </c>
      <c r="BX63">
        <v>0</v>
      </c>
      <c r="BY63">
        <v>0</v>
      </c>
      <c r="BZ63">
        <v>0</v>
      </c>
      <c r="CA63">
        <v>-11.88</v>
      </c>
      <c r="CC63">
        <v>1</v>
      </c>
      <c r="CD63" s="56">
        <v>42593</v>
      </c>
      <c r="CE63" s="56">
        <v>42612</v>
      </c>
      <c r="CF63" s="56">
        <v>42612</v>
      </c>
      <c r="CG63" s="56">
        <v>42640</v>
      </c>
      <c r="CH63" s="56"/>
      <c r="CI63" s="56"/>
      <c r="CJ63">
        <v>0</v>
      </c>
      <c r="CK63">
        <v>0</v>
      </c>
      <c r="CL63">
        <v>0</v>
      </c>
      <c r="CM63">
        <v>0</v>
      </c>
      <c r="CN63">
        <v>0.71</v>
      </c>
      <c r="CO63">
        <v>0</v>
      </c>
      <c r="CP63">
        <v>0</v>
      </c>
      <c r="CQ63" t="s">
        <v>1378</v>
      </c>
      <c r="CR63" t="s">
        <v>1377</v>
      </c>
      <c r="CS63" t="s">
        <v>1451</v>
      </c>
      <c r="CT63" t="s">
        <v>1724</v>
      </c>
      <c r="CU63" t="s">
        <v>1742</v>
      </c>
      <c r="CV63" t="s">
        <v>2038</v>
      </c>
      <c r="DB63" t="s">
        <v>2014</v>
      </c>
      <c r="DE63" t="s">
        <v>1724</v>
      </c>
    </row>
    <row r="64" spans="1:109" x14ac:dyDescent="0.25">
      <c r="A64" t="s">
        <v>1378</v>
      </c>
      <c r="B64">
        <v>1</v>
      </c>
      <c r="C64" s="56">
        <v>42640</v>
      </c>
      <c r="D64" t="s">
        <v>1449</v>
      </c>
      <c r="E64" t="s">
        <v>2090</v>
      </c>
      <c r="G64" t="s">
        <v>1144</v>
      </c>
      <c r="H64" t="s">
        <v>1144</v>
      </c>
      <c r="I64" t="s">
        <v>1144</v>
      </c>
      <c r="J64" t="s">
        <v>1144</v>
      </c>
      <c r="K64" t="s">
        <v>1144</v>
      </c>
      <c r="L64">
        <v>124.44</v>
      </c>
      <c r="M64">
        <v>293.95</v>
      </c>
      <c r="N64">
        <v>0</v>
      </c>
      <c r="O64" s="56"/>
      <c r="P64" s="56"/>
      <c r="Q64">
        <v>13718</v>
      </c>
      <c r="R64">
        <v>9</v>
      </c>
      <c r="S64">
        <v>4</v>
      </c>
      <c r="T64">
        <v>2</v>
      </c>
      <c r="U64">
        <v>2</v>
      </c>
      <c r="V64">
        <v>1</v>
      </c>
      <c r="W64" t="s">
        <v>2379</v>
      </c>
      <c r="X64" t="s">
        <v>2386</v>
      </c>
      <c r="AA64">
        <v>0</v>
      </c>
      <c r="AB64">
        <v>0</v>
      </c>
      <c r="AC64">
        <v>0</v>
      </c>
      <c r="AD64">
        <v>0</v>
      </c>
      <c r="AE64">
        <v>0</v>
      </c>
      <c r="AF64">
        <v>0</v>
      </c>
      <c r="AG64">
        <v>0</v>
      </c>
      <c r="AJ64" s="56"/>
      <c r="AK64" s="56">
        <v>42369</v>
      </c>
      <c r="AL64" s="56"/>
      <c r="AM64">
        <v>2</v>
      </c>
      <c r="AP64" t="s">
        <v>1450</v>
      </c>
      <c r="AS64" t="s">
        <v>1152</v>
      </c>
      <c r="AT64">
        <v>1</v>
      </c>
      <c r="AV64">
        <v>2</v>
      </c>
      <c r="AW64">
        <v>2</v>
      </c>
      <c r="AX64">
        <v>1</v>
      </c>
      <c r="AY64" t="s">
        <v>1145</v>
      </c>
      <c r="AZ64" t="s">
        <v>1145</v>
      </c>
      <c r="BA64">
        <v>2</v>
      </c>
      <c r="BD64">
        <v>1000000000</v>
      </c>
      <c r="BE64">
        <v>2</v>
      </c>
      <c r="BF64">
        <v>0</v>
      </c>
      <c r="BG64">
        <v>0</v>
      </c>
      <c r="BH64">
        <v>0</v>
      </c>
      <c r="BI64">
        <v>0</v>
      </c>
      <c r="BJ64">
        <v>0</v>
      </c>
      <c r="BK64">
        <v>0</v>
      </c>
      <c r="BL64">
        <v>0</v>
      </c>
      <c r="BM64">
        <v>2</v>
      </c>
      <c r="BN64">
        <v>0</v>
      </c>
      <c r="BO64">
        <v>0</v>
      </c>
      <c r="BP64">
        <v>0</v>
      </c>
      <c r="BR64">
        <v>0</v>
      </c>
      <c r="BS64">
        <v>1</v>
      </c>
      <c r="BX64">
        <v>0</v>
      </c>
      <c r="BY64">
        <v>0</v>
      </c>
      <c r="BZ64">
        <v>0</v>
      </c>
      <c r="CA64">
        <v>16.350000000000001</v>
      </c>
      <c r="CC64">
        <v>1</v>
      </c>
      <c r="CD64" s="56">
        <v>42593</v>
      </c>
      <c r="CE64" s="56">
        <v>42612</v>
      </c>
      <c r="CF64" s="56">
        <v>42612</v>
      </c>
      <c r="CG64" s="56">
        <v>42640</v>
      </c>
      <c r="CH64" s="56"/>
      <c r="CI64" s="56"/>
      <c r="CJ64">
        <v>0</v>
      </c>
      <c r="CK64">
        <v>0</v>
      </c>
      <c r="CL64">
        <v>0</v>
      </c>
      <c r="CM64">
        <v>0</v>
      </c>
      <c r="CN64">
        <v>0.71</v>
      </c>
      <c r="CO64">
        <v>0</v>
      </c>
      <c r="CP64">
        <v>0</v>
      </c>
      <c r="CQ64" t="s">
        <v>1378</v>
      </c>
      <c r="CR64" t="s">
        <v>1377</v>
      </c>
      <c r="CS64" t="s">
        <v>1451</v>
      </c>
      <c r="CT64" t="s">
        <v>1724</v>
      </c>
      <c r="CU64" t="s">
        <v>1742</v>
      </c>
      <c r="CV64" t="s">
        <v>2091</v>
      </c>
      <c r="DB64" t="s">
        <v>2059</v>
      </c>
      <c r="DE64" t="s">
        <v>1724</v>
      </c>
    </row>
    <row r="65" spans="1:109" x14ac:dyDescent="0.25">
      <c r="A65" t="s">
        <v>1378</v>
      </c>
      <c r="B65">
        <v>1</v>
      </c>
      <c r="C65" s="56">
        <v>42640</v>
      </c>
      <c r="D65" t="s">
        <v>1449</v>
      </c>
      <c r="E65" t="s">
        <v>1780</v>
      </c>
      <c r="G65" t="s">
        <v>1144</v>
      </c>
      <c r="H65" t="s">
        <v>1144</v>
      </c>
      <c r="I65" t="s">
        <v>1144</v>
      </c>
      <c r="J65" t="s">
        <v>1144</v>
      </c>
      <c r="K65" t="s">
        <v>1144</v>
      </c>
      <c r="L65">
        <v>198.4</v>
      </c>
      <c r="M65">
        <v>361.16</v>
      </c>
      <c r="N65">
        <v>0</v>
      </c>
      <c r="O65" s="56"/>
      <c r="P65" s="56"/>
      <c r="Q65">
        <v>13718</v>
      </c>
      <c r="R65">
        <v>9</v>
      </c>
      <c r="S65">
        <v>4</v>
      </c>
      <c r="T65">
        <v>2</v>
      </c>
      <c r="U65">
        <v>2</v>
      </c>
      <c r="V65">
        <v>1</v>
      </c>
      <c r="X65" t="s">
        <v>2385</v>
      </c>
      <c r="AA65">
        <v>0.04</v>
      </c>
      <c r="AB65">
        <v>1</v>
      </c>
      <c r="AC65">
        <v>18.75</v>
      </c>
      <c r="AD65">
        <v>25</v>
      </c>
      <c r="AE65">
        <v>0</v>
      </c>
      <c r="AF65">
        <v>0</v>
      </c>
      <c r="AG65">
        <v>0</v>
      </c>
      <c r="AJ65" s="56">
        <v>42666</v>
      </c>
      <c r="AK65" s="56">
        <v>42369</v>
      </c>
      <c r="AL65" s="56"/>
      <c r="AM65">
        <v>4</v>
      </c>
      <c r="AP65" t="s">
        <v>1450</v>
      </c>
      <c r="AS65" t="s">
        <v>1152</v>
      </c>
      <c r="AT65">
        <v>1</v>
      </c>
      <c r="AV65">
        <v>3</v>
      </c>
      <c r="AW65">
        <v>2</v>
      </c>
      <c r="AX65">
        <v>1</v>
      </c>
      <c r="AY65" t="s">
        <v>1147</v>
      </c>
      <c r="AZ65" t="s">
        <v>1147</v>
      </c>
      <c r="BA65">
        <v>4</v>
      </c>
      <c r="BD65">
        <v>1000000000</v>
      </c>
      <c r="BE65">
        <v>4</v>
      </c>
      <c r="BF65">
        <v>-0.33</v>
      </c>
      <c r="BG65">
        <v>0</v>
      </c>
      <c r="BH65">
        <v>0</v>
      </c>
      <c r="BI65">
        <v>0</v>
      </c>
      <c r="BJ65">
        <v>0</v>
      </c>
      <c r="BK65">
        <v>0</v>
      </c>
      <c r="BL65">
        <v>0</v>
      </c>
      <c r="BM65">
        <v>4</v>
      </c>
      <c r="BN65">
        <v>-0.33</v>
      </c>
      <c r="BO65">
        <v>0</v>
      </c>
      <c r="BP65">
        <v>0</v>
      </c>
      <c r="BR65">
        <v>0</v>
      </c>
      <c r="BS65">
        <v>2</v>
      </c>
      <c r="BX65">
        <v>0</v>
      </c>
      <c r="BY65">
        <v>198.4</v>
      </c>
      <c r="BZ65">
        <v>0</v>
      </c>
      <c r="CA65">
        <v>9.84</v>
      </c>
      <c r="CC65">
        <v>1</v>
      </c>
      <c r="CD65" s="56">
        <v>42619</v>
      </c>
      <c r="CE65" s="56">
        <v>42619</v>
      </c>
      <c r="CF65" s="56">
        <v>42619</v>
      </c>
      <c r="CG65" s="56">
        <v>42647</v>
      </c>
      <c r="CH65" s="56"/>
      <c r="CI65" s="56"/>
      <c r="CJ65">
        <v>0</v>
      </c>
      <c r="CK65">
        <v>0</v>
      </c>
      <c r="CL65">
        <v>0</v>
      </c>
      <c r="CM65">
        <v>0</v>
      </c>
      <c r="CN65">
        <v>0</v>
      </c>
      <c r="CO65">
        <v>0</v>
      </c>
      <c r="CP65">
        <v>0.65</v>
      </c>
      <c r="CQ65" t="s">
        <v>1378</v>
      </c>
      <c r="CR65" t="s">
        <v>1377</v>
      </c>
      <c r="CS65" t="s">
        <v>1451</v>
      </c>
      <c r="CT65" t="s">
        <v>1724</v>
      </c>
      <c r="CU65" t="s">
        <v>1742</v>
      </c>
      <c r="CV65" t="s">
        <v>1781</v>
      </c>
      <c r="DB65" t="s">
        <v>1762</v>
      </c>
      <c r="DE65" t="s">
        <v>1724</v>
      </c>
    </row>
    <row r="66" spans="1:109" x14ac:dyDescent="0.25">
      <c r="A66" t="s">
        <v>1378</v>
      </c>
      <c r="B66">
        <v>1</v>
      </c>
      <c r="C66" s="56">
        <v>42640</v>
      </c>
      <c r="D66" t="s">
        <v>1449</v>
      </c>
      <c r="E66" t="s">
        <v>2143</v>
      </c>
      <c r="G66" t="s">
        <v>1144</v>
      </c>
      <c r="H66" t="s">
        <v>1144</v>
      </c>
      <c r="I66" t="s">
        <v>1144</v>
      </c>
      <c r="J66" t="s">
        <v>1144</v>
      </c>
      <c r="K66" t="s">
        <v>1144</v>
      </c>
      <c r="L66">
        <v>2047.78</v>
      </c>
      <c r="M66">
        <v>2</v>
      </c>
      <c r="N66">
        <v>0</v>
      </c>
      <c r="O66" s="56"/>
      <c r="P66" s="56"/>
      <c r="Q66">
        <v>13718</v>
      </c>
      <c r="R66">
        <v>9</v>
      </c>
      <c r="S66">
        <v>4</v>
      </c>
      <c r="T66">
        <v>2</v>
      </c>
      <c r="U66">
        <v>2</v>
      </c>
      <c r="V66">
        <v>1</v>
      </c>
      <c r="X66" t="s">
        <v>2386</v>
      </c>
      <c r="AA66">
        <v>0</v>
      </c>
      <c r="AB66">
        <v>0</v>
      </c>
      <c r="AC66">
        <v>0</v>
      </c>
      <c r="AD66">
        <v>0</v>
      </c>
      <c r="AE66">
        <v>0</v>
      </c>
      <c r="AF66">
        <v>0</v>
      </c>
      <c r="AG66">
        <v>0</v>
      </c>
      <c r="AJ66" s="56"/>
      <c r="AK66" s="56"/>
      <c r="AL66" s="56"/>
      <c r="AP66" t="s">
        <v>1450</v>
      </c>
      <c r="AS66" t="s">
        <v>1152</v>
      </c>
      <c r="AT66">
        <v>1</v>
      </c>
      <c r="AV66">
        <v>0</v>
      </c>
      <c r="AW66">
        <v>0</v>
      </c>
      <c r="AX66">
        <v>0</v>
      </c>
      <c r="AY66" t="s">
        <v>1375</v>
      </c>
      <c r="AZ66" t="s">
        <v>1375</v>
      </c>
      <c r="BA66">
        <v>0</v>
      </c>
      <c r="BD66">
        <v>1000000000</v>
      </c>
      <c r="BE66">
        <v>0</v>
      </c>
      <c r="BF66">
        <v>0</v>
      </c>
      <c r="BG66">
        <v>0</v>
      </c>
      <c r="BH66">
        <v>0</v>
      </c>
      <c r="BI66">
        <v>0</v>
      </c>
      <c r="BJ66">
        <v>0</v>
      </c>
      <c r="BK66">
        <v>0</v>
      </c>
      <c r="BL66">
        <v>0</v>
      </c>
      <c r="BM66">
        <v>0</v>
      </c>
      <c r="BN66">
        <v>0</v>
      </c>
      <c r="BO66">
        <v>0</v>
      </c>
      <c r="BP66">
        <v>0</v>
      </c>
      <c r="BR66">
        <v>0</v>
      </c>
      <c r="BS66">
        <v>0</v>
      </c>
      <c r="BX66">
        <v>0</v>
      </c>
      <c r="BY66">
        <v>0</v>
      </c>
      <c r="BZ66">
        <v>0</v>
      </c>
      <c r="CA66">
        <v>0</v>
      </c>
      <c r="CC66">
        <v>1</v>
      </c>
      <c r="CD66" s="56">
        <v>42593</v>
      </c>
      <c r="CE66" s="56">
        <v>42612</v>
      </c>
      <c r="CF66" s="56">
        <v>42612</v>
      </c>
      <c r="CG66" s="56">
        <v>42640</v>
      </c>
      <c r="CH66" s="56"/>
      <c r="CI66" s="56"/>
      <c r="CJ66">
        <v>1</v>
      </c>
      <c r="CK66">
        <v>0</v>
      </c>
      <c r="CL66">
        <v>0.71</v>
      </c>
      <c r="CM66">
        <v>0</v>
      </c>
      <c r="CN66">
        <v>0</v>
      </c>
      <c r="CO66">
        <v>0</v>
      </c>
      <c r="CP66">
        <v>0</v>
      </c>
      <c r="CQ66" t="s">
        <v>1378</v>
      </c>
      <c r="CR66" t="s">
        <v>1377</v>
      </c>
      <c r="CS66" t="s">
        <v>1451</v>
      </c>
      <c r="CT66" t="s">
        <v>1724</v>
      </c>
      <c r="CU66" t="s">
        <v>1742</v>
      </c>
      <c r="CV66" t="s">
        <v>2144</v>
      </c>
      <c r="DB66" t="s">
        <v>2145</v>
      </c>
      <c r="DE66" t="s">
        <v>1724</v>
      </c>
    </row>
    <row r="67" spans="1:109" x14ac:dyDescent="0.25">
      <c r="A67" t="s">
        <v>1378</v>
      </c>
      <c r="B67">
        <v>1</v>
      </c>
      <c r="C67" s="56">
        <v>42640</v>
      </c>
      <c r="D67" t="s">
        <v>1449</v>
      </c>
      <c r="E67" t="s">
        <v>1917</v>
      </c>
      <c r="G67" t="s">
        <v>1144</v>
      </c>
      <c r="H67" t="s">
        <v>1144</v>
      </c>
      <c r="I67" t="s">
        <v>1144</v>
      </c>
      <c r="J67" t="s">
        <v>1144</v>
      </c>
      <c r="K67" t="s">
        <v>1144</v>
      </c>
      <c r="L67">
        <v>0</v>
      </c>
      <c r="M67">
        <v>230.18</v>
      </c>
      <c r="N67">
        <v>0</v>
      </c>
      <c r="O67" s="56"/>
      <c r="P67" s="56"/>
      <c r="Q67">
        <v>13718</v>
      </c>
      <c r="R67">
        <v>9</v>
      </c>
      <c r="S67">
        <v>4</v>
      </c>
      <c r="T67">
        <v>2</v>
      </c>
      <c r="U67">
        <v>2</v>
      </c>
      <c r="V67">
        <v>1</v>
      </c>
      <c r="X67" t="s">
        <v>2386</v>
      </c>
      <c r="AA67">
        <v>0</v>
      </c>
      <c r="AB67">
        <v>0</v>
      </c>
      <c r="AC67">
        <v>0</v>
      </c>
      <c r="AD67">
        <v>0</v>
      </c>
      <c r="AE67">
        <v>0</v>
      </c>
      <c r="AF67">
        <v>0</v>
      </c>
      <c r="AG67">
        <v>0</v>
      </c>
      <c r="AJ67" s="56"/>
      <c r="AK67" s="56"/>
      <c r="AL67" s="56"/>
      <c r="AP67" t="s">
        <v>1450</v>
      </c>
      <c r="AS67" t="s">
        <v>1152</v>
      </c>
      <c r="AT67">
        <v>1</v>
      </c>
      <c r="AV67">
        <v>0</v>
      </c>
      <c r="AW67">
        <v>0</v>
      </c>
      <c r="AX67">
        <v>0</v>
      </c>
      <c r="AY67" t="s">
        <v>1375</v>
      </c>
      <c r="AZ67" t="s">
        <v>1375</v>
      </c>
      <c r="BA67">
        <v>0</v>
      </c>
      <c r="BD67">
        <v>1000000000</v>
      </c>
      <c r="BE67">
        <v>0</v>
      </c>
      <c r="BF67">
        <v>0</v>
      </c>
      <c r="BG67">
        <v>0</v>
      </c>
      <c r="BH67">
        <v>0</v>
      </c>
      <c r="BI67">
        <v>0</v>
      </c>
      <c r="BJ67">
        <v>0</v>
      </c>
      <c r="BK67">
        <v>0</v>
      </c>
      <c r="BL67">
        <v>0</v>
      </c>
      <c r="BM67">
        <v>0</v>
      </c>
      <c r="BN67">
        <v>0</v>
      </c>
      <c r="BO67">
        <v>0</v>
      </c>
      <c r="BP67">
        <v>0</v>
      </c>
      <c r="BR67">
        <v>0</v>
      </c>
      <c r="BS67">
        <v>0</v>
      </c>
      <c r="BX67">
        <v>0</v>
      </c>
      <c r="BY67">
        <v>0</v>
      </c>
      <c r="BZ67">
        <v>0</v>
      </c>
      <c r="CA67">
        <v>0</v>
      </c>
      <c r="CC67">
        <v>1</v>
      </c>
      <c r="CD67" s="56">
        <v>42593</v>
      </c>
      <c r="CE67" s="56">
        <v>42612</v>
      </c>
      <c r="CF67" s="56">
        <v>42612</v>
      </c>
      <c r="CG67" s="56">
        <v>42640</v>
      </c>
      <c r="CH67" s="56"/>
      <c r="CI67" s="56"/>
      <c r="CJ67">
        <v>1</v>
      </c>
      <c r="CK67">
        <v>0</v>
      </c>
      <c r="CL67">
        <v>0.71</v>
      </c>
      <c r="CM67">
        <v>0</v>
      </c>
      <c r="CN67">
        <v>0</v>
      </c>
      <c r="CO67">
        <v>0</v>
      </c>
      <c r="CP67">
        <v>0</v>
      </c>
      <c r="CQ67" t="s">
        <v>1378</v>
      </c>
      <c r="CR67" t="s">
        <v>1377</v>
      </c>
      <c r="CS67" t="s">
        <v>1451</v>
      </c>
      <c r="CT67" t="s">
        <v>1724</v>
      </c>
      <c r="CU67" t="s">
        <v>1742</v>
      </c>
      <c r="CV67" t="s">
        <v>1918</v>
      </c>
      <c r="DB67" t="s">
        <v>1869</v>
      </c>
      <c r="DE67" t="s">
        <v>1724</v>
      </c>
    </row>
    <row r="68" spans="1:109" x14ac:dyDescent="0.25">
      <c r="A68" t="s">
        <v>1378</v>
      </c>
      <c r="B68">
        <v>1</v>
      </c>
      <c r="C68" s="56">
        <v>42640</v>
      </c>
      <c r="D68" t="s">
        <v>1449</v>
      </c>
      <c r="E68" t="s">
        <v>1486</v>
      </c>
      <c r="G68" t="s">
        <v>1144</v>
      </c>
      <c r="H68" t="s">
        <v>1144</v>
      </c>
      <c r="I68" t="s">
        <v>1144</v>
      </c>
      <c r="J68" t="s">
        <v>1144</v>
      </c>
      <c r="K68" t="s">
        <v>1144</v>
      </c>
      <c r="L68">
        <v>562.08000000000004</v>
      </c>
      <c r="M68">
        <v>2</v>
      </c>
      <c r="N68">
        <v>0</v>
      </c>
      <c r="O68" s="56"/>
      <c r="P68" s="56"/>
      <c r="Q68">
        <v>13718</v>
      </c>
      <c r="R68">
        <v>9</v>
      </c>
      <c r="S68">
        <v>4</v>
      </c>
      <c r="T68">
        <v>2</v>
      </c>
      <c r="U68">
        <v>2</v>
      </c>
      <c r="V68">
        <v>1</v>
      </c>
      <c r="X68" t="s">
        <v>2387</v>
      </c>
      <c r="AA68">
        <v>0.04</v>
      </c>
      <c r="AB68">
        <v>1</v>
      </c>
      <c r="AC68">
        <v>12.5</v>
      </c>
      <c r="AD68">
        <v>18.75</v>
      </c>
      <c r="AE68">
        <v>0</v>
      </c>
      <c r="AF68">
        <v>0</v>
      </c>
      <c r="AG68">
        <v>0</v>
      </c>
      <c r="AJ68" s="56"/>
      <c r="AK68" s="56"/>
      <c r="AL68" s="56"/>
      <c r="AM68">
        <v>1</v>
      </c>
      <c r="AP68" t="s">
        <v>1450</v>
      </c>
      <c r="AS68" t="s">
        <v>1152</v>
      </c>
      <c r="AT68">
        <v>1</v>
      </c>
      <c r="AV68">
        <v>2</v>
      </c>
      <c r="AW68">
        <v>2</v>
      </c>
      <c r="AX68">
        <v>1</v>
      </c>
      <c r="AY68" t="s">
        <v>1147</v>
      </c>
      <c r="AZ68" t="s">
        <v>1147</v>
      </c>
      <c r="BA68">
        <v>1</v>
      </c>
      <c r="BD68">
        <v>1000000000</v>
      </c>
      <c r="BE68">
        <v>3</v>
      </c>
      <c r="BF68">
        <v>-0.5</v>
      </c>
      <c r="BG68">
        <v>0</v>
      </c>
      <c r="BH68">
        <v>0</v>
      </c>
      <c r="BI68">
        <v>0</v>
      </c>
      <c r="BJ68">
        <v>0</v>
      </c>
      <c r="BK68">
        <v>0</v>
      </c>
      <c r="BL68">
        <v>0</v>
      </c>
      <c r="BM68">
        <v>3</v>
      </c>
      <c r="BN68">
        <v>-0.5</v>
      </c>
      <c r="BO68">
        <v>0</v>
      </c>
      <c r="BP68">
        <v>0</v>
      </c>
      <c r="BR68">
        <v>0</v>
      </c>
      <c r="BS68">
        <v>1</v>
      </c>
      <c r="BX68">
        <v>0</v>
      </c>
      <c r="BY68">
        <v>562.08000000000004</v>
      </c>
      <c r="BZ68">
        <v>0</v>
      </c>
      <c r="CA68">
        <v>-11.96</v>
      </c>
      <c r="CC68">
        <v>1</v>
      </c>
      <c r="CD68" s="56">
        <v>42592</v>
      </c>
      <c r="CE68" s="56">
        <v>42612</v>
      </c>
      <c r="CF68" s="56">
        <v>42612</v>
      </c>
      <c r="CG68" s="56">
        <v>42640</v>
      </c>
      <c r="CH68" s="56"/>
      <c r="CI68" s="56"/>
      <c r="CJ68">
        <v>0.13</v>
      </c>
      <c r="CK68">
        <v>0</v>
      </c>
      <c r="CL68">
        <v>0</v>
      </c>
      <c r="CM68">
        <v>0</v>
      </c>
      <c r="CN68">
        <v>0.11</v>
      </c>
      <c r="CO68">
        <v>0</v>
      </c>
      <c r="CP68">
        <v>0.61</v>
      </c>
      <c r="CQ68" t="s">
        <v>1378</v>
      </c>
      <c r="CR68" t="s">
        <v>1377</v>
      </c>
      <c r="CS68" t="s">
        <v>1451</v>
      </c>
      <c r="CT68" t="s">
        <v>1724</v>
      </c>
      <c r="CU68" t="s">
        <v>1742</v>
      </c>
      <c r="CV68" t="s">
        <v>2266</v>
      </c>
      <c r="DB68" t="s">
        <v>2265</v>
      </c>
      <c r="DE68" t="s">
        <v>1724</v>
      </c>
    </row>
    <row r="69" spans="1:109" x14ac:dyDescent="0.25">
      <c r="A69" t="s">
        <v>1378</v>
      </c>
      <c r="B69">
        <v>1</v>
      </c>
      <c r="C69" s="56">
        <v>42640</v>
      </c>
      <c r="D69" t="s">
        <v>1449</v>
      </c>
      <c r="E69" t="s">
        <v>1976</v>
      </c>
      <c r="G69" t="s">
        <v>1144</v>
      </c>
      <c r="H69" t="s">
        <v>1144</v>
      </c>
      <c r="I69" t="s">
        <v>1144</v>
      </c>
      <c r="J69" t="s">
        <v>1144</v>
      </c>
      <c r="K69" t="s">
        <v>1144</v>
      </c>
      <c r="L69">
        <v>0</v>
      </c>
      <c r="M69">
        <v>1056.52</v>
      </c>
      <c r="N69">
        <v>0</v>
      </c>
      <c r="O69" s="56"/>
      <c r="P69" s="56"/>
      <c r="Q69">
        <v>13718</v>
      </c>
      <c r="R69">
        <v>9</v>
      </c>
      <c r="S69">
        <v>4</v>
      </c>
      <c r="T69">
        <v>2</v>
      </c>
      <c r="U69">
        <v>2</v>
      </c>
      <c r="V69">
        <v>1</v>
      </c>
      <c r="X69" t="s">
        <v>2386</v>
      </c>
      <c r="AA69">
        <v>0</v>
      </c>
      <c r="AB69">
        <v>0</v>
      </c>
      <c r="AC69">
        <v>0</v>
      </c>
      <c r="AD69">
        <v>0</v>
      </c>
      <c r="AE69">
        <v>0</v>
      </c>
      <c r="AF69">
        <v>0</v>
      </c>
      <c r="AG69">
        <v>0</v>
      </c>
      <c r="AJ69" s="56"/>
      <c r="AK69" s="56"/>
      <c r="AL69" s="56"/>
      <c r="AP69" t="s">
        <v>1450</v>
      </c>
      <c r="AS69" t="s">
        <v>1152</v>
      </c>
      <c r="AT69">
        <v>1</v>
      </c>
      <c r="AV69">
        <v>0</v>
      </c>
      <c r="AW69">
        <v>0</v>
      </c>
      <c r="AX69">
        <v>0</v>
      </c>
      <c r="AY69" t="s">
        <v>1375</v>
      </c>
      <c r="AZ69" t="s">
        <v>1375</v>
      </c>
      <c r="BA69">
        <v>0</v>
      </c>
      <c r="BD69">
        <v>1000000000</v>
      </c>
      <c r="BE69">
        <v>0</v>
      </c>
      <c r="BF69">
        <v>0</v>
      </c>
      <c r="BG69">
        <v>0</v>
      </c>
      <c r="BH69">
        <v>0</v>
      </c>
      <c r="BI69">
        <v>0</v>
      </c>
      <c r="BJ69">
        <v>0</v>
      </c>
      <c r="BK69">
        <v>0</v>
      </c>
      <c r="BL69">
        <v>0</v>
      </c>
      <c r="BM69">
        <v>0</v>
      </c>
      <c r="BN69">
        <v>0</v>
      </c>
      <c r="BO69">
        <v>0</v>
      </c>
      <c r="BP69">
        <v>0</v>
      </c>
      <c r="BR69">
        <v>0</v>
      </c>
      <c r="BS69">
        <v>0</v>
      </c>
      <c r="BX69">
        <v>0</v>
      </c>
      <c r="BY69">
        <v>0</v>
      </c>
      <c r="BZ69">
        <v>0</v>
      </c>
      <c r="CA69">
        <v>0</v>
      </c>
      <c r="CC69">
        <v>1</v>
      </c>
      <c r="CD69" s="56">
        <v>42593</v>
      </c>
      <c r="CE69" s="56">
        <v>42612</v>
      </c>
      <c r="CF69" s="56">
        <v>42612</v>
      </c>
      <c r="CG69" s="56">
        <v>42640</v>
      </c>
      <c r="CH69" s="56"/>
      <c r="CI69" s="56"/>
      <c r="CJ69">
        <v>1</v>
      </c>
      <c r="CK69">
        <v>0</v>
      </c>
      <c r="CL69">
        <v>0.71</v>
      </c>
      <c r="CM69">
        <v>0</v>
      </c>
      <c r="CN69">
        <v>0</v>
      </c>
      <c r="CO69">
        <v>0</v>
      </c>
      <c r="CP69">
        <v>0</v>
      </c>
      <c r="CQ69" t="s">
        <v>1378</v>
      </c>
      <c r="CR69" t="s">
        <v>1377</v>
      </c>
      <c r="CS69" t="s">
        <v>1451</v>
      </c>
      <c r="CT69" t="s">
        <v>1724</v>
      </c>
      <c r="CU69" t="s">
        <v>1742</v>
      </c>
      <c r="CV69" t="s">
        <v>1977</v>
      </c>
      <c r="DB69" t="s">
        <v>1978</v>
      </c>
      <c r="DE69" t="s">
        <v>1724</v>
      </c>
    </row>
    <row r="70" spans="1:109" x14ac:dyDescent="0.25">
      <c r="A70" t="s">
        <v>1378</v>
      </c>
      <c r="B70">
        <v>1</v>
      </c>
      <c r="C70" s="56">
        <v>42640</v>
      </c>
      <c r="D70" t="s">
        <v>1449</v>
      </c>
      <c r="E70" t="s">
        <v>2321</v>
      </c>
      <c r="G70" t="s">
        <v>1144</v>
      </c>
      <c r="H70" t="s">
        <v>1144</v>
      </c>
      <c r="I70" t="s">
        <v>1144</v>
      </c>
      <c r="J70" t="s">
        <v>1144</v>
      </c>
      <c r="K70" t="s">
        <v>1144</v>
      </c>
      <c r="L70">
        <v>419.92</v>
      </c>
      <c r="M70">
        <v>2</v>
      </c>
      <c r="N70">
        <v>0</v>
      </c>
      <c r="O70" s="56"/>
      <c r="P70" s="56"/>
      <c r="Q70">
        <v>13718</v>
      </c>
      <c r="R70">
        <v>9</v>
      </c>
      <c r="S70">
        <v>4</v>
      </c>
      <c r="T70">
        <v>2</v>
      </c>
      <c r="U70">
        <v>2</v>
      </c>
      <c r="V70">
        <v>1</v>
      </c>
      <c r="W70" t="s">
        <v>1376</v>
      </c>
      <c r="X70" t="s">
        <v>2385</v>
      </c>
      <c r="AA70">
        <v>0.04</v>
      </c>
      <c r="AB70">
        <v>1</v>
      </c>
      <c r="AC70">
        <v>12.5</v>
      </c>
      <c r="AD70">
        <v>12.5</v>
      </c>
      <c r="AE70">
        <v>0</v>
      </c>
      <c r="AF70">
        <v>0</v>
      </c>
      <c r="AG70">
        <v>0</v>
      </c>
      <c r="AJ70" s="56"/>
      <c r="AK70" s="56"/>
      <c r="AL70" s="56"/>
      <c r="AM70">
        <v>1</v>
      </c>
      <c r="AP70" t="s">
        <v>1450</v>
      </c>
      <c r="AS70" t="s">
        <v>1152</v>
      </c>
      <c r="AT70">
        <v>1</v>
      </c>
      <c r="AV70">
        <v>2</v>
      </c>
      <c r="AW70">
        <v>2</v>
      </c>
      <c r="AX70">
        <v>1</v>
      </c>
      <c r="AY70" t="s">
        <v>1145</v>
      </c>
      <c r="AZ70" t="s">
        <v>1145</v>
      </c>
      <c r="BA70">
        <v>1</v>
      </c>
      <c r="BD70">
        <v>1000000000</v>
      </c>
      <c r="BE70">
        <v>2</v>
      </c>
      <c r="BF70">
        <v>0</v>
      </c>
      <c r="BG70">
        <v>0</v>
      </c>
      <c r="BH70">
        <v>0</v>
      </c>
      <c r="BI70">
        <v>0</v>
      </c>
      <c r="BJ70">
        <v>0</v>
      </c>
      <c r="BK70">
        <v>0</v>
      </c>
      <c r="BL70">
        <v>0</v>
      </c>
      <c r="BM70">
        <v>2</v>
      </c>
      <c r="BN70">
        <v>0</v>
      </c>
      <c r="BO70">
        <v>0</v>
      </c>
      <c r="BP70">
        <v>0</v>
      </c>
      <c r="BR70">
        <v>0</v>
      </c>
      <c r="BS70">
        <v>1</v>
      </c>
      <c r="BX70">
        <v>0</v>
      </c>
      <c r="BY70">
        <v>0</v>
      </c>
      <c r="BZ70">
        <v>0</v>
      </c>
      <c r="CA70">
        <v>-11.94</v>
      </c>
      <c r="CC70">
        <v>1</v>
      </c>
      <c r="CD70" s="56">
        <v>42619</v>
      </c>
      <c r="CE70" s="56">
        <v>42619</v>
      </c>
      <c r="CF70" s="56">
        <v>42619</v>
      </c>
      <c r="CG70" s="56">
        <v>42647</v>
      </c>
      <c r="CH70" s="56"/>
      <c r="CI70" s="56"/>
      <c r="CJ70">
        <v>0</v>
      </c>
      <c r="CK70">
        <v>0</v>
      </c>
      <c r="CL70">
        <v>0</v>
      </c>
      <c r="CM70">
        <v>0</v>
      </c>
      <c r="CN70">
        <v>0.65</v>
      </c>
      <c r="CO70">
        <v>0</v>
      </c>
      <c r="CP70">
        <v>0</v>
      </c>
      <c r="CQ70" t="s">
        <v>1378</v>
      </c>
      <c r="CR70" t="s">
        <v>1377</v>
      </c>
      <c r="CS70" t="s">
        <v>1451</v>
      </c>
      <c r="CT70" t="s">
        <v>1724</v>
      </c>
      <c r="CU70" t="s">
        <v>1742</v>
      </c>
      <c r="CV70" t="s">
        <v>2322</v>
      </c>
      <c r="DB70" t="s">
        <v>2309</v>
      </c>
      <c r="DE70" t="s">
        <v>1724</v>
      </c>
    </row>
    <row r="71" spans="1:109" x14ac:dyDescent="0.25">
      <c r="A71" t="s">
        <v>1378</v>
      </c>
      <c r="B71">
        <v>1</v>
      </c>
      <c r="C71" s="56">
        <v>42640</v>
      </c>
      <c r="D71" t="s">
        <v>1449</v>
      </c>
      <c r="E71" t="s">
        <v>2021</v>
      </c>
      <c r="G71" t="s">
        <v>1144</v>
      </c>
      <c r="H71" t="s">
        <v>1144</v>
      </c>
      <c r="I71" t="s">
        <v>1144</v>
      </c>
      <c r="J71" t="s">
        <v>1144</v>
      </c>
      <c r="K71" t="s">
        <v>1144</v>
      </c>
      <c r="L71">
        <v>182.96</v>
      </c>
      <c r="M71">
        <v>2</v>
      </c>
      <c r="N71">
        <v>0</v>
      </c>
      <c r="O71" s="56"/>
      <c r="P71" s="56"/>
      <c r="Q71">
        <v>13718</v>
      </c>
      <c r="R71">
        <v>9</v>
      </c>
      <c r="S71">
        <v>4</v>
      </c>
      <c r="T71">
        <v>2</v>
      </c>
      <c r="U71">
        <v>2</v>
      </c>
      <c r="V71">
        <v>1</v>
      </c>
      <c r="W71" t="s">
        <v>2379</v>
      </c>
      <c r="X71" t="s">
        <v>2387</v>
      </c>
      <c r="AA71">
        <v>0</v>
      </c>
      <c r="AB71">
        <v>0</v>
      </c>
      <c r="AC71">
        <v>0</v>
      </c>
      <c r="AD71">
        <v>0</v>
      </c>
      <c r="AE71">
        <v>0</v>
      </c>
      <c r="AF71">
        <v>0</v>
      </c>
      <c r="AG71">
        <v>0</v>
      </c>
      <c r="AJ71" s="56"/>
      <c r="AK71" s="56"/>
      <c r="AL71" s="56"/>
      <c r="AM71">
        <v>1</v>
      </c>
      <c r="AP71" t="s">
        <v>1450</v>
      </c>
      <c r="AS71" t="s">
        <v>1152</v>
      </c>
      <c r="AT71">
        <v>1</v>
      </c>
      <c r="AV71">
        <v>2</v>
      </c>
      <c r="AW71">
        <v>2</v>
      </c>
      <c r="AX71">
        <v>1</v>
      </c>
      <c r="AY71" t="s">
        <v>1145</v>
      </c>
      <c r="AZ71" t="s">
        <v>1145</v>
      </c>
      <c r="BA71">
        <v>1</v>
      </c>
      <c r="BD71">
        <v>1000000000</v>
      </c>
      <c r="BE71">
        <v>2</v>
      </c>
      <c r="BF71">
        <v>0</v>
      </c>
      <c r="BG71">
        <v>0</v>
      </c>
      <c r="BH71">
        <v>0</v>
      </c>
      <c r="BI71">
        <v>0</v>
      </c>
      <c r="BJ71">
        <v>0</v>
      </c>
      <c r="BK71">
        <v>0</v>
      </c>
      <c r="BL71">
        <v>0</v>
      </c>
      <c r="BM71">
        <v>2</v>
      </c>
      <c r="BN71">
        <v>0</v>
      </c>
      <c r="BO71">
        <v>0</v>
      </c>
      <c r="BP71">
        <v>0</v>
      </c>
      <c r="BR71">
        <v>0</v>
      </c>
      <c r="BS71">
        <v>1</v>
      </c>
      <c r="BX71">
        <v>0</v>
      </c>
      <c r="BY71">
        <v>0</v>
      </c>
      <c r="BZ71">
        <v>0</v>
      </c>
      <c r="CA71">
        <v>-11.87</v>
      </c>
      <c r="CC71">
        <v>1</v>
      </c>
      <c r="CD71" s="56">
        <v>42592</v>
      </c>
      <c r="CE71" s="56">
        <v>42612</v>
      </c>
      <c r="CF71" s="56">
        <v>42612</v>
      </c>
      <c r="CG71" s="56">
        <v>42640</v>
      </c>
      <c r="CH71" s="56"/>
      <c r="CI71" s="56"/>
      <c r="CJ71">
        <v>0</v>
      </c>
      <c r="CK71">
        <v>0</v>
      </c>
      <c r="CL71">
        <v>0</v>
      </c>
      <c r="CM71">
        <v>0</v>
      </c>
      <c r="CN71">
        <v>0.71</v>
      </c>
      <c r="CO71">
        <v>0</v>
      </c>
      <c r="CP71">
        <v>0</v>
      </c>
      <c r="CQ71" t="s">
        <v>1378</v>
      </c>
      <c r="CR71" t="s">
        <v>1377</v>
      </c>
      <c r="CS71" t="s">
        <v>1451</v>
      </c>
      <c r="CT71" t="s">
        <v>1724</v>
      </c>
      <c r="CU71" t="s">
        <v>1742</v>
      </c>
      <c r="CV71" t="s">
        <v>2022</v>
      </c>
      <c r="DB71" t="s">
        <v>2014</v>
      </c>
      <c r="DE71" t="s">
        <v>1724</v>
      </c>
    </row>
    <row r="72" spans="1:109" x14ac:dyDescent="0.25">
      <c r="A72" t="s">
        <v>1378</v>
      </c>
      <c r="B72">
        <v>1</v>
      </c>
      <c r="C72" s="56">
        <v>42640</v>
      </c>
      <c r="D72" t="s">
        <v>1449</v>
      </c>
      <c r="E72" t="s">
        <v>2074</v>
      </c>
      <c r="G72" t="s">
        <v>1144</v>
      </c>
      <c r="H72" t="s">
        <v>1144</v>
      </c>
      <c r="I72" t="s">
        <v>1144</v>
      </c>
      <c r="J72" t="s">
        <v>1144</v>
      </c>
      <c r="K72" t="s">
        <v>1144</v>
      </c>
      <c r="L72">
        <v>117.44</v>
      </c>
      <c r="M72">
        <v>293.95</v>
      </c>
      <c r="N72">
        <v>0</v>
      </c>
      <c r="O72" s="56"/>
      <c r="P72" s="56"/>
      <c r="Q72">
        <v>13718</v>
      </c>
      <c r="R72">
        <v>9</v>
      </c>
      <c r="S72">
        <v>4</v>
      </c>
      <c r="T72">
        <v>2</v>
      </c>
      <c r="U72">
        <v>2</v>
      </c>
      <c r="V72">
        <v>1</v>
      </c>
      <c r="W72" t="s">
        <v>1376</v>
      </c>
      <c r="X72" t="s">
        <v>2385</v>
      </c>
      <c r="AA72">
        <v>0.08</v>
      </c>
      <c r="AB72">
        <v>1</v>
      </c>
      <c r="AC72">
        <v>6.25</v>
      </c>
      <c r="AD72">
        <v>6.25</v>
      </c>
      <c r="AE72">
        <v>0</v>
      </c>
      <c r="AF72">
        <v>0</v>
      </c>
      <c r="AG72">
        <v>0</v>
      </c>
      <c r="AJ72" s="56">
        <v>42666</v>
      </c>
      <c r="AK72" s="56">
        <v>42369</v>
      </c>
      <c r="AL72" s="56"/>
      <c r="AM72">
        <v>4</v>
      </c>
      <c r="AP72" t="s">
        <v>1450</v>
      </c>
      <c r="AS72" t="s">
        <v>1152</v>
      </c>
      <c r="AT72">
        <v>1</v>
      </c>
      <c r="AV72">
        <v>2</v>
      </c>
      <c r="AW72">
        <v>2</v>
      </c>
      <c r="AX72">
        <v>1</v>
      </c>
      <c r="AY72" t="s">
        <v>1145</v>
      </c>
      <c r="AZ72" t="s">
        <v>1145</v>
      </c>
      <c r="BA72">
        <v>4</v>
      </c>
      <c r="BD72">
        <v>1000000000</v>
      </c>
      <c r="BE72">
        <v>2</v>
      </c>
      <c r="BF72">
        <v>0</v>
      </c>
      <c r="BG72">
        <v>0</v>
      </c>
      <c r="BH72">
        <v>0</v>
      </c>
      <c r="BI72">
        <v>0</v>
      </c>
      <c r="BJ72">
        <v>0</v>
      </c>
      <c r="BK72">
        <v>0</v>
      </c>
      <c r="BL72">
        <v>0</v>
      </c>
      <c r="BM72">
        <v>2</v>
      </c>
      <c r="BN72">
        <v>0</v>
      </c>
      <c r="BO72">
        <v>0</v>
      </c>
      <c r="BP72">
        <v>0</v>
      </c>
      <c r="BR72">
        <v>0</v>
      </c>
      <c r="BS72">
        <v>1</v>
      </c>
      <c r="BX72">
        <v>0</v>
      </c>
      <c r="BY72">
        <v>0</v>
      </c>
      <c r="BZ72">
        <v>0</v>
      </c>
      <c r="CA72">
        <v>18.04</v>
      </c>
      <c r="CC72">
        <v>1</v>
      </c>
      <c r="CD72" s="56">
        <v>42619</v>
      </c>
      <c r="CE72" s="56">
        <v>42619</v>
      </c>
      <c r="CF72" s="56">
        <v>42619</v>
      </c>
      <c r="CG72" s="56">
        <v>42647</v>
      </c>
      <c r="CH72" s="56"/>
      <c r="CI72" s="56"/>
      <c r="CJ72">
        <v>0</v>
      </c>
      <c r="CK72">
        <v>0</v>
      </c>
      <c r="CL72">
        <v>0</v>
      </c>
      <c r="CM72">
        <v>0</v>
      </c>
      <c r="CN72">
        <v>0.65</v>
      </c>
      <c r="CO72">
        <v>0</v>
      </c>
      <c r="CP72">
        <v>0</v>
      </c>
      <c r="CQ72" t="s">
        <v>1378</v>
      </c>
      <c r="CR72" t="s">
        <v>1377</v>
      </c>
      <c r="CS72" t="s">
        <v>1451</v>
      </c>
      <c r="CT72" t="s">
        <v>1724</v>
      </c>
      <c r="CU72" t="s">
        <v>1742</v>
      </c>
      <c r="CV72" t="s">
        <v>2075</v>
      </c>
      <c r="DB72" t="s">
        <v>2059</v>
      </c>
      <c r="DE72" t="s">
        <v>1724</v>
      </c>
    </row>
    <row r="73" spans="1:109" x14ac:dyDescent="0.25">
      <c r="A73" t="s">
        <v>1378</v>
      </c>
      <c r="B73">
        <v>1</v>
      </c>
      <c r="C73" s="56">
        <v>42640</v>
      </c>
      <c r="D73" t="s">
        <v>1449</v>
      </c>
      <c r="E73" t="s">
        <v>1767</v>
      </c>
      <c r="G73" t="s">
        <v>1144</v>
      </c>
      <c r="H73" t="s">
        <v>1144</v>
      </c>
      <c r="I73" t="s">
        <v>1144</v>
      </c>
      <c r="J73" t="s">
        <v>1144</v>
      </c>
      <c r="K73" t="s">
        <v>1144</v>
      </c>
      <c r="L73">
        <v>173.61</v>
      </c>
      <c r="M73">
        <v>361.16</v>
      </c>
      <c r="N73">
        <v>0</v>
      </c>
      <c r="O73" s="56"/>
      <c r="P73" s="56"/>
      <c r="Q73">
        <v>13718</v>
      </c>
      <c r="R73">
        <v>9</v>
      </c>
      <c r="S73">
        <v>4</v>
      </c>
      <c r="T73">
        <v>2</v>
      </c>
      <c r="U73">
        <v>2</v>
      </c>
      <c r="V73">
        <v>1</v>
      </c>
      <c r="X73" t="s">
        <v>2385</v>
      </c>
      <c r="AA73">
        <v>0.04</v>
      </c>
      <c r="AB73">
        <v>1</v>
      </c>
      <c r="AC73">
        <v>18.75</v>
      </c>
      <c r="AD73">
        <v>43.75</v>
      </c>
      <c r="AE73">
        <v>0</v>
      </c>
      <c r="AF73">
        <v>0</v>
      </c>
      <c r="AG73">
        <v>0</v>
      </c>
      <c r="AJ73" s="56">
        <v>42666</v>
      </c>
      <c r="AK73" s="56"/>
      <c r="AL73" s="56"/>
      <c r="AM73">
        <v>5</v>
      </c>
      <c r="AP73" t="s">
        <v>1450</v>
      </c>
      <c r="AS73" t="s">
        <v>1152</v>
      </c>
      <c r="AT73">
        <v>1</v>
      </c>
      <c r="AV73">
        <v>3</v>
      </c>
      <c r="AW73">
        <v>2</v>
      </c>
      <c r="AX73">
        <v>1</v>
      </c>
      <c r="AY73" t="s">
        <v>1147</v>
      </c>
      <c r="AZ73" t="s">
        <v>1147</v>
      </c>
      <c r="BA73">
        <v>5</v>
      </c>
      <c r="BD73">
        <v>1000000000</v>
      </c>
      <c r="BE73">
        <v>7</v>
      </c>
      <c r="BF73">
        <v>-1.33</v>
      </c>
      <c r="BG73">
        <v>0</v>
      </c>
      <c r="BH73">
        <v>0</v>
      </c>
      <c r="BI73">
        <v>0</v>
      </c>
      <c r="BJ73">
        <v>0</v>
      </c>
      <c r="BK73">
        <v>0</v>
      </c>
      <c r="BL73">
        <v>0</v>
      </c>
      <c r="BM73">
        <v>7</v>
      </c>
      <c r="BN73">
        <v>-1.33</v>
      </c>
      <c r="BO73">
        <v>0</v>
      </c>
      <c r="BP73">
        <v>0</v>
      </c>
      <c r="BR73">
        <v>0</v>
      </c>
      <c r="BS73">
        <v>2</v>
      </c>
      <c r="BX73">
        <v>0</v>
      </c>
      <c r="BY73">
        <v>694.44</v>
      </c>
      <c r="BZ73">
        <v>0</v>
      </c>
      <c r="CA73">
        <v>12.96</v>
      </c>
      <c r="CC73">
        <v>1</v>
      </c>
      <c r="CD73" s="56">
        <v>42619</v>
      </c>
      <c r="CE73" s="56">
        <v>42619</v>
      </c>
      <c r="CF73" s="56">
        <v>42619</v>
      </c>
      <c r="CG73" s="56">
        <v>42647</v>
      </c>
      <c r="CH73" s="56"/>
      <c r="CI73" s="56"/>
      <c r="CJ73">
        <v>0</v>
      </c>
      <c r="CK73">
        <v>0</v>
      </c>
      <c r="CL73">
        <v>0</v>
      </c>
      <c r="CM73">
        <v>0</v>
      </c>
      <c r="CN73">
        <v>0</v>
      </c>
      <c r="CO73">
        <v>0</v>
      </c>
      <c r="CP73">
        <v>0.65</v>
      </c>
      <c r="CQ73" t="s">
        <v>1378</v>
      </c>
      <c r="CR73" t="s">
        <v>1377</v>
      </c>
      <c r="CS73" t="s">
        <v>1451</v>
      </c>
      <c r="CT73" t="s">
        <v>1724</v>
      </c>
      <c r="CU73" t="s">
        <v>1742</v>
      </c>
      <c r="CV73" t="s">
        <v>1768</v>
      </c>
      <c r="DB73" t="s">
        <v>1762</v>
      </c>
      <c r="DE73" t="s">
        <v>1724</v>
      </c>
    </row>
    <row r="74" spans="1:109" x14ac:dyDescent="0.25">
      <c r="A74" t="s">
        <v>1378</v>
      </c>
      <c r="B74">
        <v>1</v>
      </c>
      <c r="C74" s="56">
        <v>42640</v>
      </c>
      <c r="D74" t="s">
        <v>1449</v>
      </c>
      <c r="E74" t="s">
        <v>1482</v>
      </c>
      <c r="G74" t="s">
        <v>1144</v>
      </c>
      <c r="H74" t="s">
        <v>1144</v>
      </c>
      <c r="I74" t="s">
        <v>1144</v>
      </c>
      <c r="J74" t="s">
        <v>1144</v>
      </c>
      <c r="K74" t="s">
        <v>1144</v>
      </c>
      <c r="L74">
        <v>1199.18</v>
      </c>
      <c r="M74">
        <v>2568.5100000000002</v>
      </c>
      <c r="N74">
        <v>0</v>
      </c>
      <c r="O74" s="56"/>
      <c r="P74" s="56"/>
      <c r="Q74">
        <v>13718</v>
      </c>
      <c r="R74">
        <v>9</v>
      </c>
      <c r="S74">
        <v>4</v>
      </c>
      <c r="T74">
        <v>2</v>
      </c>
      <c r="U74">
        <v>2</v>
      </c>
      <c r="V74">
        <v>1</v>
      </c>
      <c r="W74" t="s">
        <v>1376</v>
      </c>
      <c r="X74" t="s">
        <v>2385</v>
      </c>
      <c r="AA74">
        <v>0.31</v>
      </c>
      <c r="AB74">
        <v>2</v>
      </c>
      <c r="AC74">
        <v>1.61</v>
      </c>
      <c r="AD74">
        <v>1.61</v>
      </c>
      <c r="AE74">
        <v>0</v>
      </c>
      <c r="AF74">
        <v>0</v>
      </c>
      <c r="AG74">
        <v>0</v>
      </c>
      <c r="AJ74" s="56"/>
      <c r="AK74" s="56">
        <v>42369</v>
      </c>
      <c r="AL74" s="56">
        <v>42322</v>
      </c>
      <c r="AM74">
        <v>5</v>
      </c>
      <c r="AP74" t="s">
        <v>1450</v>
      </c>
      <c r="AS74" t="s">
        <v>1152</v>
      </c>
      <c r="AT74">
        <v>1</v>
      </c>
      <c r="AV74">
        <v>2</v>
      </c>
      <c r="AW74">
        <v>2</v>
      </c>
      <c r="AX74">
        <v>1</v>
      </c>
      <c r="AY74" t="s">
        <v>1145</v>
      </c>
      <c r="AZ74" t="s">
        <v>1145</v>
      </c>
      <c r="BA74">
        <v>5</v>
      </c>
      <c r="BD74">
        <v>1000000000</v>
      </c>
      <c r="BE74">
        <v>2</v>
      </c>
      <c r="BF74">
        <v>0</v>
      </c>
      <c r="BG74">
        <v>0</v>
      </c>
      <c r="BH74">
        <v>0</v>
      </c>
      <c r="BI74">
        <v>0</v>
      </c>
      <c r="BJ74">
        <v>0</v>
      </c>
      <c r="BK74">
        <v>0</v>
      </c>
      <c r="BL74">
        <v>0</v>
      </c>
      <c r="BM74">
        <v>2</v>
      </c>
      <c r="BN74">
        <v>0</v>
      </c>
      <c r="BO74">
        <v>0</v>
      </c>
      <c r="BP74">
        <v>0</v>
      </c>
      <c r="BR74">
        <v>0</v>
      </c>
      <c r="BS74">
        <v>1</v>
      </c>
      <c r="BX74">
        <v>0</v>
      </c>
      <c r="BY74">
        <v>0</v>
      </c>
      <c r="BZ74">
        <v>0</v>
      </c>
      <c r="CA74">
        <v>13.7</v>
      </c>
      <c r="CC74">
        <v>1</v>
      </c>
      <c r="CD74" s="56">
        <v>42619</v>
      </c>
      <c r="CE74" s="56">
        <v>42619</v>
      </c>
      <c r="CF74" s="56">
        <v>42619</v>
      </c>
      <c r="CG74" s="56">
        <v>42647</v>
      </c>
      <c r="CH74" s="56"/>
      <c r="CI74" s="56"/>
      <c r="CJ74">
        <v>0</v>
      </c>
      <c r="CK74">
        <v>0</v>
      </c>
      <c r="CL74">
        <v>0</v>
      </c>
      <c r="CM74">
        <v>0</v>
      </c>
      <c r="CN74">
        <v>0.65</v>
      </c>
      <c r="CO74">
        <v>0</v>
      </c>
      <c r="CP74">
        <v>0</v>
      </c>
      <c r="CQ74" t="s">
        <v>1378</v>
      </c>
      <c r="CR74" t="s">
        <v>1377</v>
      </c>
      <c r="CS74" t="s">
        <v>1451</v>
      </c>
      <c r="CT74" t="s">
        <v>1724</v>
      </c>
      <c r="CU74" t="s">
        <v>1742</v>
      </c>
      <c r="CV74" t="s">
        <v>2131</v>
      </c>
      <c r="DB74" t="s">
        <v>2111</v>
      </c>
      <c r="DE74" t="s">
        <v>1724</v>
      </c>
    </row>
    <row r="75" spans="1:109" x14ac:dyDescent="0.25">
      <c r="A75" t="s">
        <v>1378</v>
      </c>
      <c r="B75">
        <v>1</v>
      </c>
      <c r="C75" s="56">
        <v>42640</v>
      </c>
      <c r="D75" t="s">
        <v>1449</v>
      </c>
      <c r="E75" t="s">
        <v>1819</v>
      </c>
      <c r="G75" t="s">
        <v>1144</v>
      </c>
      <c r="H75" t="s">
        <v>1144</v>
      </c>
      <c r="I75" t="s">
        <v>1144</v>
      </c>
      <c r="J75" t="s">
        <v>1144</v>
      </c>
      <c r="K75" t="s">
        <v>1144</v>
      </c>
      <c r="L75">
        <v>734.06</v>
      </c>
      <c r="M75">
        <v>1637.27</v>
      </c>
      <c r="N75">
        <v>0</v>
      </c>
      <c r="O75" s="56"/>
      <c r="P75" s="56"/>
      <c r="Q75">
        <v>13718</v>
      </c>
      <c r="R75">
        <v>9</v>
      </c>
      <c r="S75">
        <v>4</v>
      </c>
      <c r="T75">
        <v>2</v>
      </c>
      <c r="U75">
        <v>2</v>
      </c>
      <c r="V75">
        <v>1</v>
      </c>
      <c r="W75" t="s">
        <v>1376</v>
      </c>
      <c r="X75" t="s">
        <v>2385</v>
      </c>
      <c r="AA75">
        <v>0.04</v>
      </c>
      <c r="AB75">
        <v>1</v>
      </c>
      <c r="AC75">
        <v>18.75</v>
      </c>
      <c r="AD75">
        <v>12.5</v>
      </c>
      <c r="AE75">
        <v>0</v>
      </c>
      <c r="AF75">
        <v>0</v>
      </c>
      <c r="AG75">
        <v>0</v>
      </c>
      <c r="AJ75" s="56">
        <v>42666</v>
      </c>
      <c r="AK75" s="56"/>
      <c r="AL75" s="56">
        <v>42322</v>
      </c>
      <c r="AM75">
        <v>5</v>
      </c>
      <c r="AP75" t="s">
        <v>1450</v>
      </c>
      <c r="AS75" t="s">
        <v>1152</v>
      </c>
      <c r="AT75">
        <v>1</v>
      </c>
      <c r="AV75">
        <v>3</v>
      </c>
      <c r="AW75">
        <v>2</v>
      </c>
      <c r="AX75">
        <v>1</v>
      </c>
      <c r="AY75" t="s">
        <v>1145</v>
      </c>
      <c r="AZ75" t="s">
        <v>1145</v>
      </c>
      <c r="BA75">
        <v>5</v>
      </c>
      <c r="BD75">
        <v>1000000000</v>
      </c>
      <c r="BE75">
        <v>2</v>
      </c>
      <c r="BF75">
        <v>0.33</v>
      </c>
      <c r="BG75">
        <v>0</v>
      </c>
      <c r="BH75">
        <v>0</v>
      </c>
      <c r="BI75">
        <v>0</v>
      </c>
      <c r="BJ75">
        <v>0</v>
      </c>
      <c r="BK75">
        <v>0</v>
      </c>
      <c r="BL75">
        <v>0</v>
      </c>
      <c r="BM75">
        <v>2</v>
      </c>
      <c r="BN75">
        <v>0.33</v>
      </c>
      <c r="BO75">
        <v>0</v>
      </c>
      <c r="BP75">
        <v>0</v>
      </c>
      <c r="BR75">
        <v>1</v>
      </c>
      <c r="BS75">
        <v>2</v>
      </c>
      <c r="BX75">
        <v>0</v>
      </c>
      <c r="BY75">
        <v>0</v>
      </c>
      <c r="BZ75">
        <v>0</v>
      </c>
      <c r="CA75">
        <v>14.77</v>
      </c>
      <c r="CC75">
        <v>1</v>
      </c>
      <c r="CD75" s="56">
        <v>42619</v>
      </c>
      <c r="CE75" s="56">
        <v>42619</v>
      </c>
      <c r="CF75" s="56">
        <v>42619</v>
      </c>
      <c r="CG75" s="56">
        <v>42647</v>
      </c>
      <c r="CH75" s="56"/>
      <c r="CI75" s="56"/>
      <c r="CJ75">
        <v>0</v>
      </c>
      <c r="CK75">
        <v>0</v>
      </c>
      <c r="CL75">
        <v>0</v>
      </c>
      <c r="CM75">
        <v>0</v>
      </c>
      <c r="CN75">
        <v>0.65</v>
      </c>
      <c r="CO75">
        <v>0</v>
      </c>
      <c r="CP75">
        <v>0</v>
      </c>
      <c r="CQ75" t="s">
        <v>1378</v>
      </c>
      <c r="CR75" t="s">
        <v>1377</v>
      </c>
      <c r="CS75" t="s">
        <v>1451</v>
      </c>
      <c r="CT75" t="s">
        <v>1724</v>
      </c>
      <c r="CU75" t="s">
        <v>1742</v>
      </c>
      <c r="CV75" t="s">
        <v>1820</v>
      </c>
      <c r="DB75" t="s">
        <v>1783</v>
      </c>
      <c r="DE75" t="s">
        <v>1724</v>
      </c>
    </row>
    <row r="76" spans="1:109" x14ac:dyDescent="0.25">
      <c r="A76" t="s">
        <v>1378</v>
      </c>
      <c r="B76">
        <v>1</v>
      </c>
      <c r="C76" s="56">
        <v>42640</v>
      </c>
      <c r="D76" t="s">
        <v>1449</v>
      </c>
      <c r="E76" t="s">
        <v>2171</v>
      </c>
      <c r="G76" t="s">
        <v>1144</v>
      </c>
      <c r="H76" t="s">
        <v>1144</v>
      </c>
      <c r="I76" t="s">
        <v>1144</v>
      </c>
      <c r="J76" t="s">
        <v>1144</v>
      </c>
      <c r="K76" t="s">
        <v>1144</v>
      </c>
      <c r="L76">
        <v>309.81</v>
      </c>
      <c r="M76">
        <v>2</v>
      </c>
      <c r="N76">
        <v>0</v>
      </c>
      <c r="O76" s="56"/>
      <c r="P76" s="56"/>
      <c r="Q76">
        <v>13718</v>
      </c>
      <c r="R76">
        <v>9</v>
      </c>
      <c r="S76">
        <v>4</v>
      </c>
      <c r="T76">
        <v>2</v>
      </c>
      <c r="U76">
        <v>2</v>
      </c>
      <c r="V76">
        <v>1</v>
      </c>
      <c r="X76" t="s">
        <v>2386</v>
      </c>
      <c r="AA76">
        <v>0</v>
      </c>
      <c r="AB76">
        <v>0</v>
      </c>
      <c r="AC76">
        <v>0</v>
      </c>
      <c r="AD76">
        <v>0</v>
      </c>
      <c r="AE76">
        <v>0</v>
      </c>
      <c r="AF76">
        <v>0</v>
      </c>
      <c r="AG76">
        <v>0</v>
      </c>
      <c r="AJ76" s="56"/>
      <c r="AK76" s="56">
        <v>42369</v>
      </c>
      <c r="AL76" s="56"/>
      <c r="AM76">
        <v>1</v>
      </c>
      <c r="AP76" t="s">
        <v>1450</v>
      </c>
      <c r="AS76" t="s">
        <v>1152</v>
      </c>
      <c r="AT76">
        <v>1</v>
      </c>
      <c r="AV76">
        <v>1</v>
      </c>
      <c r="AW76">
        <v>1</v>
      </c>
      <c r="AX76">
        <v>0.5</v>
      </c>
      <c r="AY76" t="s">
        <v>1147</v>
      </c>
      <c r="AZ76" t="s">
        <v>1147</v>
      </c>
      <c r="BA76">
        <v>1</v>
      </c>
      <c r="BD76">
        <v>1000000000</v>
      </c>
      <c r="BE76">
        <v>2</v>
      </c>
      <c r="BF76">
        <v>-1</v>
      </c>
      <c r="BG76">
        <v>0</v>
      </c>
      <c r="BH76">
        <v>0</v>
      </c>
      <c r="BI76">
        <v>0</v>
      </c>
      <c r="BJ76">
        <v>0</v>
      </c>
      <c r="BK76">
        <v>0</v>
      </c>
      <c r="BL76">
        <v>0</v>
      </c>
      <c r="BM76">
        <v>2</v>
      </c>
      <c r="BN76">
        <v>-1</v>
      </c>
      <c r="BO76">
        <v>0</v>
      </c>
      <c r="BP76">
        <v>0</v>
      </c>
      <c r="BR76">
        <v>0</v>
      </c>
      <c r="BS76">
        <v>1</v>
      </c>
      <c r="BX76">
        <v>0</v>
      </c>
      <c r="BY76">
        <v>309.81</v>
      </c>
      <c r="BZ76">
        <v>0</v>
      </c>
      <c r="CA76">
        <v>-11.92</v>
      </c>
      <c r="CC76">
        <v>1</v>
      </c>
      <c r="CD76" s="56">
        <v>42593</v>
      </c>
      <c r="CE76" s="56">
        <v>42612</v>
      </c>
      <c r="CF76" s="56">
        <v>42612</v>
      </c>
      <c r="CG76" s="56">
        <v>42640</v>
      </c>
      <c r="CH76" s="56"/>
      <c r="CI76" s="56"/>
      <c r="CJ76">
        <v>0</v>
      </c>
      <c r="CK76">
        <v>0</v>
      </c>
      <c r="CL76">
        <v>0</v>
      </c>
      <c r="CM76">
        <v>0</v>
      </c>
      <c r="CN76">
        <v>0</v>
      </c>
      <c r="CO76">
        <v>0</v>
      </c>
      <c r="CP76">
        <v>0.71</v>
      </c>
      <c r="CQ76" t="s">
        <v>1378</v>
      </c>
      <c r="CR76" t="s">
        <v>1377</v>
      </c>
      <c r="CS76" t="s">
        <v>1451</v>
      </c>
      <c r="CT76" t="s">
        <v>1724</v>
      </c>
      <c r="CU76" t="s">
        <v>1742</v>
      </c>
      <c r="CV76" t="s">
        <v>2159</v>
      </c>
      <c r="DB76" t="s">
        <v>2161</v>
      </c>
      <c r="DE76" t="s">
        <v>1724</v>
      </c>
    </row>
    <row r="77" spans="1:109" x14ac:dyDescent="0.25">
      <c r="A77" t="s">
        <v>1378</v>
      </c>
      <c r="B77">
        <v>1</v>
      </c>
      <c r="C77" s="56">
        <v>42640</v>
      </c>
      <c r="D77" t="s">
        <v>1449</v>
      </c>
      <c r="E77" t="s">
        <v>1461</v>
      </c>
      <c r="G77" t="s">
        <v>1144</v>
      </c>
      <c r="H77" t="s">
        <v>1144</v>
      </c>
      <c r="I77" t="s">
        <v>1144</v>
      </c>
      <c r="J77" t="s">
        <v>1144</v>
      </c>
      <c r="K77" t="s">
        <v>1144</v>
      </c>
      <c r="L77">
        <v>56.55</v>
      </c>
      <c r="M77">
        <v>63.08</v>
      </c>
      <c r="N77">
        <v>0</v>
      </c>
      <c r="O77" s="56"/>
      <c r="P77" s="56"/>
      <c r="Q77">
        <v>13718</v>
      </c>
      <c r="R77">
        <v>9</v>
      </c>
      <c r="S77">
        <v>4</v>
      </c>
      <c r="T77">
        <v>2</v>
      </c>
      <c r="U77">
        <v>2</v>
      </c>
      <c r="V77">
        <v>1</v>
      </c>
      <c r="X77" t="s">
        <v>2385</v>
      </c>
      <c r="AA77">
        <v>0.27</v>
      </c>
      <c r="AB77">
        <v>2</v>
      </c>
      <c r="AC77">
        <v>5.56</v>
      </c>
      <c r="AD77">
        <v>27.78</v>
      </c>
      <c r="AE77">
        <v>0</v>
      </c>
      <c r="AF77">
        <v>0</v>
      </c>
      <c r="AG77">
        <v>0</v>
      </c>
      <c r="AJ77" s="56">
        <v>42666</v>
      </c>
      <c r="AK77" s="56">
        <v>42369</v>
      </c>
      <c r="AL77" s="56"/>
      <c r="AM77">
        <v>10</v>
      </c>
      <c r="AP77" t="s">
        <v>1450</v>
      </c>
      <c r="AS77" t="s">
        <v>1152</v>
      </c>
      <c r="AT77">
        <v>1</v>
      </c>
      <c r="AV77">
        <v>6</v>
      </c>
      <c r="AW77">
        <v>4</v>
      </c>
      <c r="AX77">
        <v>2</v>
      </c>
      <c r="AY77" t="s">
        <v>1147</v>
      </c>
      <c r="AZ77" t="s">
        <v>1147</v>
      </c>
      <c r="BA77">
        <v>10</v>
      </c>
      <c r="BD77">
        <v>1000000000</v>
      </c>
      <c r="BE77">
        <v>30</v>
      </c>
      <c r="BF77">
        <v>-4</v>
      </c>
      <c r="BG77">
        <v>0</v>
      </c>
      <c r="BH77">
        <v>0</v>
      </c>
      <c r="BI77">
        <v>0</v>
      </c>
      <c r="BJ77">
        <v>0</v>
      </c>
      <c r="BK77">
        <v>0</v>
      </c>
      <c r="BL77">
        <v>0</v>
      </c>
      <c r="BM77">
        <v>30</v>
      </c>
      <c r="BN77">
        <v>-4</v>
      </c>
      <c r="BO77">
        <v>0</v>
      </c>
      <c r="BP77">
        <v>0</v>
      </c>
      <c r="BR77">
        <v>0</v>
      </c>
      <c r="BS77">
        <v>3</v>
      </c>
      <c r="BX77">
        <v>0</v>
      </c>
      <c r="BY77">
        <v>1357.2</v>
      </c>
      <c r="BZ77">
        <v>0</v>
      </c>
      <c r="CA77">
        <v>1.39</v>
      </c>
      <c r="CC77">
        <v>1</v>
      </c>
      <c r="CD77" s="56">
        <v>42619</v>
      </c>
      <c r="CE77" s="56">
        <v>42619</v>
      </c>
      <c r="CF77" s="56">
        <v>42619</v>
      </c>
      <c r="CG77" s="56">
        <v>42647</v>
      </c>
      <c r="CH77" s="56"/>
      <c r="CI77" s="56"/>
      <c r="CJ77">
        <v>0.01</v>
      </c>
      <c r="CK77">
        <v>0</v>
      </c>
      <c r="CL77">
        <v>0</v>
      </c>
      <c r="CM77">
        <v>0</v>
      </c>
      <c r="CN77">
        <v>0</v>
      </c>
      <c r="CO77">
        <v>0</v>
      </c>
      <c r="CP77">
        <v>0.65</v>
      </c>
      <c r="CQ77" t="s">
        <v>1378</v>
      </c>
      <c r="CR77" t="s">
        <v>1377</v>
      </c>
      <c r="CS77" t="s">
        <v>1451</v>
      </c>
      <c r="CT77" t="s">
        <v>1724</v>
      </c>
      <c r="CU77" t="s">
        <v>1742</v>
      </c>
      <c r="CV77" t="s">
        <v>1866</v>
      </c>
      <c r="DB77" t="s">
        <v>1863</v>
      </c>
      <c r="DE77" t="s">
        <v>1724</v>
      </c>
    </row>
    <row r="78" spans="1:109" x14ac:dyDescent="0.25">
      <c r="A78" t="s">
        <v>1378</v>
      </c>
      <c r="B78">
        <v>1</v>
      </c>
      <c r="C78" s="56">
        <v>42640</v>
      </c>
      <c r="D78" t="s">
        <v>1449</v>
      </c>
      <c r="E78" t="s">
        <v>2217</v>
      </c>
      <c r="G78" t="s">
        <v>1144</v>
      </c>
      <c r="H78" t="s">
        <v>1144</v>
      </c>
      <c r="I78" t="s">
        <v>1144</v>
      </c>
      <c r="J78" t="s">
        <v>1144</v>
      </c>
      <c r="K78" t="s">
        <v>1144</v>
      </c>
      <c r="L78">
        <v>447.47</v>
      </c>
      <c r="M78">
        <v>2</v>
      </c>
      <c r="N78">
        <v>0</v>
      </c>
      <c r="O78" s="56"/>
      <c r="P78" s="56"/>
      <c r="Q78">
        <v>13718</v>
      </c>
      <c r="R78">
        <v>9</v>
      </c>
      <c r="S78">
        <v>4</v>
      </c>
      <c r="T78">
        <v>2</v>
      </c>
      <c r="U78">
        <v>2</v>
      </c>
      <c r="V78">
        <v>1</v>
      </c>
      <c r="X78" t="s">
        <v>2386</v>
      </c>
      <c r="AA78">
        <v>0</v>
      </c>
      <c r="AB78">
        <v>0</v>
      </c>
      <c r="AC78">
        <v>0</v>
      </c>
      <c r="AD78">
        <v>0</v>
      </c>
      <c r="AE78">
        <v>0</v>
      </c>
      <c r="AF78">
        <v>0</v>
      </c>
      <c r="AG78">
        <v>0</v>
      </c>
      <c r="AJ78" s="56"/>
      <c r="AK78" s="56">
        <v>42369</v>
      </c>
      <c r="AL78" s="56"/>
      <c r="AM78">
        <v>1</v>
      </c>
      <c r="AP78" t="s">
        <v>1450</v>
      </c>
      <c r="AS78" t="s">
        <v>1152</v>
      </c>
      <c r="AT78">
        <v>1</v>
      </c>
      <c r="AV78">
        <v>1</v>
      </c>
      <c r="AW78">
        <v>1</v>
      </c>
      <c r="AX78">
        <v>0.5</v>
      </c>
      <c r="AY78" t="s">
        <v>1147</v>
      </c>
      <c r="AZ78" t="s">
        <v>1147</v>
      </c>
      <c r="BA78">
        <v>1</v>
      </c>
      <c r="BD78">
        <v>1000000000</v>
      </c>
      <c r="BE78">
        <v>2</v>
      </c>
      <c r="BF78">
        <v>-1</v>
      </c>
      <c r="BG78">
        <v>0</v>
      </c>
      <c r="BH78">
        <v>0</v>
      </c>
      <c r="BI78">
        <v>0</v>
      </c>
      <c r="BJ78">
        <v>0</v>
      </c>
      <c r="BK78">
        <v>0</v>
      </c>
      <c r="BL78">
        <v>0</v>
      </c>
      <c r="BM78">
        <v>2</v>
      </c>
      <c r="BN78">
        <v>-1</v>
      </c>
      <c r="BO78">
        <v>0</v>
      </c>
      <c r="BP78">
        <v>0</v>
      </c>
      <c r="BR78">
        <v>0</v>
      </c>
      <c r="BS78">
        <v>1</v>
      </c>
      <c r="BX78">
        <v>0</v>
      </c>
      <c r="BY78">
        <v>447.47</v>
      </c>
      <c r="BZ78">
        <v>0</v>
      </c>
      <c r="CA78">
        <v>-11.95</v>
      </c>
      <c r="CC78">
        <v>1</v>
      </c>
      <c r="CD78" s="56">
        <v>42593</v>
      </c>
      <c r="CE78" s="56">
        <v>42612</v>
      </c>
      <c r="CF78" s="56">
        <v>42612</v>
      </c>
      <c r="CG78" s="56">
        <v>42640</v>
      </c>
      <c r="CH78" s="56"/>
      <c r="CI78" s="56"/>
      <c r="CJ78">
        <v>0</v>
      </c>
      <c r="CK78">
        <v>0</v>
      </c>
      <c r="CL78">
        <v>0</v>
      </c>
      <c r="CM78">
        <v>0</v>
      </c>
      <c r="CN78">
        <v>0</v>
      </c>
      <c r="CO78">
        <v>0</v>
      </c>
      <c r="CP78">
        <v>0.71</v>
      </c>
      <c r="CQ78" t="s">
        <v>1378</v>
      </c>
      <c r="CR78" t="s">
        <v>1377</v>
      </c>
      <c r="CS78" t="s">
        <v>1451</v>
      </c>
      <c r="CT78" t="s">
        <v>1724</v>
      </c>
      <c r="CU78" t="s">
        <v>1742</v>
      </c>
      <c r="CV78" t="s">
        <v>2216</v>
      </c>
      <c r="DB78" t="s">
        <v>2161</v>
      </c>
      <c r="DE78" t="s">
        <v>1724</v>
      </c>
    </row>
    <row r="79" spans="1:109" x14ac:dyDescent="0.25">
      <c r="A79" t="s">
        <v>1378</v>
      </c>
      <c r="B79">
        <v>1</v>
      </c>
      <c r="C79" s="56">
        <v>42640</v>
      </c>
      <c r="D79" t="s">
        <v>1449</v>
      </c>
      <c r="E79" t="s">
        <v>2360</v>
      </c>
      <c r="G79" t="s">
        <v>1144</v>
      </c>
      <c r="H79" t="s">
        <v>1144</v>
      </c>
      <c r="I79" t="s">
        <v>1144</v>
      </c>
      <c r="J79" t="s">
        <v>1144</v>
      </c>
      <c r="K79" t="s">
        <v>1144</v>
      </c>
      <c r="L79">
        <v>217.91</v>
      </c>
      <c r="M79">
        <v>878.08</v>
      </c>
      <c r="N79">
        <v>0</v>
      </c>
      <c r="O79" s="56"/>
      <c r="P79" s="56"/>
      <c r="Q79">
        <v>13718</v>
      </c>
      <c r="R79">
        <v>9</v>
      </c>
      <c r="S79">
        <v>4</v>
      </c>
      <c r="T79">
        <v>2</v>
      </c>
      <c r="U79">
        <v>2</v>
      </c>
      <c r="V79">
        <v>1</v>
      </c>
      <c r="W79" t="s">
        <v>1376</v>
      </c>
      <c r="X79" t="s">
        <v>2385</v>
      </c>
      <c r="AA79">
        <v>0</v>
      </c>
      <c r="AB79">
        <v>0</v>
      </c>
      <c r="AC79">
        <v>0</v>
      </c>
      <c r="AD79">
        <v>0</v>
      </c>
      <c r="AE79">
        <v>0</v>
      </c>
      <c r="AF79">
        <v>0</v>
      </c>
      <c r="AG79">
        <v>0</v>
      </c>
      <c r="AJ79" s="56"/>
      <c r="AK79" s="56"/>
      <c r="AL79" s="56"/>
      <c r="AM79">
        <v>5</v>
      </c>
      <c r="AP79" t="s">
        <v>1450</v>
      </c>
      <c r="AS79" t="s">
        <v>1152</v>
      </c>
      <c r="AT79">
        <v>1</v>
      </c>
      <c r="AV79">
        <v>2</v>
      </c>
      <c r="AW79">
        <v>2</v>
      </c>
      <c r="AX79">
        <v>1</v>
      </c>
      <c r="AY79" t="s">
        <v>1145</v>
      </c>
      <c r="AZ79" t="s">
        <v>1145</v>
      </c>
      <c r="BA79">
        <v>5</v>
      </c>
      <c r="BD79">
        <v>1000000000</v>
      </c>
      <c r="BE79">
        <v>2</v>
      </c>
      <c r="BF79">
        <v>0</v>
      </c>
      <c r="BG79">
        <v>0</v>
      </c>
      <c r="BH79">
        <v>0</v>
      </c>
      <c r="BI79">
        <v>0</v>
      </c>
      <c r="BJ79">
        <v>0</v>
      </c>
      <c r="BK79">
        <v>0</v>
      </c>
      <c r="BL79">
        <v>0</v>
      </c>
      <c r="BM79">
        <v>2</v>
      </c>
      <c r="BN79">
        <v>0</v>
      </c>
      <c r="BO79">
        <v>0</v>
      </c>
      <c r="BP79">
        <v>0</v>
      </c>
      <c r="BR79">
        <v>0</v>
      </c>
      <c r="BS79">
        <v>1</v>
      </c>
      <c r="BX79">
        <v>0</v>
      </c>
      <c r="BY79">
        <v>0</v>
      </c>
      <c r="BZ79">
        <v>0</v>
      </c>
      <c r="CA79">
        <v>36.35</v>
      </c>
      <c r="CC79">
        <v>1</v>
      </c>
      <c r="CD79" s="56">
        <v>42619</v>
      </c>
      <c r="CE79" s="56">
        <v>42619</v>
      </c>
      <c r="CF79" s="56">
        <v>42619</v>
      </c>
      <c r="CG79" s="56">
        <v>42647</v>
      </c>
      <c r="CH79" s="56"/>
      <c r="CI79" s="56"/>
      <c r="CJ79">
        <v>0</v>
      </c>
      <c r="CK79">
        <v>0</v>
      </c>
      <c r="CL79">
        <v>0</v>
      </c>
      <c r="CM79">
        <v>0</v>
      </c>
      <c r="CN79">
        <v>0.65</v>
      </c>
      <c r="CO79">
        <v>0</v>
      </c>
      <c r="CP79">
        <v>0</v>
      </c>
      <c r="CQ79" t="s">
        <v>1378</v>
      </c>
      <c r="CR79" t="s">
        <v>1377</v>
      </c>
      <c r="CS79" t="s">
        <v>1451</v>
      </c>
      <c r="CT79" t="s">
        <v>1724</v>
      </c>
      <c r="CU79" t="s">
        <v>1742</v>
      </c>
      <c r="CV79" t="s">
        <v>2361</v>
      </c>
      <c r="DB79" t="s">
        <v>2351</v>
      </c>
      <c r="DE79" t="s">
        <v>1724</v>
      </c>
    </row>
    <row r="80" spans="1:109" x14ac:dyDescent="0.25">
      <c r="A80" t="s">
        <v>1378</v>
      </c>
      <c r="B80">
        <v>1</v>
      </c>
      <c r="C80" s="56">
        <v>42640</v>
      </c>
      <c r="D80" t="s">
        <v>1449</v>
      </c>
      <c r="E80" t="s">
        <v>2061</v>
      </c>
      <c r="G80" t="s">
        <v>1144</v>
      </c>
      <c r="H80" t="s">
        <v>1144</v>
      </c>
      <c r="I80" t="s">
        <v>1144</v>
      </c>
      <c r="J80" t="s">
        <v>1144</v>
      </c>
      <c r="K80" t="s">
        <v>1144</v>
      </c>
      <c r="L80">
        <v>112.76</v>
      </c>
      <c r="M80">
        <v>293.95</v>
      </c>
      <c r="N80">
        <v>0</v>
      </c>
      <c r="O80" s="56"/>
      <c r="P80" s="56"/>
      <c r="Q80">
        <v>13718</v>
      </c>
      <c r="R80">
        <v>9</v>
      </c>
      <c r="S80">
        <v>4</v>
      </c>
      <c r="T80">
        <v>2</v>
      </c>
      <c r="U80">
        <v>2</v>
      </c>
      <c r="V80">
        <v>1</v>
      </c>
      <c r="X80" t="s">
        <v>2385</v>
      </c>
      <c r="AA80">
        <v>0.27</v>
      </c>
      <c r="AB80">
        <v>2</v>
      </c>
      <c r="AC80">
        <v>2.78</v>
      </c>
      <c r="AD80">
        <v>4.63</v>
      </c>
      <c r="AE80">
        <v>0</v>
      </c>
      <c r="AF80">
        <v>0</v>
      </c>
      <c r="AG80">
        <v>0</v>
      </c>
      <c r="AJ80" s="56"/>
      <c r="AK80" s="56"/>
      <c r="AL80" s="56"/>
      <c r="AM80">
        <v>5</v>
      </c>
      <c r="AP80" t="s">
        <v>1450</v>
      </c>
      <c r="AS80" t="s">
        <v>1152</v>
      </c>
      <c r="AT80">
        <v>1</v>
      </c>
      <c r="AV80">
        <v>3</v>
      </c>
      <c r="AW80">
        <v>2</v>
      </c>
      <c r="AX80">
        <v>1</v>
      </c>
      <c r="AY80" t="s">
        <v>1147</v>
      </c>
      <c r="AZ80" t="s">
        <v>1147</v>
      </c>
      <c r="BA80">
        <v>5</v>
      </c>
      <c r="BD80">
        <v>1000000000</v>
      </c>
      <c r="BE80">
        <v>5</v>
      </c>
      <c r="BF80">
        <v>-0.67</v>
      </c>
      <c r="BG80">
        <v>0</v>
      </c>
      <c r="BH80">
        <v>0</v>
      </c>
      <c r="BI80">
        <v>0</v>
      </c>
      <c r="BJ80">
        <v>0</v>
      </c>
      <c r="BK80">
        <v>0</v>
      </c>
      <c r="BL80">
        <v>0</v>
      </c>
      <c r="BM80">
        <v>5</v>
      </c>
      <c r="BN80">
        <v>-0.67</v>
      </c>
      <c r="BO80">
        <v>0</v>
      </c>
      <c r="BP80">
        <v>0</v>
      </c>
      <c r="BR80">
        <v>0</v>
      </c>
      <c r="BS80">
        <v>2</v>
      </c>
      <c r="BX80">
        <v>0</v>
      </c>
      <c r="BY80">
        <v>225.52</v>
      </c>
      <c r="BZ80">
        <v>0</v>
      </c>
      <c r="CA80">
        <v>19.28</v>
      </c>
      <c r="CC80">
        <v>1</v>
      </c>
      <c r="CD80" s="56">
        <v>42619</v>
      </c>
      <c r="CE80" s="56">
        <v>42619</v>
      </c>
      <c r="CF80" s="56">
        <v>42619</v>
      </c>
      <c r="CG80" s="56">
        <v>42647</v>
      </c>
      <c r="CH80" s="56"/>
      <c r="CI80" s="56"/>
      <c r="CJ80">
        <v>0</v>
      </c>
      <c r="CK80">
        <v>0</v>
      </c>
      <c r="CL80">
        <v>0</v>
      </c>
      <c r="CM80">
        <v>0</v>
      </c>
      <c r="CN80">
        <v>0</v>
      </c>
      <c r="CO80">
        <v>0</v>
      </c>
      <c r="CP80">
        <v>0.65</v>
      </c>
      <c r="CQ80" t="s">
        <v>1378</v>
      </c>
      <c r="CR80" t="s">
        <v>1377</v>
      </c>
      <c r="CS80" t="s">
        <v>1451</v>
      </c>
      <c r="CT80" t="s">
        <v>1724</v>
      </c>
      <c r="CU80" t="s">
        <v>1742</v>
      </c>
      <c r="CV80" t="s">
        <v>2062</v>
      </c>
      <c r="DB80" t="s">
        <v>2059</v>
      </c>
      <c r="DE80" t="s">
        <v>1724</v>
      </c>
    </row>
    <row r="81" spans="1:109" x14ac:dyDescent="0.25">
      <c r="A81" t="s">
        <v>1378</v>
      </c>
      <c r="B81">
        <v>1</v>
      </c>
      <c r="C81" s="56">
        <v>42640</v>
      </c>
      <c r="D81" t="s">
        <v>1449</v>
      </c>
      <c r="E81" t="s">
        <v>1751</v>
      </c>
      <c r="G81" t="s">
        <v>1144</v>
      </c>
      <c r="H81" t="s">
        <v>1144</v>
      </c>
      <c r="I81" t="s">
        <v>1144</v>
      </c>
      <c r="J81" t="s">
        <v>1144</v>
      </c>
      <c r="K81" t="s">
        <v>1144</v>
      </c>
      <c r="L81">
        <v>90.28</v>
      </c>
      <c r="M81">
        <v>2</v>
      </c>
      <c r="N81">
        <v>0</v>
      </c>
      <c r="O81" s="56"/>
      <c r="P81" s="56"/>
      <c r="Q81">
        <v>13718</v>
      </c>
      <c r="R81">
        <v>9</v>
      </c>
      <c r="S81">
        <v>4</v>
      </c>
      <c r="T81">
        <v>2</v>
      </c>
      <c r="U81">
        <v>2</v>
      </c>
      <c r="V81">
        <v>1</v>
      </c>
      <c r="X81" t="s">
        <v>2386</v>
      </c>
      <c r="AA81">
        <v>0</v>
      </c>
      <c r="AB81">
        <v>0</v>
      </c>
      <c r="AC81">
        <v>0</v>
      </c>
      <c r="AD81">
        <v>0</v>
      </c>
      <c r="AE81">
        <v>0</v>
      </c>
      <c r="AF81">
        <v>0</v>
      </c>
      <c r="AG81">
        <v>0</v>
      </c>
      <c r="AJ81" s="56"/>
      <c r="AK81" s="56"/>
      <c r="AL81" s="56"/>
      <c r="AP81" t="s">
        <v>1450</v>
      </c>
      <c r="AS81" t="s">
        <v>1152</v>
      </c>
      <c r="AT81">
        <v>1</v>
      </c>
      <c r="AV81">
        <v>0</v>
      </c>
      <c r="AW81">
        <v>0</v>
      </c>
      <c r="AX81">
        <v>0</v>
      </c>
      <c r="AY81" t="s">
        <v>1375</v>
      </c>
      <c r="AZ81" t="s">
        <v>1375</v>
      </c>
      <c r="BA81">
        <v>0</v>
      </c>
      <c r="BD81">
        <v>1000000000</v>
      </c>
      <c r="BE81">
        <v>1</v>
      </c>
      <c r="BF81">
        <v>0</v>
      </c>
      <c r="BG81">
        <v>0</v>
      </c>
      <c r="BH81">
        <v>0</v>
      </c>
      <c r="BI81">
        <v>0</v>
      </c>
      <c r="BJ81">
        <v>0</v>
      </c>
      <c r="BK81">
        <v>0</v>
      </c>
      <c r="BL81">
        <v>0</v>
      </c>
      <c r="BM81">
        <v>1</v>
      </c>
      <c r="BN81">
        <v>0</v>
      </c>
      <c r="BO81">
        <v>0</v>
      </c>
      <c r="BP81">
        <v>0</v>
      </c>
      <c r="BR81">
        <v>0</v>
      </c>
      <c r="BS81">
        <v>0</v>
      </c>
      <c r="BX81">
        <v>0</v>
      </c>
      <c r="BY81">
        <v>0</v>
      </c>
      <c r="BZ81">
        <v>0</v>
      </c>
      <c r="CA81">
        <v>0</v>
      </c>
      <c r="CC81">
        <v>1</v>
      </c>
      <c r="CD81" s="56">
        <v>42593</v>
      </c>
      <c r="CE81" s="56">
        <v>42612</v>
      </c>
      <c r="CF81" s="56">
        <v>42612</v>
      </c>
      <c r="CG81" s="56">
        <v>42640</v>
      </c>
      <c r="CH81" s="56"/>
      <c r="CI81" s="56"/>
      <c r="CJ81">
        <v>0</v>
      </c>
      <c r="CK81">
        <v>0</v>
      </c>
      <c r="CL81">
        <v>0</v>
      </c>
      <c r="CM81">
        <v>0</v>
      </c>
      <c r="CN81">
        <v>0</v>
      </c>
      <c r="CO81">
        <v>0</v>
      </c>
      <c r="CP81">
        <v>0.71</v>
      </c>
      <c r="CQ81" t="s">
        <v>1378</v>
      </c>
      <c r="CR81" t="s">
        <v>1377</v>
      </c>
      <c r="CS81" t="s">
        <v>1451</v>
      </c>
      <c r="CT81" t="s">
        <v>1724</v>
      </c>
      <c r="CU81" t="s">
        <v>1742</v>
      </c>
      <c r="CV81" t="s">
        <v>1752</v>
      </c>
      <c r="DB81" t="s">
        <v>1750</v>
      </c>
      <c r="DE81" t="s">
        <v>1724</v>
      </c>
    </row>
    <row r="82" spans="1:109" x14ac:dyDescent="0.25">
      <c r="A82" t="s">
        <v>1378</v>
      </c>
      <c r="B82">
        <v>1</v>
      </c>
      <c r="C82" s="56">
        <v>42640</v>
      </c>
      <c r="D82" t="s">
        <v>1449</v>
      </c>
      <c r="E82" t="s">
        <v>2114</v>
      </c>
      <c r="G82" t="s">
        <v>1144</v>
      </c>
      <c r="H82" t="s">
        <v>1144</v>
      </c>
      <c r="I82" t="s">
        <v>1144</v>
      </c>
      <c r="J82" t="s">
        <v>1144</v>
      </c>
      <c r="K82" t="s">
        <v>1144</v>
      </c>
      <c r="L82">
        <v>1151.92</v>
      </c>
      <c r="M82">
        <v>2594.2800000000002</v>
      </c>
      <c r="N82">
        <v>0</v>
      </c>
      <c r="O82" s="56"/>
      <c r="P82" s="56"/>
      <c r="Q82">
        <v>13718</v>
      </c>
      <c r="R82">
        <v>9</v>
      </c>
      <c r="S82">
        <v>4</v>
      </c>
      <c r="T82">
        <v>2</v>
      </c>
      <c r="U82">
        <v>2</v>
      </c>
      <c r="V82">
        <v>1</v>
      </c>
      <c r="X82" t="s">
        <v>2385</v>
      </c>
      <c r="AA82">
        <v>0</v>
      </c>
      <c r="AB82">
        <v>0</v>
      </c>
      <c r="AC82">
        <v>0</v>
      </c>
      <c r="AD82">
        <v>0</v>
      </c>
      <c r="AE82">
        <v>0</v>
      </c>
      <c r="AF82">
        <v>0</v>
      </c>
      <c r="AG82">
        <v>0</v>
      </c>
      <c r="AJ82" s="56"/>
      <c r="AK82" s="56"/>
      <c r="AL82" s="56"/>
      <c r="AM82">
        <v>6</v>
      </c>
      <c r="AP82" t="s">
        <v>1450</v>
      </c>
      <c r="AS82" t="s">
        <v>1152</v>
      </c>
      <c r="AT82">
        <v>1</v>
      </c>
      <c r="AV82">
        <v>3</v>
      </c>
      <c r="AW82">
        <v>2</v>
      </c>
      <c r="AX82">
        <v>1</v>
      </c>
      <c r="AY82" t="s">
        <v>1147</v>
      </c>
      <c r="AZ82" t="s">
        <v>1147</v>
      </c>
      <c r="BA82">
        <v>6</v>
      </c>
      <c r="BD82">
        <v>1000000000</v>
      </c>
      <c r="BE82">
        <v>5</v>
      </c>
      <c r="BF82">
        <v>-0.67</v>
      </c>
      <c r="BG82">
        <v>0</v>
      </c>
      <c r="BH82">
        <v>0</v>
      </c>
      <c r="BI82">
        <v>0</v>
      </c>
      <c r="BJ82">
        <v>0</v>
      </c>
      <c r="BK82">
        <v>0</v>
      </c>
      <c r="BL82">
        <v>0</v>
      </c>
      <c r="BM82">
        <v>5</v>
      </c>
      <c r="BN82">
        <v>-0.67</v>
      </c>
      <c r="BO82">
        <v>0</v>
      </c>
      <c r="BP82">
        <v>0</v>
      </c>
      <c r="BR82">
        <v>0</v>
      </c>
      <c r="BS82">
        <v>2</v>
      </c>
      <c r="BX82">
        <v>0</v>
      </c>
      <c r="BY82">
        <v>2303.84</v>
      </c>
      <c r="BZ82">
        <v>0</v>
      </c>
      <c r="CA82">
        <v>15.03</v>
      </c>
      <c r="CC82">
        <v>1</v>
      </c>
      <c r="CD82" s="56">
        <v>42619</v>
      </c>
      <c r="CE82" s="56">
        <v>42619</v>
      </c>
      <c r="CF82" s="56">
        <v>42619</v>
      </c>
      <c r="CG82" s="56">
        <v>42647</v>
      </c>
      <c r="CH82" s="56"/>
      <c r="CI82" s="56"/>
      <c r="CJ82">
        <v>0</v>
      </c>
      <c r="CK82">
        <v>0</v>
      </c>
      <c r="CL82">
        <v>0</v>
      </c>
      <c r="CM82">
        <v>0</v>
      </c>
      <c r="CN82">
        <v>0</v>
      </c>
      <c r="CO82">
        <v>0</v>
      </c>
      <c r="CP82">
        <v>0.65</v>
      </c>
      <c r="CQ82" t="s">
        <v>1378</v>
      </c>
      <c r="CR82" t="s">
        <v>1377</v>
      </c>
      <c r="CS82" t="s">
        <v>1451</v>
      </c>
      <c r="CT82" t="s">
        <v>1724</v>
      </c>
      <c r="CU82" t="s">
        <v>1742</v>
      </c>
      <c r="CV82" t="s">
        <v>2115</v>
      </c>
      <c r="DB82" t="s">
        <v>2111</v>
      </c>
      <c r="DE82" t="s">
        <v>1724</v>
      </c>
    </row>
    <row r="83" spans="1:109" x14ac:dyDescent="0.25">
      <c r="A83" t="s">
        <v>1378</v>
      </c>
      <c r="B83">
        <v>1</v>
      </c>
      <c r="C83" s="56">
        <v>42640</v>
      </c>
      <c r="D83" t="s">
        <v>1449</v>
      </c>
      <c r="E83" t="s">
        <v>1805</v>
      </c>
      <c r="G83" t="s">
        <v>1144</v>
      </c>
      <c r="H83" t="s">
        <v>1144</v>
      </c>
      <c r="I83" t="s">
        <v>1144</v>
      </c>
      <c r="J83" t="s">
        <v>1144</v>
      </c>
      <c r="K83" t="s">
        <v>1144</v>
      </c>
      <c r="L83">
        <v>906.38</v>
      </c>
      <c r="M83">
        <v>2032.14</v>
      </c>
      <c r="N83">
        <v>0</v>
      </c>
      <c r="O83" s="56"/>
      <c r="P83" s="56"/>
      <c r="Q83">
        <v>13718</v>
      </c>
      <c r="R83">
        <v>9</v>
      </c>
      <c r="S83">
        <v>4</v>
      </c>
      <c r="T83">
        <v>2</v>
      </c>
      <c r="U83">
        <v>2</v>
      </c>
      <c r="V83">
        <v>1</v>
      </c>
      <c r="X83" t="s">
        <v>2385</v>
      </c>
      <c r="AA83">
        <v>0</v>
      </c>
      <c r="AB83">
        <v>0</v>
      </c>
      <c r="AC83">
        <v>0</v>
      </c>
      <c r="AD83">
        <v>0</v>
      </c>
      <c r="AE83">
        <v>0</v>
      </c>
      <c r="AF83">
        <v>0</v>
      </c>
      <c r="AG83">
        <v>0</v>
      </c>
      <c r="AJ83" s="56"/>
      <c r="AK83" s="56"/>
      <c r="AL83" s="56"/>
      <c r="AM83">
        <v>1</v>
      </c>
      <c r="AP83" t="s">
        <v>1450</v>
      </c>
      <c r="AS83" t="s">
        <v>1152</v>
      </c>
      <c r="AT83">
        <v>1</v>
      </c>
      <c r="AV83">
        <v>0</v>
      </c>
      <c r="AW83">
        <v>0</v>
      </c>
      <c r="AX83">
        <v>0</v>
      </c>
      <c r="AY83" t="s">
        <v>1375</v>
      </c>
      <c r="AZ83" t="s">
        <v>1375</v>
      </c>
      <c r="BA83">
        <v>1</v>
      </c>
      <c r="BD83">
        <v>1000000000</v>
      </c>
      <c r="BE83">
        <v>2</v>
      </c>
      <c r="BF83">
        <v>0</v>
      </c>
      <c r="BG83">
        <v>0</v>
      </c>
      <c r="BH83">
        <v>0</v>
      </c>
      <c r="BI83">
        <v>0</v>
      </c>
      <c r="BJ83">
        <v>0</v>
      </c>
      <c r="BK83">
        <v>0</v>
      </c>
      <c r="BL83">
        <v>0</v>
      </c>
      <c r="BM83">
        <v>2</v>
      </c>
      <c r="BN83">
        <v>0</v>
      </c>
      <c r="BO83">
        <v>0</v>
      </c>
      <c r="BP83">
        <v>0</v>
      </c>
      <c r="BR83">
        <v>0</v>
      </c>
      <c r="BS83">
        <v>0</v>
      </c>
      <c r="BX83">
        <v>0</v>
      </c>
      <c r="BY83">
        <v>0</v>
      </c>
      <c r="BZ83">
        <v>0</v>
      </c>
      <c r="CA83">
        <v>0</v>
      </c>
      <c r="CC83">
        <v>1</v>
      </c>
      <c r="CD83" s="56">
        <v>42619</v>
      </c>
      <c r="CE83" s="56">
        <v>42619</v>
      </c>
      <c r="CF83" s="56">
        <v>42619</v>
      </c>
      <c r="CG83" s="56">
        <v>42647</v>
      </c>
      <c r="CH83" s="56"/>
      <c r="CI83" s="56"/>
      <c r="CJ83">
        <v>0</v>
      </c>
      <c r="CK83">
        <v>0</v>
      </c>
      <c r="CL83">
        <v>0</v>
      </c>
      <c r="CM83">
        <v>0</v>
      </c>
      <c r="CN83">
        <v>0</v>
      </c>
      <c r="CO83">
        <v>0</v>
      </c>
      <c r="CP83">
        <v>0.65</v>
      </c>
      <c r="CQ83" t="s">
        <v>1378</v>
      </c>
      <c r="CR83" t="s">
        <v>1377</v>
      </c>
      <c r="CS83" t="s">
        <v>1451</v>
      </c>
      <c r="CT83" t="s">
        <v>1724</v>
      </c>
      <c r="CU83" t="s">
        <v>1742</v>
      </c>
      <c r="CV83" t="s">
        <v>1806</v>
      </c>
      <c r="DB83" t="s">
        <v>1794</v>
      </c>
      <c r="DE83" t="s">
        <v>1724</v>
      </c>
    </row>
    <row r="84" spans="1:109" x14ac:dyDescent="0.25">
      <c r="A84" t="s">
        <v>1378</v>
      </c>
      <c r="B84">
        <v>1</v>
      </c>
      <c r="C84" s="56">
        <v>42640</v>
      </c>
      <c r="D84" t="s">
        <v>1449</v>
      </c>
      <c r="E84" t="s">
        <v>2162</v>
      </c>
      <c r="G84" t="s">
        <v>1144</v>
      </c>
      <c r="H84" t="s">
        <v>1144</v>
      </c>
      <c r="I84" t="s">
        <v>1144</v>
      </c>
      <c r="J84" t="s">
        <v>1144</v>
      </c>
      <c r="K84" t="s">
        <v>1144</v>
      </c>
      <c r="L84">
        <v>319.86</v>
      </c>
      <c r="M84">
        <v>2</v>
      </c>
      <c r="N84">
        <v>0</v>
      </c>
      <c r="O84" s="56"/>
      <c r="P84" s="56"/>
      <c r="Q84">
        <v>13718</v>
      </c>
      <c r="R84">
        <v>9</v>
      </c>
      <c r="S84">
        <v>4</v>
      </c>
      <c r="T84">
        <v>2</v>
      </c>
      <c r="U84">
        <v>2</v>
      </c>
      <c r="V84">
        <v>1</v>
      </c>
      <c r="X84" t="s">
        <v>2386</v>
      </c>
      <c r="AA84">
        <v>0</v>
      </c>
      <c r="AB84">
        <v>0</v>
      </c>
      <c r="AC84">
        <v>0</v>
      </c>
      <c r="AD84">
        <v>0</v>
      </c>
      <c r="AE84">
        <v>0</v>
      </c>
      <c r="AF84">
        <v>0</v>
      </c>
      <c r="AG84">
        <v>0</v>
      </c>
      <c r="AJ84" s="56"/>
      <c r="AK84" s="56">
        <v>42369</v>
      </c>
      <c r="AL84" s="56"/>
      <c r="AM84">
        <v>1</v>
      </c>
      <c r="AP84" t="s">
        <v>1450</v>
      </c>
      <c r="AS84" t="s">
        <v>1152</v>
      </c>
      <c r="AT84">
        <v>1</v>
      </c>
      <c r="AV84">
        <v>1</v>
      </c>
      <c r="AW84">
        <v>1</v>
      </c>
      <c r="AX84">
        <v>0.5</v>
      </c>
      <c r="AY84" t="s">
        <v>1147</v>
      </c>
      <c r="AZ84" t="s">
        <v>1147</v>
      </c>
      <c r="BA84">
        <v>1</v>
      </c>
      <c r="BD84">
        <v>1000000000</v>
      </c>
      <c r="BE84">
        <v>2</v>
      </c>
      <c r="BF84">
        <v>-1</v>
      </c>
      <c r="BG84">
        <v>0</v>
      </c>
      <c r="BH84">
        <v>0</v>
      </c>
      <c r="BI84">
        <v>0</v>
      </c>
      <c r="BJ84">
        <v>0</v>
      </c>
      <c r="BK84">
        <v>0</v>
      </c>
      <c r="BL84">
        <v>0</v>
      </c>
      <c r="BM84">
        <v>2</v>
      </c>
      <c r="BN84">
        <v>-1</v>
      </c>
      <c r="BO84">
        <v>0</v>
      </c>
      <c r="BP84">
        <v>0</v>
      </c>
      <c r="BR84">
        <v>0</v>
      </c>
      <c r="BS84">
        <v>1</v>
      </c>
      <c r="BX84">
        <v>0</v>
      </c>
      <c r="BY84">
        <v>319.86</v>
      </c>
      <c r="BZ84">
        <v>0</v>
      </c>
      <c r="CA84">
        <v>-11.92</v>
      </c>
      <c r="CC84">
        <v>1</v>
      </c>
      <c r="CD84" s="56">
        <v>42593</v>
      </c>
      <c r="CE84" s="56">
        <v>42612</v>
      </c>
      <c r="CF84" s="56">
        <v>42612</v>
      </c>
      <c r="CG84" s="56">
        <v>42640</v>
      </c>
      <c r="CH84" s="56"/>
      <c r="CI84" s="56"/>
      <c r="CJ84">
        <v>0</v>
      </c>
      <c r="CK84">
        <v>0</v>
      </c>
      <c r="CL84">
        <v>0</v>
      </c>
      <c r="CM84">
        <v>0</v>
      </c>
      <c r="CN84">
        <v>0</v>
      </c>
      <c r="CO84">
        <v>0</v>
      </c>
      <c r="CP84">
        <v>0.71</v>
      </c>
      <c r="CQ84" t="s">
        <v>1378</v>
      </c>
      <c r="CR84" t="s">
        <v>1377</v>
      </c>
      <c r="CS84" t="s">
        <v>1451</v>
      </c>
      <c r="CT84" t="s">
        <v>1724</v>
      </c>
      <c r="CU84" t="s">
        <v>1742</v>
      </c>
      <c r="CV84" t="s">
        <v>2159</v>
      </c>
      <c r="DB84" t="s">
        <v>2161</v>
      </c>
      <c r="DE84" t="s">
        <v>1724</v>
      </c>
    </row>
    <row r="85" spans="1:109" x14ac:dyDescent="0.25">
      <c r="A85" t="s">
        <v>1378</v>
      </c>
      <c r="B85">
        <v>1</v>
      </c>
      <c r="C85" s="56">
        <v>42640</v>
      </c>
      <c r="D85" t="s">
        <v>1449</v>
      </c>
      <c r="E85" t="s">
        <v>1731</v>
      </c>
      <c r="G85" t="s">
        <v>1144</v>
      </c>
      <c r="H85" t="s">
        <v>1144</v>
      </c>
      <c r="I85" t="s">
        <v>1144</v>
      </c>
      <c r="J85" t="s">
        <v>1144</v>
      </c>
      <c r="K85" t="s">
        <v>1144</v>
      </c>
      <c r="L85">
        <v>654.54</v>
      </c>
      <c r="M85">
        <v>1059.4100000000001</v>
      </c>
      <c r="N85">
        <v>0</v>
      </c>
      <c r="O85" s="56"/>
      <c r="P85" s="56"/>
      <c r="Q85">
        <v>13718</v>
      </c>
      <c r="R85">
        <v>9</v>
      </c>
      <c r="S85">
        <v>4</v>
      </c>
      <c r="T85">
        <v>2</v>
      </c>
      <c r="U85">
        <v>2</v>
      </c>
      <c r="V85">
        <v>1</v>
      </c>
      <c r="W85" t="s">
        <v>2379</v>
      </c>
      <c r="X85" t="s">
        <v>2386</v>
      </c>
      <c r="AA85">
        <v>0</v>
      </c>
      <c r="AB85">
        <v>0</v>
      </c>
      <c r="AC85">
        <v>0</v>
      </c>
      <c r="AD85">
        <v>0</v>
      </c>
      <c r="AE85">
        <v>0</v>
      </c>
      <c r="AF85">
        <v>0</v>
      </c>
      <c r="AG85">
        <v>0</v>
      </c>
      <c r="AJ85" s="56"/>
      <c r="AK85" s="56"/>
      <c r="AL85" s="56"/>
      <c r="AM85">
        <v>3</v>
      </c>
      <c r="AP85" t="s">
        <v>1450</v>
      </c>
      <c r="AS85" t="s">
        <v>1152</v>
      </c>
      <c r="AT85">
        <v>1</v>
      </c>
      <c r="AV85">
        <v>3</v>
      </c>
      <c r="AW85">
        <v>2</v>
      </c>
      <c r="AX85">
        <v>1</v>
      </c>
      <c r="AY85" t="s">
        <v>1145</v>
      </c>
      <c r="AZ85" t="s">
        <v>1145</v>
      </c>
      <c r="BA85">
        <v>3</v>
      </c>
      <c r="BD85">
        <v>1000000000</v>
      </c>
      <c r="BE85">
        <v>2</v>
      </c>
      <c r="BF85">
        <v>0.33</v>
      </c>
      <c r="BG85">
        <v>0</v>
      </c>
      <c r="BH85">
        <v>0</v>
      </c>
      <c r="BI85">
        <v>0</v>
      </c>
      <c r="BJ85">
        <v>0</v>
      </c>
      <c r="BK85">
        <v>0</v>
      </c>
      <c r="BL85">
        <v>0</v>
      </c>
      <c r="BM85">
        <v>2</v>
      </c>
      <c r="BN85">
        <v>0.33</v>
      </c>
      <c r="BO85">
        <v>0</v>
      </c>
      <c r="BP85">
        <v>0</v>
      </c>
      <c r="BR85">
        <v>1</v>
      </c>
      <c r="BS85">
        <v>2</v>
      </c>
      <c r="BX85">
        <v>0</v>
      </c>
      <c r="BY85">
        <v>0</v>
      </c>
      <c r="BZ85">
        <v>0</v>
      </c>
      <c r="CA85">
        <v>7.42</v>
      </c>
      <c r="CC85">
        <v>1</v>
      </c>
      <c r="CD85" s="56">
        <v>42593</v>
      </c>
      <c r="CE85" s="56">
        <v>42612</v>
      </c>
      <c r="CF85" s="56">
        <v>42612</v>
      </c>
      <c r="CG85" s="56">
        <v>42640</v>
      </c>
      <c r="CH85" s="56"/>
      <c r="CI85" s="56"/>
      <c r="CJ85">
        <v>0</v>
      </c>
      <c r="CK85">
        <v>0</v>
      </c>
      <c r="CL85">
        <v>0</v>
      </c>
      <c r="CM85">
        <v>0</v>
      </c>
      <c r="CN85">
        <v>0.71</v>
      </c>
      <c r="CO85">
        <v>0</v>
      </c>
      <c r="CP85">
        <v>0</v>
      </c>
      <c r="CQ85" t="s">
        <v>1378</v>
      </c>
      <c r="CR85" t="s">
        <v>1377</v>
      </c>
      <c r="CS85" t="s">
        <v>1451</v>
      </c>
      <c r="CT85" t="s">
        <v>1724</v>
      </c>
      <c r="CU85" t="s">
        <v>1742</v>
      </c>
      <c r="CV85" t="s">
        <v>1852</v>
      </c>
      <c r="DB85" t="s">
        <v>1847</v>
      </c>
      <c r="DE85" t="s">
        <v>1724</v>
      </c>
    </row>
    <row r="86" spans="1:109" x14ac:dyDescent="0.25">
      <c r="A86" t="s">
        <v>1378</v>
      </c>
      <c r="B86">
        <v>1</v>
      </c>
      <c r="C86" s="56">
        <v>42640</v>
      </c>
      <c r="D86" t="s">
        <v>1449</v>
      </c>
      <c r="E86" t="s">
        <v>2203</v>
      </c>
      <c r="G86" t="s">
        <v>1144</v>
      </c>
      <c r="H86" t="s">
        <v>1144</v>
      </c>
      <c r="I86" t="s">
        <v>1144</v>
      </c>
      <c r="J86" t="s">
        <v>1144</v>
      </c>
      <c r="K86" t="s">
        <v>1144</v>
      </c>
      <c r="L86">
        <v>447.47</v>
      </c>
      <c r="M86">
        <v>2</v>
      </c>
      <c r="N86">
        <v>0</v>
      </c>
      <c r="O86" s="56"/>
      <c r="P86" s="56"/>
      <c r="Q86">
        <v>13718</v>
      </c>
      <c r="R86">
        <v>9</v>
      </c>
      <c r="S86">
        <v>4</v>
      </c>
      <c r="T86">
        <v>2</v>
      </c>
      <c r="U86">
        <v>2</v>
      </c>
      <c r="V86">
        <v>1</v>
      </c>
      <c r="X86" t="s">
        <v>2386</v>
      </c>
      <c r="AA86">
        <v>0</v>
      </c>
      <c r="AB86">
        <v>0</v>
      </c>
      <c r="AC86">
        <v>0</v>
      </c>
      <c r="AD86">
        <v>0</v>
      </c>
      <c r="AE86">
        <v>0</v>
      </c>
      <c r="AF86">
        <v>0</v>
      </c>
      <c r="AG86">
        <v>0</v>
      </c>
      <c r="AJ86" s="56"/>
      <c r="AK86" s="56">
        <v>42369</v>
      </c>
      <c r="AL86" s="56"/>
      <c r="AM86">
        <v>1</v>
      </c>
      <c r="AP86" t="s">
        <v>1450</v>
      </c>
      <c r="AS86" t="s">
        <v>1152</v>
      </c>
      <c r="AT86">
        <v>1</v>
      </c>
      <c r="AV86">
        <v>1</v>
      </c>
      <c r="AW86">
        <v>1</v>
      </c>
      <c r="AX86">
        <v>0.5</v>
      </c>
      <c r="AY86" t="s">
        <v>1147</v>
      </c>
      <c r="AZ86" t="s">
        <v>1147</v>
      </c>
      <c r="BA86">
        <v>1</v>
      </c>
      <c r="BD86">
        <v>1000000000</v>
      </c>
      <c r="BE86">
        <v>2</v>
      </c>
      <c r="BF86">
        <v>-1</v>
      </c>
      <c r="BG86">
        <v>0</v>
      </c>
      <c r="BH86">
        <v>0</v>
      </c>
      <c r="BI86">
        <v>0</v>
      </c>
      <c r="BJ86">
        <v>0</v>
      </c>
      <c r="BK86">
        <v>0</v>
      </c>
      <c r="BL86">
        <v>0</v>
      </c>
      <c r="BM86">
        <v>2</v>
      </c>
      <c r="BN86">
        <v>-1</v>
      </c>
      <c r="BO86">
        <v>0</v>
      </c>
      <c r="BP86">
        <v>0</v>
      </c>
      <c r="BR86">
        <v>0</v>
      </c>
      <c r="BS86">
        <v>1</v>
      </c>
      <c r="BX86">
        <v>0</v>
      </c>
      <c r="BY86">
        <v>447.47</v>
      </c>
      <c r="BZ86">
        <v>0</v>
      </c>
      <c r="CA86">
        <v>-11.95</v>
      </c>
      <c r="CC86">
        <v>1</v>
      </c>
      <c r="CD86" s="56">
        <v>42593</v>
      </c>
      <c r="CE86" s="56">
        <v>42612</v>
      </c>
      <c r="CF86" s="56">
        <v>42612</v>
      </c>
      <c r="CG86" s="56">
        <v>42640</v>
      </c>
      <c r="CH86" s="56"/>
      <c r="CI86" s="56"/>
      <c r="CJ86">
        <v>0</v>
      </c>
      <c r="CK86">
        <v>0</v>
      </c>
      <c r="CL86">
        <v>0</v>
      </c>
      <c r="CM86">
        <v>0</v>
      </c>
      <c r="CN86">
        <v>0</v>
      </c>
      <c r="CO86">
        <v>0</v>
      </c>
      <c r="CP86">
        <v>0.71</v>
      </c>
      <c r="CQ86" t="s">
        <v>1378</v>
      </c>
      <c r="CR86" t="s">
        <v>1377</v>
      </c>
      <c r="CS86" t="s">
        <v>1451</v>
      </c>
      <c r="CT86" t="s">
        <v>1724</v>
      </c>
      <c r="CU86" t="s">
        <v>1742</v>
      </c>
      <c r="CV86" t="s">
        <v>2204</v>
      </c>
      <c r="DB86" t="s">
        <v>2161</v>
      </c>
      <c r="DE86" t="s">
        <v>1724</v>
      </c>
    </row>
    <row r="87" spans="1:109" x14ac:dyDescent="0.25">
      <c r="A87" t="s">
        <v>1378</v>
      </c>
      <c r="B87">
        <v>1</v>
      </c>
      <c r="C87" s="56">
        <v>42640</v>
      </c>
      <c r="D87" t="s">
        <v>1449</v>
      </c>
      <c r="E87" t="s">
        <v>1901</v>
      </c>
      <c r="G87" t="s">
        <v>1144</v>
      </c>
      <c r="H87" t="s">
        <v>1144</v>
      </c>
      <c r="I87" t="s">
        <v>1144</v>
      </c>
      <c r="J87" t="s">
        <v>1144</v>
      </c>
      <c r="K87" t="s">
        <v>1144</v>
      </c>
      <c r="L87">
        <v>372.04</v>
      </c>
      <c r="M87">
        <v>717.51</v>
      </c>
      <c r="N87">
        <v>0</v>
      </c>
      <c r="O87" s="56"/>
      <c r="P87" s="56"/>
      <c r="Q87">
        <v>13718</v>
      </c>
      <c r="R87">
        <v>9</v>
      </c>
      <c r="S87">
        <v>4</v>
      </c>
      <c r="T87">
        <v>2</v>
      </c>
      <c r="U87">
        <v>2</v>
      </c>
      <c r="V87">
        <v>1</v>
      </c>
      <c r="X87" t="s">
        <v>2385</v>
      </c>
      <c r="AA87">
        <v>0</v>
      </c>
      <c r="AB87">
        <v>0</v>
      </c>
      <c r="AC87">
        <v>0</v>
      </c>
      <c r="AD87">
        <v>0</v>
      </c>
      <c r="AE87">
        <v>0</v>
      </c>
      <c r="AF87">
        <v>0</v>
      </c>
      <c r="AG87">
        <v>0</v>
      </c>
      <c r="AJ87" s="56"/>
      <c r="AK87" s="56"/>
      <c r="AL87" s="56"/>
      <c r="AP87" t="s">
        <v>1450</v>
      </c>
      <c r="AS87" t="s">
        <v>1152</v>
      </c>
      <c r="AT87">
        <v>1</v>
      </c>
      <c r="AV87">
        <v>0</v>
      </c>
      <c r="AW87">
        <v>0</v>
      </c>
      <c r="AX87">
        <v>0</v>
      </c>
      <c r="AY87" t="s">
        <v>1375</v>
      </c>
      <c r="AZ87" t="s">
        <v>1375</v>
      </c>
      <c r="BA87">
        <v>2</v>
      </c>
      <c r="BD87">
        <v>1000000000</v>
      </c>
      <c r="BE87">
        <v>5</v>
      </c>
      <c r="BF87">
        <v>0</v>
      </c>
      <c r="BG87">
        <v>0</v>
      </c>
      <c r="BH87">
        <v>0</v>
      </c>
      <c r="BI87">
        <v>0</v>
      </c>
      <c r="BJ87">
        <v>0</v>
      </c>
      <c r="BK87">
        <v>0</v>
      </c>
      <c r="BL87">
        <v>0</v>
      </c>
      <c r="BM87">
        <v>5</v>
      </c>
      <c r="BN87">
        <v>0</v>
      </c>
      <c r="BO87">
        <v>0</v>
      </c>
      <c r="BP87">
        <v>0</v>
      </c>
      <c r="BR87">
        <v>0</v>
      </c>
      <c r="BS87">
        <v>0</v>
      </c>
      <c r="BX87">
        <v>0</v>
      </c>
      <c r="BY87">
        <v>0</v>
      </c>
      <c r="BZ87">
        <v>0</v>
      </c>
      <c r="CA87">
        <v>0</v>
      </c>
      <c r="CC87">
        <v>1</v>
      </c>
      <c r="CD87" s="56">
        <v>42619</v>
      </c>
      <c r="CE87" s="56">
        <v>42619</v>
      </c>
      <c r="CF87" s="56">
        <v>42619</v>
      </c>
      <c r="CG87" s="56">
        <v>42647</v>
      </c>
      <c r="CH87" s="56"/>
      <c r="CI87" s="56"/>
      <c r="CJ87">
        <v>0</v>
      </c>
      <c r="CK87">
        <v>0</v>
      </c>
      <c r="CL87">
        <v>0</v>
      </c>
      <c r="CM87">
        <v>0</v>
      </c>
      <c r="CN87">
        <v>0</v>
      </c>
      <c r="CO87">
        <v>0</v>
      </c>
      <c r="CP87">
        <v>0.65</v>
      </c>
      <c r="CQ87" t="s">
        <v>1378</v>
      </c>
      <c r="CR87" t="s">
        <v>1377</v>
      </c>
      <c r="CS87" t="s">
        <v>1451</v>
      </c>
      <c r="CT87" t="s">
        <v>1724</v>
      </c>
      <c r="CU87" t="s">
        <v>1742</v>
      </c>
      <c r="CV87" t="s">
        <v>1902</v>
      </c>
      <c r="DB87" t="s">
        <v>1888</v>
      </c>
      <c r="DE87" t="s">
        <v>1724</v>
      </c>
    </row>
    <row r="88" spans="1:109" x14ac:dyDescent="0.25">
      <c r="A88" t="s">
        <v>1378</v>
      </c>
      <c r="B88">
        <v>1</v>
      </c>
      <c r="C88" s="56">
        <v>42640</v>
      </c>
      <c r="D88" t="s">
        <v>1449</v>
      </c>
      <c r="E88" t="s">
        <v>2248</v>
      </c>
      <c r="G88" t="s">
        <v>1144</v>
      </c>
      <c r="H88" t="s">
        <v>1144</v>
      </c>
      <c r="I88" t="s">
        <v>1144</v>
      </c>
      <c r="J88" t="s">
        <v>1144</v>
      </c>
      <c r="K88" t="s">
        <v>1144</v>
      </c>
      <c r="L88">
        <v>500.67</v>
      </c>
      <c r="M88">
        <v>2</v>
      </c>
      <c r="N88">
        <v>0</v>
      </c>
      <c r="O88" s="56"/>
      <c r="P88" s="56"/>
      <c r="Q88">
        <v>13718</v>
      </c>
      <c r="R88">
        <v>9</v>
      </c>
      <c r="S88">
        <v>4</v>
      </c>
      <c r="T88">
        <v>2</v>
      </c>
      <c r="U88">
        <v>2</v>
      </c>
      <c r="V88">
        <v>1</v>
      </c>
      <c r="W88" t="s">
        <v>2379</v>
      </c>
      <c r="X88" t="s">
        <v>2386</v>
      </c>
      <c r="AA88">
        <v>0</v>
      </c>
      <c r="AB88">
        <v>0</v>
      </c>
      <c r="AC88">
        <v>0</v>
      </c>
      <c r="AD88">
        <v>0</v>
      </c>
      <c r="AE88">
        <v>0</v>
      </c>
      <c r="AF88">
        <v>0</v>
      </c>
      <c r="AG88">
        <v>0</v>
      </c>
      <c r="AJ88" s="56"/>
      <c r="AK88" s="56">
        <v>42369</v>
      </c>
      <c r="AL88" s="56"/>
      <c r="AM88">
        <v>1</v>
      </c>
      <c r="AP88" t="s">
        <v>1450</v>
      </c>
      <c r="AS88" t="s">
        <v>1152</v>
      </c>
      <c r="AT88">
        <v>1</v>
      </c>
      <c r="AV88">
        <v>1</v>
      </c>
      <c r="AW88">
        <v>1</v>
      </c>
      <c r="AX88">
        <v>0.5</v>
      </c>
      <c r="AY88" t="s">
        <v>1145</v>
      </c>
      <c r="AZ88" t="s">
        <v>1145</v>
      </c>
      <c r="BA88">
        <v>1</v>
      </c>
      <c r="BD88">
        <v>1000000000</v>
      </c>
      <c r="BE88">
        <v>1</v>
      </c>
      <c r="BF88">
        <v>0</v>
      </c>
      <c r="BG88">
        <v>0</v>
      </c>
      <c r="BH88">
        <v>0</v>
      </c>
      <c r="BI88">
        <v>0</v>
      </c>
      <c r="BJ88">
        <v>0</v>
      </c>
      <c r="BK88">
        <v>0</v>
      </c>
      <c r="BL88">
        <v>0</v>
      </c>
      <c r="BM88">
        <v>1</v>
      </c>
      <c r="BN88">
        <v>0</v>
      </c>
      <c r="BO88">
        <v>0</v>
      </c>
      <c r="BP88">
        <v>0</v>
      </c>
      <c r="BR88">
        <v>0</v>
      </c>
      <c r="BS88">
        <v>1</v>
      </c>
      <c r="BX88">
        <v>0</v>
      </c>
      <c r="BY88">
        <v>0</v>
      </c>
      <c r="BZ88">
        <v>0</v>
      </c>
      <c r="CA88">
        <v>-11.95</v>
      </c>
      <c r="CC88">
        <v>1</v>
      </c>
      <c r="CD88" s="56">
        <v>42593</v>
      </c>
      <c r="CE88" s="56">
        <v>42612</v>
      </c>
      <c r="CF88" s="56">
        <v>42612</v>
      </c>
      <c r="CG88" s="56">
        <v>42640</v>
      </c>
      <c r="CH88" s="56"/>
      <c r="CI88" s="56"/>
      <c r="CJ88">
        <v>0</v>
      </c>
      <c r="CK88">
        <v>0</v>
      </c>
      <c r="CL88">
        <v>0</v>
      </c>
      <c r="CM88">
        <v>0</v>
      </c>
      <c r="CN88">
        <v>0.71</v>
      </c>
      <c r="CO88">
        <v>0</v>
      </c>
      <c r="CP88">
        <v>0</v>
      </c>
      <c r="CQ88" t="s">
        <v>1378</v>
      </c>
      <c r="CR88" t="s">
        <v>1377</v>
      </c>
      <c r="CS88" t="s">
        <v>1451</v>
      </c>
      <c r="CT88" t="s">
        <v>1724</v>
      </c>
      <c r="CU88" t="s">
        <v>1742</v>
      </c>
      <c r="CV88" t="s">
        <v>2249</v>
      </c>
      <c r="DB88" t="s">
        <v>2134</v>
      </c>
      <c r="DE88" t="s">
        <v>1724</v>
      </c>
    </row>
    <row r="89" spans="1:109" x14ac:dyDescent="0.25">
      <c r="A89" t="s">
        <v>1378</v>
      </c>
      <c r="B89">
        <v>1</v>
      </c>
      <c r="C89" s="56">
        <v>42640</v>
      </c>
      <c r="D89" t="s">
        <v>1449</v>
      </c>
      <c r="E89" t="s">
        <v>1410</v>
      </c>
      <c r="G89" t="s">
        <v>1144</v>
      </c>
      <c r="H89" t="s">
        <v>1144</v>
      </c>
      <c r="I89" t="s">
        <v>1144</v>
      </c>
      <c r="J89" t="s">
        <v>1144</v>
      </c>
      <c r="K89" t="s">
        <v>1144</v>
      </c>
      <c r="L89">
        <v>341.09</v>
      </c>
      <c r="M89">
        <v>1020.89</v>
      </c>
      <c r="N89">
        <v>0</v>
      </c>
      <c r="O89" s="56"/>
      <c r="P89" s="56"/>
      <c r="Q89">
        <v>13718</v>
      </c>
      <c r="R89">
        <v>9</v>
      </c>
      <c r="S89">
        <v>4</v>
      </c>
      <c r="T89">
        <v>2</v>
      </c>
      <c r="U89">
        <v>2</v>
      </c>
      <c r="V89">
        <v>1</v>
      </c>
      <c r="X89" t="s">
        <v>2385</v>
      </c>
      <c r="AA89">
        <v>0.04</v>
      </c>
      <c r="AB89">
        <v>1</v>
      </c>
      <c r="AC89">
        <v>12.5</v>
      </c>
      <c r="AD89">
        <v>18.75</v>
      </c>
      <c r="AE89">
        <v>0</v>
      </c>
      <c r="AF89">
        <v>0</v>
      </c>
      <c r="AG89">
        <v>0</v>
      </c>
      <c r="AJ89" s="56">
        <v>42666</v>
      </c>
      <c r="AK89" s="56"/>
      <c r="AL89" s="56">
        <v>42322</v>
      </c>
      <c r="AM89">
        <v>5</v>
      </c>
      <c r="AP89" t="s">
        <v>1450</v>
      </c>
      <c r="AS89" t="s">
        <v>1152</v>
      </c>
      <c r="AT89">
        <v>1</v>
      </c>
      <c r="AV89">
        <v>2</v>
      </c>
      <c r="AW89">
        <v>2</v>
      </c>
      <c r="AX89">
        <v>1</v>
      </c>
      <c r="AY89" t="s">
        <v>1147</v>
      </c>
      <c r="AZ89" t="s">
        <v>1147</v>
      </c>
      <c r="BA89">
        <v>5</v>
      </c>
      <c r="BD89">
        <v>1000000000</v>
      </c>
      <c r="BE89">
        <v>3</v>
      </c>
      <c r="BF89">
        <v>-0.5</v>
      </c>
      <c r="BG89">
        <v>0</v>
      </c>
      <c r="BH89">
        <v>0</v>
      </c>
      <c r="BI89">
        <v>0</v>
      </c>
      <c r="BJ89">
        <v>0</v>
      </c>
      <c r="BK89">
        <v>0</v>
      </c>
      <c r="BL89">
        <v>0</v>
      </c>
      <c r="BM89">
        <v>3</v>
      </c>
      <c r="BN89">
        <v>-0.5</v>
      </c>
      <c r="BO89">
        <v>0</v>
      </c>
      <c r="BP89">
        <v>0</v>
      </c>
      <c r="BR89">
        <v>0</v>
      </c>
      <c r="BS89">
        <v>1</v>
      </c>
      <c r="BX89">
        <v>0</v>
      </c>
      <c r="BY89">
        <v>341.09</v>
      </c>
      <c r="BZ89">
        <v>0</v>
      </c>
      <c r="CA89">
        <v>23.92</v>
      </c>
      <c r="CC89">
        <v>1</v>
      </c>
      <c r="CD89" s="56">
        <v>42619</v>
      </c>
      <c r="CE89" s="56">
        <v>42619</v>
      </c>
      <c r="CF89" s="56">
        <v>42619</v>
      </c>
      <c r="CG89" s="56">
        <v>42647</v>
      </c>
      <c r="CH89" s="56"/>
      <c r="CI89" s="56"/>
      <c r="CJ89">
        <v>0</v>
      </c>
      <c r="CK89">
        <v>0</v>
      </c>
      <c r="CL89">
        <v>0</v>
      </c>
      <c r="CM89">
        <v>0</v>
      </c>
      <c r="CN89">
        <v>0</v>
      </c>
      <c r="CO89">
        <v>0</v>
      </c>
      <c r="CP89">
        <v>0.65</v>
      </c>
      <c r="CQ89" t="s">
        <v>1378</v>
      </c>
      <c r="CR89" t="s">
        <v>1377</v>
      </c>
      <c r="CS89" t="s">
        <v>1451</v>
      </c>
      <c r="CT89" t="s">
        <v>1724</v>
      </c>
      <c r="CU89" t="s">
        <v>1742</v>
      </c>
      <c r="CV89" t="s">
        <v>1965</v>
      </c>
      <c r="DB89" t="s">
        <v>1962</v>
      </c>
      <c r="DE89" t="s">
        <v>1724</v>
      </c>
    </row>
    <row r="90" spans="1:109" x14ac:dyDescent="0.25">
      <c r="A90" t="s">
        <v>1378</v>
      </c>
      <c r="B90">
        <v>1</v>
      </c>
      <c r="C90" s="56">
        <v>42640</v>
      </c>
      <c r="D90" t="s">
        <v>1449</v>
      </c>
      <c r="E90" t="s">
        <v>2303</v>
      </c>
      <c r="G90" t="s">
        <v>1144</v>
      </c>
      <c r="H90" t="s">
        <v>1144</v>
      </c>
      <c r="I90" t="s">
        <v>1144</v>
      </c>
      <c r="J90" t="s">
        <v>1144</v>
      </c>
      <c r="K90" t="s">
        <v>1144</v>
      </c>
      <c r="L90">
        <v>567.99</v>
      </c>
      <c r="M90">
        <v>2</v>
      </c>
      <c r="N90">
        <v>0</v>
      </c>
      <c r="O90" s="56"/>
      <c r="P90" s="56"/>
      <c r="Q90">
        <v>13718</v>
      </c>
      <c r="R90">
        <v>9</v>
      </c>
      <c r="S90">
        <v>4</v>
      </c>
      <c r="T90">
        <v>2</v>
      </c>
      <c r="U90">
        <v>2</v>
      </c>
      <c r="V90">
        <v>1</v>
      </c>
      <c r="W90" t="s">
        <v>1376</v>
      </c>
      <c r="X90" t="s">
        <v>2385</v>
      </c>
      <c r="AA90">
        <v>0</v>
      </c>
      <c r="AB90">
        <v>0</v>
      </c>
      <c r="AC90">
        <v>0</v>
      </c>
      <c r="AD90">
        <v>0</v>
      </c>
      <c r="AE90">
        <v>0</v>
      </c>
      <c r="AF90">
        <v>0</v>
      </c>
      <c r="AG90">
        <v>0</v>
      </c>
      <c r="AJ90" s="56"/>
      <c r="AK90" s="56"/>
      <c r="AL90" s="56"/>
      <c r="AM90">
        <v>1</v>
      </c>
      <c r="AP90" t="s">
        <v>1450</v>
      </c>
      <c r="AS90" t="s">
        <v>1152</v>
      </c>
      <c r="AT90">
        <v>1</v>
      </c>
      <c r="AV90">
        <v>2</v>
      </c>
      <c r="AW90">
        <v>2</v>
      </c>
      <c r="AX90">
        <v>1</v>
      </c>
      <c r="AY90" t="s">
        <v>1145</v>
      </c>
      <c r="AZ90" t="s">
        <v>1145</v>
      </c>
      <c r="BA90">
        <v>1</v>
      </c>
      <c r="BD90">
        <v>1000000000</v>
      </c>
      <c r="BE90">
        <v>2</v>
      </c>
      <c r="BF90">
        <v>0</v>
      </c>
      <c r="BG90">
        <v>0</v>
      </c>
      <c r="BH90">
        <v>0</v>
      </c>
      <c r="BI90">
        <v>0</v>
      </c>
      <c r="BJ90">
        <v>0</v>
      </c>
      <c r="BK90">
        <v>0</v>
      </c>
      <c r="BL90">
        <v>0</v>
      </c>
      <c r="BM90">
        <v>2</v>
      </c>
      <c r="BN90">
        <v>0</v>
      </c>
      <c r="BO90">
        <v>0</v>
      </c>
      <c r="BP90">
        <v>0</v>
      </c>
      <c r="BR90">
        <v>0</v>
      </c>
      <c r="BS90">
        <v>1</v>
      </c>
      <c r="BX90">
        <v>0</v>
      </c>
      <c r="BY90">
        <v>0</v>
      </c>
      <c r="BZ90">
        <v>0</v>
      </c>
      <c r="CA90">
        <v>-11.96</v>
      </c>
      <c r="CC90">
        <v>1</v>
      </c>
      <c r="CD90" s="56">
        <v>42619</v>
      </c>
      <c r="CE90" s="56">
        <v>42619</v>
      </c>
      <c r="CF90" s="56">
        <v>42619</v>
      </c>
      <c r="CG90" s="56">
        <v>42647</v>
      </c>
      <c r="CH90" s="56"/>
      <c r="CI90" s="56"/>
      <c r="CJ90">
        <v>0</v>
      </c>
      <c r="CK90">
        <v>0</v>
      </c>
      <c r="CL90">
        <v>0</v>
      </c>
      <c r="CM90">
        <v>0</v>
      </c>
      <c r="CN90">
        <v>0.65</v>
      </c>
      <c r="CO90">
        <v>0</v>
      </c>
      <c r="CP90">
        <v>0</v>
      </c>
      <c r="CQ90" t="s">
        <v>1378</v>
      </c>
      <c r="CR90" t="s">
        <v>1377</v>
      </c>
      <c r="CS90" t="s">
        <v>1451</v>
      </c>
      <c r="CT90" t="s">
        <v>1724</v>
      </c>
      <c r="CU90" t="s">
        <v>1742</v>
      </c>
      <c r="CV90" t="s">
        <v>2304</v>
      </c>
      <c r="DB90" t="s">
        <v>2286</v>
      </c>
      <c r="DE90" t="s">
        <v>1724</v>
      </c>
    </row>
    <row r="91" spans="1:109" x14ac:dyDescent="0.25">
      <c r="A91" t="s">
        <v>1378</v>
      </c>
      <c r="B91">
        <v>1</v>
      </c>
      <c r="C91" s="56">
        <v>42640</v>
      </c>
      <c r="D91" t="s">
        <v>1449</v>
      </c>
      <c r="E91" t="s">
        <v>1428</v>
      </c>
      <c r="G91" t="s">
        <v>1144</v>
      </c>
      <c r="H91" t="s">
        <v>1144</v>
      </c>
      <c r="I91" t="s">
        <v>1144</v>
      </c>
      <c r="J91" t="s">
        <v>1144</v>
      </c>
      <c r="K91" t="s">
        <v>1144</v>
      </c>
      <c r="L91">
        <v>279.07</v>
      </c>
      <c r="M91">
        <v>732.52</v>
      </c>
      <c r="N91">
        <v>0</v>
      </c>
      <c r="O91" s="56"/>
      <c r="P91" s="56"/>
      <c r="Q91">
        <v>13718</v>
      </c>
      <c r="R91">
        <v>9</v>
      </c>
      <c r="S91">
        <v>4</v>
      </c>
      <c r="T91">
        <v>2</v>
      </c>
      <c r="U91">
        <v>2</v>
      </c>
      <c r="V91">
        <v>1</v>
      </c>
      <c r="X91" t="s">
        <v>2385</v>
      </c>
      <c r="AA91">
        <v>0.66</v>
      </c>
      <c r="AB91">
        <v>4</v>
      </c>
      <c r="AC91">
        <v>2.27</v>
      </c>
      <c r="AD91">
        <v>3.79</v>
      </c>
      <c r="AE91">
        <v>0</v>
      </c>
      <c r="AF91">
        <v>0</v>
      </c>
      <c r="AG91">
        <v>0</v>
      </c>
      <c r="AJ91" s="56"/>
      <c r="AK91" s="56"/>
      <c r="AL91" s="56"/>
      <c r="AM91">
        <v>7</v>
      </c>
      <c r="AP91" t="s">
        <v>1450</v>
      </c>
      <c r="AS91" t="s">
        <v>1152</v>
      </c>
      <c r="AT91">
        <v>1</v>
      </c>
      <c r="AV91">
        <v>6</v>
      </c>
      <c r="AW91">
        <v>4</v>
      </c>
      <c r="AX91">
        <v>2</v>
      </c>
      <c r="AY91" t="s">
        <v>1147</v>
      </c>
      <c r="AZ91" t="s">
        <v>1147</v>
      </c>
      <c r="BA91">
        <v>7</v>
      </c>
      <c r="BD91">
        <v>1000000000</v>
      </c>
      <c r="BE91">
        <v>10</v>
      </c>
      <c r="BF91">
        <v>-0.67</v>
      </c>
      <c r="BG91">
        <v>0</v>
      </c>
      <c r="BH91">
        <v>0</v>
      </c>
      <c r="BI91">
        <v>0</v>
      </c>
      <c r="BJ91">
        <v>0</v>
      </c>
      <c r="BK91">
        <v>0</v>
      </c>
      <c r="BL91">
        <v>0</v>
      </c>
      <c r="BM91">
        <v>10</v>
      </c>
      <c r="BN91">
        <v>-0.67</v>
      </c>
      <c r="BO91">
        <v>0</v>
      </c>
      <c r="BP91">
        <v>0</v>
      </c>
      <c r="BR91">
        <v>0</v>
      </c>
      <c r="BS91">
        <v>3</v>
      </c>
      <c r="BX91">
        <v>0</v>
      </c>
      <c r="BY91">
        <v>1116.28</v>
      </c>
      <c r="BZ91">
        <v>0</v>
      </c>
      <c r="CA91">
        <v>19.5</v>
      </c>
      <c r="CC91">
        <v>1</v>
      </c>
      <c r="CD91" s="56">
        <v>42619</v>
      </c>
      <c r="CE91" s="56">
        <v>42619</v>
      </c>
      <c r="CF91" s="56">
        <v>42619</v>
      </c>
      <c r="CG91" s="56">
        <v>42647</v>
      </c>
      <c r="CH91" s="56"/>
      <c r="CI91" s="56"/>
      <c r="CJ91">
        <v>0.05</v>
      </c>
      <c r="CK91">
        <v>0</v>
      </c>
      <c r="CL91">
        <v>0</v>
      </c>
      <c r="CM91">
        <v>0</v>
      </c>
      <c r="CN91">
        <v>0</v>
      </c>
      <c r="CO91">
        <v>0</v>
      </c>
      <c r="CP91">
        <v>0.65</v>
      </c>
      <c r="CQ91" t="s">
        <v>1378</v>
      </c>
      <c r="CR91" t="s">
        <v>1377</v>
      </c>
      <c r="CS91" t="s">
        <v>1451</v>
      </c>
      <c r="CT91" t="s">
        <v>1724</v>
      </c>
      <c r="CU91" t="s">
        <v>1742</v>
      </c>
      <c r="CV91" t="s">
        <v>2008</v>
      </c>
      <c r="DB91" t="s">
        <v>1997</v>
      </c>
      <c r="DE91" t="s">
        <v>1724</v>
      </c>
    </row>
    <row r="92" spans="1:109" x14ac:dyDescent="0.25">
      <c r="A92" t="s">
        <v>1378</v>
      </c>
      <c r="B92">
        <v>1</v>
      </c>
      <c r="C92" s="56">
        <v>42640</v>
      </c>
      <c r="D92" t="s">
        <v>1449</v>
      </c>
      <c r="E92" t="s">
        <v>1727</v>
      </c>
      <c r="G92" t="s">
        <v>1144</v>
      </c>
      <c r="H92" t="s">
        <v>1144</v>
      </c>
      <c r="I92" t="s">
        <v>1144</v>
      </c>
      <c r="J92" t="s">
        <v>1144</v>
      </c>
      <c r="K92" t="s">
        <v>1144</v>
      </c>
      <c r="L92">
        <v>749.27</v>
      </c>
      <c r="M92">
        <v>1637.27</v>
      </c>
      <c r="N92">
        <v>0</v>
      </c>
      <c r="O92" s="56"/>
      <c r="P92" s="56"/>
      <c r="Q92">
        <v>13718</v>
      </c>
      <c r="R92">
        <v>9</v>
      </c>
      <c r="S92">
        <v>4</v>
      </c>
      <c r="T92">
        <v>2</v>
      </c>
      <c r="U92">
        <v>2</v>
      </c>
      <c r="V92">
        <v>1</v>
      </c>
      <c r="W92" t="s">
        <v>1376</v>
      </c>
      <c r="X92" t="s">
        <v>2385</v>
      </c>
      <c r="AA92">
        <v>0</v>
      </c>
      <c r="AB92">
        <v>0</v>
      </c>
      <c r="AC92">
        <v>0</v>
      </c>
      <c r="AD92">
        <v>0</v>
      </c>
      <c r="AE92">
        <v>0</v>
      </c>
      <c r="AF92">
        <v>20</v>
      </c>
      <c r="AG92">
        <v>0</v>
      </c>
      <c r="AJ92" s="56"/>
      <c r="AK92" s="56"/>
      <c r="AL92" s="56"/>
      <c r="AP92" t="s">
        <v>1450</v>
      </c>
      <c r="AS92" t="s">
        <v>1152</v>
      </c>
      <c r="AT92">
        <v>1</v>
      </c>
      <c r="AV92">
        <v>1</v>
      </c>
      <c r="AW92">
        <v>1</v>
      </c>
      <c r="AX92">
        <v>0.5</v>
      </c>
      <c r="AY92" t="s">
        <v>838</v>
      </c>
      <c r="AZ92" t="s">
        <v>838</v>
      </c>
      <c r="BA92">
        <v>6</v>
      </c>
      <c r="BD92">
        <v>1000000000</v>
      </c>
      <c r="BE92">
        <v>0</v>
      </c>
      <c r="BF92">
        <v>1</v>
      </c>
      <c r="BG92">
        <v>0</v>
      </c>
      <c r="BH92">
        <v>0</v>
      </c>
      <c r="BI92">
        <v>0</v>
      </c>
      <c r="BJ92">
        <v>0</v>
      </c>
      <c r="BK92">
        <v>0</v>
      </c>
      <c r="BL92">
        <v>0</v>
      </c>
      <c r="BM92">
        <v>0</v>
      </c>
      <c r="BN92">
        <v>1</v>
      </c>
      <c r="BO92">
        <v>0</v>
      </c>
      <c r="BP92">
        <v>0</v>
      </c>
      <c r="BR92">
        <v>1</v>
      </c>
      <c r="BS92">
        <v>1</v>
      </c>
      <c r="BX92">
        <v>444</v>
      </c>
      <c r="BY92">
        <v>0</v>
      </c>
      <c r="BZ92">
        <v>0</v>
      </c>
      <c r="CA92">
        <v>14.22</v>
      </c>
      <c r="CC92">
        <v>1</v>
      </c>
      <c r="CD92" s="56">
        <v>42619</v>
      </c>
      <c r="CE92" s="56">
        <v>42619</v>
      </c>
      <c r="CF92" s="56">
        <v>42619</v>
      </c>
      <c r="CG92" s="56">
        <v>42647</v>
      </c>
      <c r="CH92" s="56"/>
      <c r="CI92" s="56"/>
      <c r="CJ92">
        <v>1</v>
      </c>
      <c r="CK92">
        <v>0</v>
      </c>
      <c r="CL92">
        <v>0.65</v>
      </c>
      <c r="CM92">
        <v>0</v>
      </c>
      <c r="CN92">
        <v>0</v>
      </c>
      <c r="CO92">
        <v>0</v>
      </c>
      <c r="CP92">
        <v>0</v>
      </c>
      <c r="CQ92" t="s">
        <v>1378</v>
      </c>
      <c r="CR92" t="s">
        <v>1377</v>
      </c>
      <c r="CS92" t="s">
        <v>1451</v>
      </c>
      <c r="CT92" t="s">
        <v>1724</v>
      </c>
      <c r="CU92" t="s">
        <v>1742</v>
      </c>
      <c r="CV92" t="s">
        <v>1787</v>
      </c>
      <c r="DB92" t="s">
        <v>1783</v>
      </c>
      <c r="DE92" t="s">
        <v>1724</v>
      </c>
    </row>
    <row r="93" spans="1:109" x14ac:dyDescent="0.25">
      <c r="A93" t="s">
        <v>1378</v>
      </c>
      <c r="B93">
        <v>1</v>
      </c>
      <c r="C93" s="56">
        <v>42640</v>
      </c>
      <c r="D93" t="s">
        <v>1449</v>
      </c>
      <c r="E93" t="s">
        <v>2150</v>
      </c>
      <c r="G93" t="s">
        <v>1144</v>
      </c>
      <c r="H93" t="s">
        <v>1144</v>
      </c>
      <c r="I93" t="s">
        <v>1144</v>
      </c>
      <c r="J93" t="s">
        <v>1144</v>
      </c>
      <c r="K93" t="s">
        <v>1144</v>
      </c>
      <c r="L93">
        <v>2164.5500000000002</v>
      </c>
      <c r="M93">
        <v>2</v>
      </c>
      <c r="N93">
        <v>0</v>
      </c>
      <c r="O93" s="56"/>
      <c r="P93" s="56"/>
      <c r="Q93">
        <v>13718</v>
      </c>
      <c r="R93">
        <v>9</v>
      </c>
      <c r="S93">
        <v>4</v>
      </c>
      <c r="T93">
        <v>2</v>
      </c>
      <c r="U93">
        <v>2</v>
      </c>
      <c r="V93">
        <v>1</v>
      </c>
      <c r="X93" t="s">
        <v>2386</v>
      </c>
      <c r="AA93">
        <v>0</v>
      </c>
      <c r="AB93">
        <v>0</v>
      </c>
      <c r="AC93">
        <v>0</v>
      </c>
      <c r="AD93">
        <v>0</v>
      </c>
      <c r="AE93">
        <v>0</v>
      </c>
      <c r="AF93">
        <v>0</v>
      </c>
      <c r="AG93">
        <v>0</v>
      </c>
      <c r="AJ93" s="56"/>
      <c r="AK93" s="56"/>
      <c r="AL93" s="56"/>
      <c r="AP93" t="s">
        <v>1450</v>
      </c>
      <c r="AS93" t="s">
        <v>1152</v>
      </c>
      <c r="AT93">
        <v>1</v>
      </c>
      <c r="AV93">
        <v>0</v>
      </c>
      <c r="AW93">
        <v>0</v>
      </c>
      <c r="AX93">
        <v>0</v>
      </c>
      <c r="AY93" t="s">
        <v>1375</v>
      </c>
      <c r="AZ93" t="s">
        <v>1375</v>
      </c>
      <c r="BA93">
        <v>0</v>
      </c>
      <c r="BD93">
        <v>1000000000</v>
      </c>
      <c r="BE93">
        <v>0</v>
      </c>
      <c r="BF93">
        <v>0</v>
      </c>
      <c r="BG93">
        <v>0</v>
      </c>
      <c r="BH93">
        <v>0</v>
      </c>
      <c r="BI93">
        <v>0</v>
      </c>
      <c r="BJ93">
        <v>0</v>
      </c>
      <c r="BK93">
        <v>0</v>
      </c>
      <c r="BL93">
        <v>0</v>
      </c>
      <c r="BM93">
        <v>0</v>
      </c>
      <c r="BN93">
        <v>0</v>
      </c>
      <c r="BO93">
        <v>0</v>
      </c>
      <c r="BP93">
        <v>0</v>
      </c>
      <c r="BR93">
        <v>0</v>
      </c>
      <c r="BS93">
        <v>0</v>
      </c>
      <c r="BX93">
        <v>0</v>
      </c>
      <c r="BY93">
        <v>0</v>
      </c>
      <c r="BZ93">
        <v>0</v>
      </c>
      <c r="CA93">
        <v>0</v>
      </c>
      <c r="CC93">
        <v>1</v>
      </c>
      <c r="CD93" s="56">
        <v>42593</v>
      </c>
      <c r="CE93" s="56">
        <v>42612</v>
      </c>
      <c r="CF93" s="56">
        <v>42612</v>
      </c>
      <c r="CG93" s="56">
        <v>42640</v>
      </c>
      <c r="CH93" s="56"/>
      <c r="CI93" s="56"/>
      <c r="CJ93">
        <v>1</v>
      </c>
      <c r="CK93">
        <v>0</v>
      </c>
      <c r="CL93">
        <v>0.71</v>
      </c>
      <c r="CM93">
        <v>0</v>
      </c>
      <c r="CN93">
        <v>0</v>
      </c>
      <c r="CO93">
        <v>0</v>
      </c>
      <c r="CP93">
        <v>0</v>
      </c>
      <c r="CQ93" t="s">
        <v>1378</v>
      </c>
      <c r="CR93" t="s">
        <v>1377</v>
      </c>
      <c r="CS93" t="s">
        <v>1451</v>
      </c>
      <c r="CT93" t="s">
        <v>1724</v>
      </c>
      <c r="CU93" t="s">
        <v>1742</v>
      </c>
      <c r="CV93" t="s">
        <v>2147</v>
      </c>
      <c r="DB93" t="s">
        <v>2145</v>
      </c>
      <c r="DE93" t="s">
        <v>1724</v>
      </c>
    </row>
    <row r="94" spans="1:109" x14ac:dyDescent="0.25">
      <c r="A94" t="s">
        <v>1378</v>
      </c>
      <c r="B94">
        <v>1</v>
      </c>
      <c r="C94" s="56">
        <v>42640</v>
      </c>
      <c r="D94" t="s">
        <v>1449</v>
      </c>
      <c r="E94" t="s">
        <v>1835</v>
      </c>
      <c r="G94" t="s">
        <v>1144</v>
      </c>
      <c r="H94" t="s">
        <v>1144</v>
      </c>
      <c r="I94" t="s">
        <v>1144</v>
      </c>
      <c r="J94" t="s">
        <v>1144</v>
      </c>
      <c r="K94" t="s">
        <v>1144</v>
      </c>
      <c r="L94">
        <v>27.81</v>
      </c>
      <c r="M94">
        <v>91.5</v>
      </c>
      <c r="N94">
        <v>0</v>
      </c>
      <c r="O94" s="56"/>
      <c r="P94" s="56"/>
      <c r="Q94">
        <v>13718</v>
      </c>
      <c r="R94">
        <v>9</v>
      </c>
      <c r="S94">
        <v>4</v>
      </c>
      <c r="T94">
        <v>2</v>
      </c>
      <c r="U94">
        <v>2</v>
      </c>
      <c r="V94">
        <v>1</v>
      </c>
      <c r="W94" t="s">
        <v>1376</v>
      </c>
      <c r="X94" t="s">
        <v>2385</v>
      </c>
      <c r="AA94">
        <v>0</v>
      </c>
      <c r="AB94">
        <v>0</v>
      </c>
      <c r="AC94">
        <v>0</v>
      </c>
      <c r="AD94">
        <v>0</v>
      </c>
      <c r="AE94">
        <v>0</v>
      </c>
      <c r="AF94">
        <v>0</v>
      </c>
      <c r="AG94">
        <v>0</v>
      </c>
      <c r="AJ94" s="56"/>
      <c r="AK94" s="56"/>
      <c r="AL94" s="56"/>
      <c r="AM94">
        <v>3</v>
      </c>
      <c r="AP94" t="s">
        <v>1450</v>
      </c>
      <c r="AS94" t="s">
        <v>1152</v>
      </c>
      <c r="AT94">
        <v>1</v>
      </c>
      <c r="AV94">
        <v>2</v>
      </c>
      <c r="AW94">
        <v>2</v>
      </c>
      <c r="AX94">
        <v>1</v>
      </c>
      <c r="AY94" t="s">
        <v>1145</v>
      </c>
      <c r="AZ94" t="s">
        <v>1145</v>
      </c>
      <c r="BA94">
        <v>3</v>
      </c>
      <c r="BD94">
        <v>1000000000</v>
      </c>
      <c r="BE94">
        <v>2</v>
      </c>
      <c r="BF94">
        <v>0</v>
      </c>
      <c r="BG94">
        <v>0</v>
      </c>
      <c r="BH94">
        <v>0</v>
      </c>
      <c r="BI94">
        <v>0</v>
      </c>
      <c r="BJ94">
        <v>0</v>
      </c>
      <c r="BK94">
        <v>0</v>
      </c>
      <c r="BL94">
        <v>0</v>
      </c>
      <c r="BM94">
        <v>2</v>
      </c>
      <c r="BN94">
        <v>0</v>
      </c>
      <c r="BO94">
        <v>0</v>
      </c>
      <c r="BP94">
        <v>0</v>
      </c>
      <c r="BR94">
        <v>0</v>
      </c>
      <c r="BS94">
        <v>1</v>
      </c>
      <c r="BX94">
        <v>0</v>
      </c>
      <c r="BY94">
        <v>0</v>
      </c>
      <c r="BZ94">
        <v>0</v>
      </c>
      <c r="CA94">
        <v>27.48</v>
      </c>
      <c r="CC94">
        <v>1</v>
      </c>
      <c r="CD94" s="56">
        <v>42619</v>
      </c>
      <c r="CE94" s="56">
        <v>42619</v>
      </c>
      <c r="CF94" s="56">
        <v>42619</v>
      </c>
      <c r="CG94" s="56">
        <v>42647</v>
      </c>
      <c r="CH94" s="56"/>
      <c r="CI94" s="56"/>
      <c r="CJ94">
        <v>0</v>
      </c>
      <c r="CK94">
        <v>0</v>
      </c>
      <c r="CL94">
        <v>0</v>
      </c>
      <c r="CM94">
        <v>0</v>
      </c>
      <c r="CN94">
        <v>0.65</v>
      </c>
      <c r="CO94">
        <v>0</v>
      </c>
      <c r="CP94">
        <v>0</v>
      </c>
      <c r="CQ94" t="s">
        <v>1378</v>
      </c>
      <c r="CR94" t="s">
        <v>1377</v>
      </c>
      <c r="CS94" t="s">
        <v>1451</v>
      </c>
      <c r="CT94" t="s">
        <v>1724</v>
      </c>
      <c r="CU94" t="s">
        <v>1742</v>
      </c>
      <c r="CV94" t="s">
        <v>1836</v>
      </c>
      <c r="DB94" t="s">
        <v>1830</v>
      </c>
      <c r="DE94" t="s">
        <v>1724</v>
      </c>
    </row>
    <row r="95" spans="1:109" x14ac:dyDescent="0.25">
      <c r="A95" t="s">
        <v>1378</v>
      </c>
      <c r="B95">
        <v>1</v>
      </c>
      <c r="C95" s="56">
        <v>42640</v>
      </c>
      <c r="D95" t="s">
        <v>1449</v>
      </c>
      <c r="E95" t="s">
        <v>2192</v>
      </c>
      <c r="G95" t="s">
        <v>1144</v>
      </c>
      <c r="H95" t="s">
        <v>1144</v>
      </c>
      <c r="I95" t="s">
        <v>1144</v>
      </c>
      <c r="J95" t="s">
        <v>1144</v>
      </c>
      <c r="K95" t="s">
        <v>1144</v>
      </c>
      <c r="L95">
        <v>458.57</v>
      </c>
      <c r="M95">
        <v>2</v>
      </c>
      <c r="N95">
        <v>0</v>
      </c>
      <c r="O95" s="56"/>
      <c r="P95" s="56"/>
      <c r="Q95">
        <v>13718</v>
      </c>
      <c r="R95">
        <v>9</v>
      </c>
      <c r="S95">
        <v>4</v>
      </c>
      <c r="T95">
        <v>2</v>
      </c>
      <c r="U95">
        <v>2</v>
      </c>
      <c r="V95">
        <v>1</v>
      </c>
      <c r="X95" t="s">
        <v>2386</v>
      </c>
      <c r="AA95">
        <v>0</v>
      </c>
      <c r="AB95">
        <v>0</v>
      </c>
      <c r="AC95">
        <v>0</v>
      </c>
      <c r="AD95">
        <v>0</v>
      </c>
      <c r="AE95">
        <v>0</v>
      </c>
      <c r="AF95">
        <v>0</v>
      </c>
      <c r="AG95">
        <v>0</v>
      </c>
      <c r="AJ95" s="56"/>
      <c r="AK95" s="56">
        <v>42369</v>
      </c>
      <c r="AL95" s="56"/>
      <c r="AM95">
        <v>1</v>
      </c>
      <c r="AP95" t="s">
        <v>1450</v>
      </c>
      <c r="AS95" t="s">
        <v>1152</v>
      </c>
      <c r="AT95">
        <v>1</v>
      </c>
      <c r="AV95">
        <v>1</v>
      </c>
      <c r="AW95">
        <v>1</v>
      </c>
      <c r="AX95">
        <v>0.5</v>
      </c>
      <c r="AY95" t="s">
        <v>1147</v>
      </c>
      <c r="AZ95" t="s">
        <v>1147</v>
      </c>
      <c r="BA95">
        <v>1</v>
      </c>
      <c r="BD95">
        <v>1000000000</v>
      </c>
      <c r="BE95">
        <v>2</v>
      </c>
      <c r="BF95">
        <v>-1</v>
      </c>
      <c r="BG95">
        <v>0</v>
      </c>
      <c r="BH95">
        <v>0</v>
      </c>
      <c r="BI95">
        <v>0</v>
      </c>
      <c r="BJ95">
        <v>0</v>
      </c>
      <c r="BK95">
        <v>0</v>
      </c>
      <c r="BL95">
        <v>0</v>
      </c>
      <c r="BM95">
        <v>2</v>
      </c>
      <c r="BN95">
        <v>-1</v>
      </c>
      <c r="BO95">
        <v>0</v>
      </c>
      <c r="BP95">
        <v>0</v>
      </c>
      <c r="BR95">
        <v>0</v>
      </c>
      <c r="BS95">
        <v>1</v>
      </c>
      <c r="BX95">
        <v>0</v>
      </c>
      <c r="BY95">
        <v>458.57</v>
      </c>
      <c r="BZ95">
        <v>0</v>
      </c>
      <c r="CA95">
        <v>-11.95</v>
      </c>
      <c r="CC95">
        <v>1</v>
      </c>
      <c r="CD95" s="56">
        <v>42593</v>
      </c>
      <c r="CE95" s="56">
        <v>42612</v>
      </c>
      <c r="CF95" s="56">
        <v>42612</v>
      </c>
      <c r="CG95" s="56">
        <v>42640</v>
      </c>
      <c r="CH95" s="56"/>
      <c r="CI95" s="56"/>
      <c r="CJ95">
        <v>0</v>
      </c>
      <c r="CK95">
        <v>0</v>
      </c>
      <c r="CL95">
        <v>0</v>
      </c>
      <c r="CM95">
        <v>0</v>
      </c>
      <c r="CN95">
        <v>0</v>
      </c>
      <c r="CO95">
        <v>0</v>
      </c>
      <c r="CP95">
        <v>0.71</v>
      </c>
      <c r="CQ95" t="s">
        <v>1378</v>
      </c>
      <c r="CR95" t="s">
        <v>1377</v>
      </c>
      <c r="CS95" t="s">
        <v>1451</v>
      </c>
      <c r="CT95" t="s">
        <v>1724</v>
      </c>
      <c r="CU95" t="s">
        <v>1742</v>
      </c>
      <c r="CV95" t="s">
        <v>2191</v>
      </c>
      <c r="DB95" t="s">
        <v>2161</v>
      </c>
      <c r="DE95" t="s">
        <v>1724</v>
      </c>
    </row>
    <row r="96" spans="1:109" x14ac:dyDescent="0.25">
      <c r="A96" t="s">
        <v>1378</v>
      </c>
      <c r="B96">
        <v>1</v>
      </c>
      <c r="C96" s="56">
        <v>42640</v>
      </c>
      <c r="D96" t="s">
        <v>1449</v>
      </c>
      <c r="E96" t="s">
        <v>1889</v>
      </c>
      <c r="G96" t="s">
        <v>1144</v>
      </c>
      <c r="H96" t="s">
        <v>1144</v>
      </c>
      <c r="I96" t="s">
        <v>1144</v>
      </c>
      <c r="J96" t="s">
        <v>1144</v>
      </c>
      <c r="K96" t="s">
        <v>1144</v>
      </c>
      <c r="L96">
        <v>451.34</v>
      </c>
      <c r="M96">
        <v>717.51</v>
      </c>
      <c r="N96">
        <v>0</v>
      </c>
      <c r="O96" s="56"/>
      <c r="P96" s="56"/>
      <c r="Q96">
        <v>13718</v>
      </c>
      <c r="R96">
        <v>9</v>
      </c>
      <c r="S96">
        <v>4</v>
      </c>
      <c r="T96">
        <v>2</v>
      </c>
      <c r="U96">
        <v>2</v>
      </c>
      <c r="V96">
        <v>1</v>
      </c>
      <c r="X96" t="s">
        <v>2385</v>
      </c>
      <c r="AA96">
        <v>0</v>
      </c>
      <c r="AB96">
        <v>0</v>
      </c>
      <c r="AC96">
        <v>0</v>
      </c>
      <c r="AD96">
        <v>0</v>
      </c>
      <c r="AE96">
        <v>0</v>
      </c>
      <c r="AF96">
        <v>0</v>
      </c>
      <c r="AG96">
        <v>0</v>
      </c>
      <c r="AJ96" s="56"/>
      <c r="AK96" s="56"/>
      <c r="AL96" s="56"/>
      <c r="AM96">
        <v>5</v>
      </c>
      <c r="AP96" t="s">
        <v>1450</v>
      </c>
      <c r="AS96" t="s">
        <v>1152</v>
      </c>
      <c r="AT96">
        <v>1</v>
      </c>
      <c r="AV96">
        <v>3</v>
      </c>
      <c r="AW96">
        <v>2</v>
      </c>
      <c r="AX96">
        <v>1</v>
      </c>
      <c r="AY96" t="s">
        <v>1147</v>
      </c>
      <c r="AZ96" t="s">
        <v>1147</v>
      </c>
      <c r="BA96">
        <v>5</v>
      </c>
      <c r="BD96">
        <v>1000000000</v>
      </c>
      <c r="BE96">
        <v>9</v>
      </c>
      <c r="BF96">
        <v>-2</v>
      </c>
      <c r="BG96">
        <v>0</v>
      </c>
      <c r="BH96">
        <v>0</v>
      </c>
      <c r="BI96">
        <v>0</v>
      </c>
      <c r="BJ96">
        <v>0</v>
      </c>
      <c r="BK96">
        <v>0</v>
      </c>
      <c r="BL96">
        <v>0</v>
      </c>
      <c r="BM96">
        <v>9</v>
      </c>
      <c r="BN96">
        <v>-2</v>
      </c>
      <c r="BO96">
        <v>0</v>
      </c>
      <c r="BP96">
        <v>0</v>
      </c>
      <c r="BR96">
        <v>0</v>
      </c>
      <c r="BS96">
        <v>2</v>
      </c>
      <c r="BX96">
        <v>0</v>
      </c>
      <c r="BY96">
        <v>2708.04</v>
      </c>
      <c r="BZ96">
        <v>0</v>
      </c>
      <c r="CA96">
        <v>7.08</v>
      </c>
      <c r="CC96">
        <v>1</v>
      </c>
      <c r="CD96" s="56">
        <v>42619</v>
      </c>
      <c r="CE96" s="56">
        <v>42619</v>
      </c>
      <c r="CF96" s="56">
        <v>42619</v>
      </c>
      <c r="CG96" s="56">
        <v>42647</v>
      </c>
      <c r="CH96" s="56"/>
      <c r="CI96" s="56"/>
      <c r="CJ96">
        <v>0</v>
      </c>
      <c r="CK96">
        <v>0</v>
      </c>
      <c r="CL96">
        <v>0</v>
      </c>
      <c r="CM96">
        <v>0</v>
      </c>
      <c r="CN96">
        <v>0</v>
      </c>
      <c r="CO96">
        <v>0</v>
      </c>
      <c r="CP96">
        <v>0.65</v>
      </c>
      <c r="CQ96" t="s">
        <v>1378</v>
      </c>
      <c r="CR96" t="s">
        <v>1377</v>
      </c>
      <c r="CS96" t="s">
        <v>1451</v>
      </c>
      <c r="CT96" t="s">
        <v>1724</v>
      </c>
      <c r="CU96" t="s">
        <v>1742</v>
      </c>
      <c r="CV96" t="s">
        <v>1890</v>
      </c>
      <c r="DB96" t="s">
        <v>1888</v>
      </c>
      <c r="DE96" t="s">
        <v>1724</v>
      </c>
    </row>
    <row r="97" spans="1:109" x14ac:dyDescent="0.25">
      <c r="A97" t="s">
        <v>1378</v>
      </c>
      <c r="B97">
        <v>1</v>
      </c>
      <c r="C97" s="56">
        <v>42640</v>
      </c>
      <c r="D97" t="s">
        <v>1449</v>
      </c>
      <c r="E97" t="s">
        <v>2239</v>
      </c>
      <c r="G97" t="s">
        <v>1144</v>
      </c>
      <c r="H97" t="s">
        <v>1144</v>
      </c>
      <c r="I97" t="s">
        <v>1144</v>
      </c>
      <c r="J97" t="s">
        <v>1144</v>
      </c>
      <c r="K97" t="s">
        <v>1144</v>
      </c>
      <c r="L97">
        <v>427.27</v>
      </c>
      <c r="M97">
        <v>2</v>
      </c>
      <c r="N97">
        <v>0</v>
      </c>
      <c r="O97" s="56"/>
      <c r="P97" s="56"/>
      <c r="Q97">
        <v>13718</v>
      </c>
      <c r="R97">
        <v>9</v>
      </c>
      <c r="S97">
        <v>4</v>
      </c>
      <c r="T97">
        <v>2</v>
      </c>
      <c r="U97">
        <v>2</v>
      </c>
      <c r="V97">
        <v>1</v>
      </c>
      <c r="W97" t="s">
        <v>2379</v>
      </c>
      <c r="X97" t="s">
        <v>2386</v>
      </c>
      <c r="AA97">
        <v>0</v>
      </c>
      <c r="AB97">
        <v>0</v>
      </c>
      <c r="AC97">
        <v>0</v>
      </c>
      <c r="AD97">
        <v>0</v>
      </c>
      <c r="AE97">
        <v>0</v>
      </c>
      <c r="AF97">
        <v>0</v>
      </c>
      <c r="AG97">
        <v>0</v>
      </c>
      <c r="AJ97" s="56"/>
      <c r="AK97" s="56">
        <v>42369</v>
      </c>
      <c r="AL97" s="56"/>
      <c r="AM97">
        <v>1</v>
      </c>
      <c r="AP97" t="s">
        <v>1450</v>
      </c>
      <c r="AS97" t="s">
        <v>1152</v>
      </c>
      <c r="AT97">
        <v>1</v>
      </c>
      <c r="AV97">
        <v>1</v>
      </c>
      <c r="AW97">
        <v>1</v>
      </c>
      <c r="AX97">
        <v>0.5</v>
      </c>
      <c r="AY97" t="s">
        <v>1145</v>
      </c>
      <c r="AZ97" t="s">
        <v>1145</v>
      </c>
      <c r="BA97">
        <v>1</v>
      </c>
      <c r="BD97">
        <v>1000000000</v>
      </c>
      <c r="BE97">
        <v>1</v>
      </c>
      <c r="BF97">
        <v>0</v>
      </c>
      <c r="BG97">
        <v>0</v>
      </c>
      <c r="BH97">
        <v>0</v>
      </c>
      <c r="BI97">
        <v>0</v>
      </c>
      <c r="BJ97">
        <v>0</v>
      </c>
      <c r="BK97">
        <v>0</v>
      </c>
      <c r="BL97">
        <v>0</v>
      </c>
      <c r="BM97">
        <v>1</v>
      </c>
      <c r="BN97">
        <v>0</v>
      </c>
      <c r="BO97">
        <v>0</v>
      </c>
      <c r="BP97">
        <v>0</v>
      </c>
      <c r="BR97">
        <v>0</v>
      </c>
      <c r="BS97">
        <v>1</v>
      </c>
      <c r="BX97">
        <v>0</v>
      </c>
      <c r="BY97">
        <v>0</v>
      </c>
      <c r="BZ97">
        <v>0</v>
      </c>
      <c r="CA97">
        <v>-11.94</v>
      </c>
      <c r="CC97">
        <v>1</v>
      </c>
      <c r="CD97" s="56">
        <v>42593</v>
      </c>
      <c r="CE97" s="56">
        <v>42612</v>
      </c>
      <c r="CF97" s="56">
        <v>42612</v>
      </c>
      <c r="CG97" s="56">
        <v>42640</v>
      </c>
      <c r="CH97" s="56"/>
      <c r="CI97" s="56"/>
      <c r="CJ97">
        <v>0</v>
      </c>
      <c r="CK97">
        <v>0</v>
      </c>
      <c r="CL97">
        <v>0</v>
      </c>
      <c r="CM97">
        <v>0</v>
      </c>
      <c r="CN97">
        <v>0.71</v>
      </c>
      <c r="CO97">
        <v>0</v>
      </c>
      <c r="CP97">
        <v>0</v>
      </c>
      <c r="CQ97" t="s">
        <v>1378</v>
      </c>
      <c r="CR97" t="s">
        <v>1377</v>
      </c>
      <c r="CS97" t="s">
        <v>1451</v>
      </c>
      <c r="CT97" t="s">
        <v>1724</v>
      </c>
      <c r="CU97" t="s">
        <v>1742</v>
      </c>
      <c r="CV97" t="s">
        <v>2236</v>
      </c>
      <c r="DB97" t="s">
        <v>2134</v>
      </c>
      <c r="DE97" t="s">
        <v>1724</v>
      </c>
    </row>
    <row r="98" spans="1:109" x14ac:dyDescent="0.25">
      <c r="A98" t="s">
        <v>1378</v>
      </c>
      <c r="B98">
        <v>1</v>
      </c>
      <c r="C98" s="56">
        <v>42640</v>
      </c>
      <c r="D98" t="s">
        <v>1449</v>
      </c>
      <c r="E98" t="s">
        <v>1955</v>
      </c>
      <c r="G98" t="s">
        <v>1144</v>
      </c>
      <c r="H98" t="s">
        <v>1144</v>
      </c>
      <c r="I98" t="s">
        <v>1144</v>
      </c>
      <c r="J98" t="s">
        <v>1144</v>
      </c>
      <c r="K98" t="s">
        <v>1144</v>
      </c>
      <c r="L98">
        <v>109.91</v>
      </c>
      <c r="M98">
        <v>230.18</v>
      </c>
      <c r="N98">
        <v>0</v>
      </c>
      <c r="O98" s="56"/>
      <c r="P98" s="56"/>
      <c r="Q98">
        <v>13718</v>
      </c>
      <c r="R98">
        <v>9</v>
      </c>
      <c r="S98">
        <v>4</v>
      </c>
      <c r="T98">
        <v>2</v>
      </c>
      <c r="U98">
        <v>2</v>
      </c>
      <c r="V98">
        <v>1</v>
      </c>
      <c r="X98" t="s">
        <v>2386</v>
      </c>
      <c r="AA98">
        <v>0</v>
      </c>
      <c r="AB98">
        <v>0</v>
      </c>
      <c r="AC98">
        <v>0</v>
      </c>
      <c r="AD98">
        <v>0</v>
      </c>
      <c r="AE98">
        <v>0</v>
      </c>
      <c r="AF98">
        <v>0</v>
      </c>
      <c r="AG98">
        <v>0</v>
      </c>
      <c r="AJ98" s="56"/>
      <c r="AK98" s="56"/>
      <c r="AL98" s="56"/>
      <c r="AP98" t="s">
        <v>1450</v>
      </c>
      <c r="AS98" t="s">
        <v>1152</v>
      </c>
      <c r="AT98">
        <v>1</v>
      </c>
      <c r="AV98">
        <v>0</v>
      </c>
      <c r="AW98">
        <v>0</v>
      </c>
      <c r="AX98">
        <v>0</v>
      </c>
      <c r="AY98" t="s">
        <v>1375</v>
      </c>
      <c r="AZ98" t="s">
        <v>1375</v>
      </c>
      <c r="BA98">
        <v>0</v>
      </c>
      <c r="BD98">
        <v>1000000000</v>
      </c>
      <c r="BE98">
        <v>0</v>
      </c>
      <c r="BF98">
        <v>0</v>
      </c>
      <c r="BG98">
        <v>0</v>
      </c>
      <c r="BH98">
        <v>0</v>
      </c>
      <c r="BI98">
        <v>0</v>
      </c>
      <c r="BJ98">
        <v>0</v>
      </c>
      <c r="BK98">
        <v>0</v>
      </c>
      <c r="BL98">
        <v>0</v>
      </c>
      <c r="BM98">
        <v>0</v>
      </c>
      <c r="BN98">
        <v>0</v>
      </c>
      <c r="BO98">
        <v>0</v>
      </c>
      <c r="BP98">
        <v>0</v>
      </c>
      <c r="BR98">
        <v>0</v>
      </c>
      <c r="BS98">
        <v>0</v>
      </c>
      <c r="BX98">
        <v>0</v>
      </c>
      <c r="BY98">
        <v>0</v>
      </c>
      <c r="BZ98">
        <v>0</v>
      </c>
      <c r="CA98">
        <v>0</v>
      </c>
      <c r="CC98">
        <v>1</v>
      </c>
      <c r="CD98" s="56">
        <v>42593</v>
      </c>
      <c r="CE98" s="56">
        <v>42612</v>
      </c>
      <c r="CF98" s="56">
        <v>42612</v>
      </c>
      <c r="CG98" s="56">
        <v>42640</v>
      </c>
      <c r="CH98" s="56"/>
      <c r="CI98" s="56"/>
      <c r="CJ98">
        <v>1</v>
      </c>
      <c r="CK98">
        <v>0</v>
      </c>
      <c r="CL98">
        <v>0.71</v>
      </c>
      <c r="CM98">
        <v>0</v>
      </c>
      <c r="CN98">
        <v>0</v>
      </c>
      <c r="CO98">
        <v>0</v>
      </c>
      <c r="CP98">
        <v>0</v>
      </c>
      <c r="CQ98" t="s">
        <v>1378</v>
      </c>
      <c r="CR98" t="s">
        <v>1377</v>
      </c>
      <c r="CS98" t="s">
        <v>1451</v>
      </c>
      <c r="CT98" t="s">
        <v>1724</v>
      </c>
      <c r="CU98" t="s">
        <v>1742</v>
      </c>
      <c r="CV98" t="s">
        <v>1954</v>
      </c>
      <c r="DB98" t="s">
        <v>1869</v>
      </c>
      <c r="DE98" t="s">
        <v>1724</v>
      </c>
    </row>
    <row r="99" spans="1:109" x14ac:dyDescent="0.25">
      <c r="A99" t="s">
        <v>1378</v>
      </c>
      <c r="B99">
        <v>1</v>
      </c>
      <c r="C99" s="56">
        <v>42640</v>
      </c>
      <c r="D99" t="s">
        <v>1449</v>
      </c>
      <c r="E99" t="s">
        <v>1937</v>
      </c>
      <c r="G99" t="s">
        <v>1144</v>
      </c>
      <c r="H99" t="s">
        <v>1144</v>
      </c>
      <c r="I99" t="s">
        <v>1144</v>
      </c>
      <c r="J99" t="s">
        <v>1144</v>
      </c>
      <c r="K99" t="s">
        <v>1144</v>
      </c>
      <c r="L99">
        <v>110.42</v>
      </c>
      <c r="M99">
        <v>230.18</v>
      </c>
      <c r="N99">
        <v>0</v>
      </c>
      <c r="O99" s="56"/>
      <c r="P99" s="56"/>
      <c r="Q99">
        <v>13718</v>
      </c>
      <c r="R99">
        <v>9</v>
      </c>
      <c r="S99">
        <v>4</v>
      </c>
      <c r="T99">
        <v>2</v>
      </c>
      <c r="U99">
        <v>2</v>
      </c>
      <c r="V99">
        <v>1</v>
      </c>
      <c r="X99" t="s">
        <v>2385</v>
      </c>
      <c r="AA99">
        <v>0</v>
      </c>
      <c r="AB99">
        <v>0</v>
      </c>
      <c r="AC99">
        <v>0</v>
      </c>
      <c r="AD99">
        <v>0</v>
      </c>
      <c r="AE99">
        <v>0</v>
      </c>
      <c r="AF99">
        <v>0</v>
      </c>
      <c r="AG99">
        <v>0</v>
      </c>
      <c r="AJ99" s="56"/>
      <c r="AK99" s="56"/>
      <c r="AL99" s="56"/>
      <c r="AP99" t="s">
        <v>1450</v>
      </c>
      <c r="AS99" t="s">
        <v>1152</v>
      </c>
      <c r="AT99">
        <v>1</v>
      </c>
      <c r="AV99">
        <v>0</v>
      </c>
      <c r="AW99">
        <v>0</v>
      </c>
      <c r="AX99">
        <v>0</v>
      </c>
      <c r="AY99" t="s">
        <v>1375</v>
      </c>
      <c r="AZ99" t="s">
        <v>1375</v>
      </c>
      <c r="BA99">
        <v>2</v>
      </c>
      <c r="BD99">
        <v>1000000000</v>
      </c>
      <c r="BE99">
        <v>0</v>
      </c>
      <c r="BF99">
        <v>0</v>
      </c>
      <c r="BG99">
        <v>0</v>
      </c>
      <c r="BH99">
        <v>0</v>
      </c>
      <c r="BI99">
        <v>0</v>
      </c>
      <c r="BJ99">
        <v>0</v>
      </c>
      <c r="BK99">
        <v>0</v>
      </c>
      <c r="BL99">
        <v>0</v>
      </c>
      <c r="BM99">
        <v>0</v>
      </c>
      <c r="BN99">
        <v>0</v>
      </c>
      <c r="BO99">
        <v>0</v>
      </c>
      <c r="BP99">
        <v>0</v>
      </c>
      <c r="BR99">
        <v>0</v>
      </c>
      <c r="BS99">
        <v>0</v>
      </c>
      <c r="BX99">
        <v>0</v>
      </c>
      <c r="BY99">
        <v>0</v>
      </c>
      <c r="BZ99">
        <v>0</v>
      </c>
      <c r="CA99">
        <v>0</v>
      </c>
      <c r="CC99">
        <v>1</v>
      </c>
      <c r="CD99" s="56">
        <v>42619</v>
      </c>
      <c r="CE99" s="56">
        <v>42619</v>
      </c>
      <c r="CF99" s="56">
        <v>42619</v>
      </c>
      <c r="CG99" s="56">
        <v>42647</v>
      </c>
      <c r="CH99" s="56"/>
      <c r="CI99" s="56"/>
      <c r="CJ99">
        <v>1</v>
      </c>
      <c r="CK99">
        <v>0</v>
      </c>
      <c r="CL99">
        <v>0.65</v>
      </c>
      <c r="CM99">
        <v>0</v>
      </c>
      <c r="CN99">
        <v>0</v>
      </c>
      <c r="CO99">
        <v>0</v>
      </c>
      <c r="CP99">
        <v>0</v>
      </c>
      <c r="CQ99" t="s">
        <v>1378</v>
      </c>
      <c r="CR99" t="s">
        <v>1377</v>
      </c>
      <c r="CS99" t="s">
        <v>1451</v>
      </c>
      <c r="CT99" t="s">
        <v>1724</v>
      </c>
      <c r="CU99" t="s">
        <v>1742</v>
      </c>
      <c r="CV99" t="s">
        <v>1936</v>
      </c>
      <c r="DB99" t="s">
        <v>1869</v>
      </c>
      <c r="DE99" t="s">
        <v>1724</v>
      </c>
    </row>
    <row r="100" spans="1:109" x14ac:dyDescent="0.25">
      <c r="A100" t="s">
        <v>1378</v>
      </c>
      <c r="B100">
        <v>1</v>
      </c>
      <c r="C100" s="56">
        <v>42640</v>
      </c>
      <c r="D100" t="s">
        <v>1449</v>
      </c>
      <c r="E100" t="s">
        <v>2291</v>
      </c>
      <c r="G100" t="s">
        <v>1144</v>
      </c>
      <c r="H100" t="s">
        <v>1144</v>
      </c>
      <c r="I100" t="s">
        <v>1144</v>
      </c>
      <c r="J100" t="s">
        <v>1144</v>
      </c>
      <c r="K100" t="s">
        <v>1144</v>
      </c>
      <c r="L100">
        <v>356.43</v>
      </c>
      <c r="M100">
        <v>2</v>
      </c>
      <c r="N100">
        <v>0</v>
      </c>
      <c r="O100" s="56"/>
      <c r="P100" s="56"/>
      <c r="Q100">
        <v>13718</v>
      </c>
      <c r="R100">
        <v>9</v>
      </c>
      <c r="S100">
        <v>4</v>
      </c>
      <c r="T100">
        <v>2</v>
      </c>
      <c r="U100">
        <v>2</v>
      </c>
      <c r="V100">
        <v>1</v>
      </c>
      <c r="W100" t="s">
        <v>2379</v>
      </c>
      <c r="X100" t="s">
        <v>2387</v>
      </c>
      <c r="AA100">
        <v>0.08</v>
      </c>
      <c r="AB100">
        <v>1</v>
      </c>
      <c r="AC100">
        <v>6.25</v>
      </c>
      <c r="AD100">
        <v>3.13</v>
      </c>
      <c r="AE100">
        <v>0</v>
      </c>
      <c r="AF100">
        <v>0</v>
      </c>
      <c r="AG100">
        <v>0</v>
      </c>
      <c r="AJ100" s="56"/>
      <c r="AK100" s="56"/>
      <c r="AL100" s="56">
        <v>42656</v>
      </c>
      <c r="AM100">
        <v>1</v>
      </c>
      <c r="AP100" t="s">
        <v>1450</v>
      </c>
      <c r="AS100" t="s">
        <v>1152</v>
      </c>
      <c r="AT100">
        <v>1</v>
      </c>
      <c r="AV100">
        <v>2</v>
      </c>
      <c r="AW100">
        <v>2</v>
      </c>
      <c r="AX100">
        <v>1</v>
      </c>
      <c r="AY100" t="s">
        <v>1146</v>
      </c>
      <c r="AZ100" t="s">
        <v>1146</v>
      </c>
      <c r="BA100">
        <v>1</v>
      </c>
      <c r="BD100">
        <v>1000000000</v>
      </c>
      <c r="BE100">
        <v>1</v>
      </c>
      <c r="BF100">
        <v>0.5</v>
      </c>
      <c r="BG100">
        <v>0</v>
      </c>
      <c r="BH100">
        <v>0</v>
      </c>
      <c r="BI100">
        <v>0</v>
      </c>
      <c r="BJ100">
        <v>0</v>
      </c>
      <c r="BK100">
        <v>0</v>
      </c>
      <c r="BL100">
        <v>0</v>
      </c>
      <c r="BM100">
        <v>1</v>
      </c>
      <c r="BN100">
        <v>0.5</v>
      </c>
      <c r="BO100">
        <v>0</v>
      </c>
      <c r="BP100">
        <v>0</v>
      </c>
      <c r="BR100">
        <v>1</v>
      </c>
      <c r="BS100">
        <v>1</v>
      </c>
      <c r="BX100">
        <v>0</v>
      </c>
      <c r="BY100">
        <v>0</v>
      </c>
      <c r="BZ100">
        <v>0</v>
      </c>
      <c r="CA100">
        <v>-11.93</v>
      </c>
      <c r="CC100">
        <v>1</v>
      </c>
      <c r="CD100" s="56">
        <v>42592</v>
      </c>
      <c r="CE100" s="56">
        <v>42612</v>
      </c>
      <c r="CF100" s="56">
        <v>42612</v>
      </c>
      <c r="CG100" s="56">
        <v>42640</v>
      </c>
      <c r="CH100" s="56"/>
      <c r="CI100" s="56"/>
      <c r="CJ100">
        <v>0.48</v>
      </c>
      <c r="CK100">
        <v>1</v>
      </c>
      <c r="CL100">
        <v>0</v>
      </c>
      <c r="CM100">
        <v>0.32</v>
      </c>
      <c r="CN100">
        <v>0.11</v>
      </c>
      <c r="CO100">
        <v>0</v>
      </c>
      <c r="CP100">
        <v>0.28999999999999998</v>
      </c>
      <c r="CQ100" t="s">
        <v>1378</v>
      </c>
      <c r="CR100" t="s">
        <v>1377</v>
      </c>
      <c r="CS100" t="s">
        <v>1451</v>
      </c>
      <c r="CT100" t="s">
        <v>1724</v>
      </c>
      <c r="CU100" t="s">
        <v>1742</v>
      </c>
      <c r="CV100" t="s">
        <v>2292</v>
      </c>
      <c r="DB100" t="s">
        <v>2286</v>
      </c>
      <c r="DE100" t="s">
        <v>1724</v>
      </c>
    </row>
    <row r="101" spans="1:109" x14ac:dyDescent="0.25">
      <c r="A101" t="s">
        <v>1378</v>
      </c>
      <c r="B101">
        <v>1</v>
      </c>
      <c r="C101" s="56">
        <v>42640</v>
      </c>
      <c r="D101" t="s">
        <v>1449</v>
      </c>
      <c r="E101" t="s">
        <v>1995</v>
      </c>
      <c r="G101" t="s">
        <v>1144</v>
      </c>
      <c r="H101" t="s">
        <v>1144</v>
      </c>
      <c r="I101" t="s">
        <v>1144</v>
      </c>
      <c r="J101" t="s">
        <v>1144</v>
      </c>
      <c r="K101" t="s">
        <v>1144</v>
      </c>
      <c r="L101">
        <v>0</v>
      </c>
      <c r="M101">
        <v>732.52</v>
      </c>
      <c r="N101">
        <v>0</v>
      </c>
      <c r="O101" s="56"/>
      <c r="P101" s="56"/>
      <c r="Q101">
        <v>13718</v>
      </c>
      <c r="R101">
        <v>9</v>
      </c>
      <c r="S101">
        <v>4</v>
      </c>
      <c r="T101">
        <v>2</v>
      </c>
      <c r="U101">
        <v>2</v>
      </c>
      <c r="V101">
        <v>1</v>
      </c>
      <c r="X101" t="s">
        <v>2386</v>
      </c>
      <c r="AA101">
        <v>0</v>
      </c>
      <c r="AB101">
        <v>0</v>
      </c>
      <c r="AC101">
        <v>0</v>
      </c>
      <c r="AD101">
        <v>0</v>
      </c>
      <c r="AE101">
        <v>0</v>
      </c>
      <c r="AF101">
        <v>0</v>
      </c>
      <c r="AG101">
        <v>0</v>
      </c>
      <c r="AJ101" s="56"/>
      <c r="AK101" s="56"/>
      <c r="AL101" s="56"/>
      <c r="AP101" t="s">
        <v>1450</v>
      </c>
      <c r="AS101" t="s">
        <v>1152</v>
      </c>
      <c r="AT101">
        <v>1</v>
      </c>
      <c r="AV101">
        <v>0</v>
      </c>
      <c r="AW101">
        <v>0</v>
      </c>
      <c r="AX101">
        <v>0</v>
      </c>
      <c r="AY101" t="s">
        <v>1375</v>
      </c>
      <c r="AZ101" t="s">
        <v>1375</v>
      </c>
      <c r="BA101">
        <v>0</v>
      </c>
      <c r="BD101">
        <v>1000000000</v>
      </c>
      <c r="BE101">
        <v>0</v>
      </c>
      <c r="BF101">
        <v>0</v>
      </c>
      <c r="BG101">
        <v>0</v>
      </c>
      <c r="BH101">
        <v>0</v>
      </c>
      <c r="BI101">
        <v>0</v>
      </c>
      <c r="BJ101">
        <v>0</v>
      </c>
      <c r="BK101">
        <v>0</v>
      </c>
      <c r="BL101">
        <v>0</v>
      </c>
      <c r="BM101">
        <v>0</v>
      </c>
      <c r="BN101">
        <v>0</v>
      </c>
      <c r="BO101">
        <v>0</v>
      </c>
      <c r="BP101">
        <v>0</v>
      </c>
      <c r="BR101">
        <v>0</v>
      </c>
      <c r="BS101">
        <v>0</v>
      </c>
      <c r="BX101">
        <v>0</v>
      </c>
      <c r="BY101">
        <v>0</v>
      </c>
      <c r="BZ101">
        <v>0</v>
      </c>
      <c r="CA101">
        <v>0</v>
      </c>
      <c r="CC101">
        <v>1</v>
      </c>
      <c r="CD101" s="56">
        <v>42593</v>
      </c>
      <c r="CE101" s="56">
        <v>42612</v>
      </c>
      <c r="CF101" s="56">
        <v>42612</v>
      </c>
      <c r="CG101" s="56">
        <v>42640</v>
      </c>
      <c r="CH101" s="56"/>
      <c r="CI101" s="56"/>
      <c r="CJ101">
        <v>1</v>
      </c>
      <c r="CK101">
        <v>0</v>
      </c>
      <c r="CL101">
        <v>0.71</v>
      </c>
      <c r="CM101">
        <v>0</v>
      </c>
      <c r="CN101">
        <v>0</v>
      </c>
      <c r="CO101">
        <v>0</v>
      </c>
      <c r="CP101">
        <v>0</v>
      </c>
      <c r="CQ101" t="s">
        <v>1378</v>
      </c>
      <c r="CR101" t="s">
        <v>1377</v>
      </c>
      <c r="CS101" t="s">
        <v>1451</v>
      </c>
      <c r="CT101" t="s">
        <v>1724</v>
      </c>
      <c r="CU101" t="s">
        <v>1742</v>
      </c>
      <c r="CV101" t="s">
        <v>1996</v>
      </c>
      <c r="DB101" t="s">
        <v>1997</v>
      </c>
      <c r="DE101" t="s">
        <v>1724</v>
      </c>
    </row>
    <row r="102" spans="1:109" x14ac:dyDescent="0.25">
      <c r="A102" t="s">
        <v>1378</v>
      </c>
      <c r="B102">
        <v>1</v>
      </c>
      <c r="C102" s="56">
        <v>42640</v>
      </c>
      <c r="D102" t="s">
        <v>1449</v>
      </c>
      <c r="E102" t="s">
        <v>1379</v>
      </c>
      <c r="G102" t="s">
        <v>1144</v>
      </c>
      <c r="H102" t="s">
        <v>1144</v>
      </c>
      <c r="I102" t="s">
        <v>1144</v>
      </c>
      <c r="J102" t="s">
        <v>1144</v>
      </c>
      <c r="K102" t="s">
        <v>1144</v>
      </c>
      <c r="L102">
        <v>6.46</v>
      </c>
      <c r="M102">
        <v>71.27</v>
      </c>
      <c r="N102">
        <v>0</v>
      </c>
      <c r="O102" s="56"/>
      <c r="P102" s="56"/>
      <c r="Q102">
        <v>13718</v>
      </c>
      <c r="R102">
        <v>9</v>
      </c>
      <c r="S102">
        <v>4</v>
      </c>
      <c r="T102">
        <v>2</v>
      </c>
      <c r="U102">
        <v>2</v>
      </c>
      <c r="V102">
        <v>1</v>
      </c>
      <c r="W102" t="s">
        <v>2379</v>
      </c>
      <c r="X102" t="s">
        <v>2386</v>
      </c>
      <c r="AA102">
        <v>0</v>
      </c>
      <c r="AB102">
        <v>0</v>
      </c>
      <c r="AC102">
        <v>0</v>
      </c>
      <c r="AD102">
        <v>0</v>
      </c>
      <c r="AE102">
        <v>0</v>
      </c>
      <c r="AF102">
        <v>20</v>
      </c>
      <c r="AG102">
        <v>0</v>
      </c>
      <c r="AJ102" s="56"/>
      <c r="AK102" s="56"/>
      <c r="AL102" s="56">
        <v>42656</v>
      </c>
      <c r="AM102">
        <v>3</v>
      </c>
      <c r="AP102" t="s">
        <v>1450</v>
      </c>
      <c r="AR102">
        <v>3</v>
      </c>
      <c r="AS102" t="s">
        <v>1152</v>
      </c>
      <c r="AT102">
        <v>1</v>
      </c>
      <c r="AV102">
        <v>3</v>
      </c>
      <c r="AW102">
        <v>2</v>
      </c>
      <c r="AX102">
        <v>1</v>
      </c>
      <c r="AY102" t="s">
        <v>838</v>
      </c>
      <c r="AZ102" t="s">
        <v>838</v>
      </c>
      <c r="BA102">
        <v>3</v>
      </c>
      <c r="BD102">
        <v>1000000000</v>
      </c>
      <c r="BE102">
        <v>0</v>
      </c>
      <c r="BF102">
        <v>1</v>
      </c>
      <c r="BG102">
        <v>0</v>
      </c>
      <c r="BH102">
        <v>0</v>
      </c>
      <c r="BI102">
        <v>0</v>
      </c>
      <c r="BJ102">
        <v>0</v>
      </c>
      <c r="BK102">
        <v>0</v>
      </c>
      <c r="BL102">
        <v>0</v>
      </c>
      <c r="BM102">
        <v>0</v>
      </c>
      <c r="BN102">
        <v>1</v>
      </c>
      <c r="BO102">
        <v>0</v>
      </c>
      <c r="BP102">
        <v>0</v>
      </c>
      <c r="BR102">
        <v>3</v>
      </c>
      <c r="BS102">
        <v>2</v>
      </c>
      <c r="BX102">
        <v>64.81</v>
      </c>
      <c r="BY102">
        <v>0</v>
      </c>
      <c r="BZ102">
        <v>0</v>
      </c>
      <c r="CA102">
        <v>120.39</v>
      </c>
      <c r="CC102">
        <v>1</v>
      </c>
      <c r="CD102" s="56">
        <v>42593</v>
      </c>
      <c r="CE102" s="56">
        <v>42612</v>
      </c>
      <c r="CF102" s="56">
        <v>42612</v>
      </c>
      <c r="CG102" s="56">
        <v>42640</v>
      </c>
      <c r="CH102" s="56"/>
      <c r="CI102" s="56"/>
      <c r="CJ102">
        <v>1</v>
      </c>
      <c r="CK102">
        <v>1</v>
      </c>
      <c r="CL102">
        <v>0.71</v>
      </c>
      <c r="CM102">
        <v>0</v>
      </c>
      <c r="CN102">
        <v>0</v>
      </c>
      <c r="CO102">
        <v>0</v>
      </c>
      <c r="CP102">
        <v>0</v>
      </c>
      <c r="CQ102" t="s">
        <v>1378</v>
      </c>
      <c r="CR102" t="s">
        <v>1377</v>
      </c>
      <c r="CS102" t="s">
        <v>1451</v>
      </c>
      <c r="CT102" t="s">
        <v>1724</v>
      </c>
      <c r="CU102" t="s">
        <v>1742</v>
      </c>
      <c r="CV102" t="s">
        <v>1745</v>
      </c>
      <c r="DB102" t="s">
        <v>1744</v>
      </c>
      <c r="DE102" t="s">
        <v>1724</v>
      </c>
    </row>
    <row r="103" spans="1:109" x14ac:dyDescent="0.25">
      <c r="A103" t="s">
        <v>1378</v>
      </c>
      <c r="B103">
        <v>1</v>
      </c>
      <c r="C103" s="56">
        <v>42640</v>
      </c>
      <c r="D103" t="s">
        <v>1449</v>
      </c>
      <c r="E103" t="s">
        <v>1496</v>
      </c>
      <c r="G103" t="s">
        <v>1144</v>
      </c>
      <c r="H103" t="s">
        <v>1144</v>
      </c>
      <c r="I103" t="s">
        <v>1144</v>
      </c>
      <c r="J103" t="s">
        <v>1144</v>
      </c>
      <c r="K103" t="s">
        <v>1144</v>
      </c>
      <c r="L103">
        <v>1144.1199999999999</v>
      </c>
      <c r="M103">
        <v>2</v>
      </c>
      <c r="N103">
        <v>0</v>
      </c>
      <c r="O103" s="56"/>
      <c r="P103" s="56"/>
      <c r="Q103">
        <v>13718</v>
      </c>
      <c r="R103">
        <v>9</v>
      </c>
      <c r="S103">
        <v>4</v>
      </c>
      <c r="T103">
        <v>2</v>
      </c>
      <c r="U103">
        <v>2</v>
      </c>
      <c r="V103">
        <v>1</v>
      </c>
      <c r="W103" t="s">
        <v>2379</v>
      </c>
      <c r="X103" t="s">
        <v>2387</v>
      </c>
      <c r="AA103">
        <v>0.04</v>
      </c>
      <c r="AB103">
        <v>1</v>
      </c>
      <c r="AC103">
        <v>12.5</v>
      </c>
      <c r="AD103">
        <v>12.5</v>
      </c>
      <c r="AE103">
        <v>0</v>
      </c>
      <c r="AF103">
        <v>0</v>
      </c>
      <c r="AG103">
        <v>0</v>
      </c>
      <c r="AJ103" s="56"/>
      <c r="AK103" s="56">
        <v>42369</v>
      </c>
      <c r="AL103" s="56"/>
      <c r="AM103">
        <v>1</v>
      </c>
      <c r="AP103" t="s">
        <v>1450</v>
      </c>
      <c r="AS103" t="s">
        <v>1152</v>
      </c>
      <c r="AT103">
        <v>1</v>
      </c>
      <c r="AV103">
        <v>2</v>
      </c>
      <c r="AW103">
        <v>2</v>
      </c>
      <c r="AX103">
        <v>1</v>
      </c>
      <c r="AY103" t="s">
        <v>1145</v>
      </c>
      <c r="AZ103" t="s">
        <v>1145</v>
      </c>
      <c r="BA103">
        <v>1</v>
      </c>
      <c r="BD103">
        <v>1000000000</v>
      </c>
      <c r="BE103">
        <v>2</v>
      </c>
      <c r="BF103">
        <v>0</v>
      </c>
      <c r="BG103">
        <v>0</v>
      </c>
      <c r="BH103">
        <v>0</v>
      </c>
      <c r="BI103">
        <v>0</v>
      </c>
      <c r="BJ103">
        <v>0</v>
      </c>
      <c r="BK103">
        <v>0</v>
      </c>
      <c r="BL103">
        <v>0</v>
      </c>
      <c r="BM103">
        <v>2</v>
      </c>
      <c r="BN103">
        <v>0</v>
      </c>
      <c r="BO103">
        <v>0</v>
      </c>
      <c r="BP103">
        <v>0</v>
      </c>
      <c r="BR103">
        <v>0</v>
      </c>
      <c r="BS103">
        <v>1</v>
      </c>
      <c r="BX103">
        <v>0</v>
      </c>
      <c r="BY103">
        <v>0</v>
      </c>
      <c r="BZ103">
        <v>0</v>
      </c>
      <c r="CA103">
        <v>-11.98</v>
      </c>
      <c r="CC103">
        <v>1</v>
      </c>
      <c r="CD103" s="56">
        <v>42592</v>
      </c>
      <c r="CE103" s="56">
        <v>42612</v>
      </c>
      <c r="CF103" s="56">
        <v>42612</v>
      </c>
      <c r="CG103" s="56">
        <v>42640</v>
      </c>
      <c r="CH103" s="56"/>
      <c r="CI103" s="56"/>
      <c r="CJ103">
        <v>0</v>
      </c>
      <c r="CK103">
        <v>0</v>
      </c>
      <c r="CL103">
        <v>0</v>
      </c>
      <c r="CM103">
        <v>0</v>
      </c>
      <c r="CN103">
        <v>0.71</v>
      </c>
      <c r="CO103">
        <v>0</v>
      </c>
      <c r="CP103">
        <v>0</v>
      </c>
      <c r="CQ103" t="s">
        <v>1378</v>
      </c>
      <c r="CR103" t="s">
        <v>1377</v>
      </c>
      <c r="CS103" t="s">
        <v>1451</v>
      </c>
      <c r="CT103" t="s">
        <v>1724</v>
      </c>
      <c r="CU103" t="s">
        <v>1742</v>
      </c>
      <c r="CV103" t="s">
        <v>2347</v>
      </c>
      <c r="DB103" t="s">
        <v>2145</v>
      </c>
      <c r="DE103" t="s">
        <v>1724</v>
      </c>
    </row>
    <row r="104" spans="1:109" x14ac:dyDescent="0.25">
      <c r="A104" t="s">
        <v>1378</v>
      </c>
      <c r="B104">
        <v>1</v>
      </c>
      <c r="C104" s="56">
        <v>42640</v>
      </c>
      <c r="D104" t="s">
        <v>1449</v>
      </c>
      <c r="E104" t="s">
        <v>2047</v>
      </c>
      <c r="G104" t="s">
        <v>1144</v>
      </c>
      <c r="H104" t="s">
        <v>1144</v>
      </c>
      <c r="I104" t="s">
        <v>1144</v>
      </c>
      <c r="J104" t="s">
        <v>1144</v>
      </c>
      <c r="K104" t="s">
        <v>1144</v>
      </c>
      <c r="L104">
        <v>227.82</v>
      </c>
      <c r="M104">
        <v>2</v>
      </c>
      <c r="N104">
        <v>0</v>
      </c>
      <c r="O104" s="56"/>
      <c r="P104" s="56"/>
      <c r="Q104">
        <v>13718</v>
      </c>
      <c r="R104">
        <v>9</v>
      </c>
      <c r="S104">
        <v>4</v>
      </c>
      <c r="T104">
        <v>2</v>
      </c>
      <c r="U104">
        <v>2</v>
      </c>
      <c r="V104">
        <v>1</v>
      </c>
      <c r="W104" t="s">
        <v>1376</v>
      </c>
      <c r="X104" t="s">
        <v>2385</v>
      </c>
      <c r="AA104">
        <v>0</v>
      </c>
      <c r="AB104">
        <v>0</v>
      </c>
      <c r="AC104">
        <v>0</v>
      </c>
      <c r="AD104">
        <v>0</v>
      </c>
      <c r="AE104">
        <v>0</v>
      </c>
      <c r="AF104">
        <v>0</v>
      </c>
      <c r="AG104">
        <v>0</v>
      </c>
      <c r="AJ104" s="56"/>
      <c r="AK104" s="56">
        <v>42369</v>
      </c>
      <c r="AL104" s="56"/>
      <c r="AM104">
        <v>1</v>
      </c>
      <c r="AP104" t="s">
        <v>1450</v>
      </c>
      <c r="AS104" t="s">
        <v>1152</v>
      </c>
      <c r="AT104">
        <v>1</v>
      </c>
      <c r="AV104">
        <v>1</v>
      </c>
      <c r="AW104">
        <v>1</v>
      </c>
      <c r="AX104">
        <v>0.5</v>
      </c>
      <c r="AY104" t="s">
        <v>1145</v>
      </c>
      <c r="AZ104" t="s">
        <v>1145</v>
      </c>
      <c r="BA104">
        <v>2</v>
      </c>
      <c r="BD104">
        <v>1000000000</v>
      </c>
      <c r="BE104">
        <v>1</v>
      </c>
      <c r="BF104">
        <v>0</v>
      </c>
      <c r="BG104">
        <v>0</v>
      </c>
      <c r="BH104">
        <v>0</v>
      </c>
      <c r="BI104">
        <v>0</v>
      </c>
      <c r="BJ104">
        <v>0</v>
      </c>
      <c r="BK104">
        <v>0</v>
      </c>
      <c r="BL104">
        <v>0</v>
      </c>
      <c r="BM104">
        <v>1</v>
      </c>
      <c r="BN104">
        <v>0</v>
      </c>
      <c r="BO104">
        <v>0</v>
      </c>
      <c r="BP104">
        <v>0</v>
      </c>
      <c r="BR104">
        <v>0</v>
      </c>
      <c r="BS104">
        <v>1</v>
      </c>
      <c r="BX104">
        <v>0</v>
      </c>
      <c r="BY104">
        <v>0</v>
      </c>
      <c r="BZ104">
        <v>0</v>
      </c>
      <c r="CA104">
        <v>-11.89</v>
      </c>
      <c r="CC104">
        <v>1</v>
      </c>
      <c r="CD104" s="56">
        <v>42619</v>
      </c>
      <c r="CE104" s="56">
        <v>42619</v>
      </c>
      <c r="CF104" s="56">
        <v>42619</v>
      </c>
      <c r="CG104" s="56">
        <v>42647</v>
      </c>
      <c r="CH104" s="56"/>
      <c r="CI104" s="56"/>
      <c r="CJ104">
        <v>0</v>
      </c>
      <c r="CK104">
        <v>0</v>
      </c>
      <c r="CL104">
        <v>0</v>
      </c>
      <c r="CM104">
        <v>0</v>
      </c>
      <c r="CN104">
        <v>0.65</v>
      </c>
      <c r="CO104">
        <v>0</v>
      </c>
      <c r="CP104">
        <v>0</v>
      </c>
      <c r="CQ104" t="s">
        <v>1378</v>
      </c>
      <c r="CR104" t="s">
        <v>1377</v>
      </c>
      <c r="CS104" t="s">
        <v>1451</v>
      </c>
      <c r="CT104" t="s">
        <v>1724</v>
      </c>
      <c r="CU104" t="s">
        <v>1742</v>
      </c>
      <c r="CV104" t="s">
        <v>2048</v>
      </c>
      <c r="DB104" t="s">
        <v>2014</v>
      </c>
      <c r="DE104" t="s">
        <v>1724</v>
      </c>
    </row>
    <row r="105" spans="1:109" x14ac:dyDescent="0.25">
      <c r="A105" t="s">
        <v>1378</v>
      </c>
      <c r="B105">
        <v>1</v>
      </c>
      <c r="C105" s="56">
        <v>42640</v>
      </c>
      <c r="D105" t="s">
        <v>1449</v>
      </c>
      <c r="E105" t="s">
        <v>2098</v>
      </c>
      <c r="G105" t="s">
        <v>1144</v>
      </c>
      <c r="H105" t="s">
        <v>1144</v>
      </c>
      <c r="I105" t="s">
        <v>1144</v>
      </c>
      <c r="J105" t="s">
        <v>1144</v>
      </c>
      <c r="K105" t="s">
        <v>1144</v>
      </c>
      <c r="L105">
        <v>162.24</v>
      </c>
      <c r="M105">
        <v>2</v>
      </c>
      <c r="N105">
        <v>0</v>
      </c>
      <c r="O105" s="56"/>
      <c r="P105" s="56"/>
      <c r="Q105">
        <v>13718</v>
      </c>
      <c r="R105">
        <v>9</v>
      </c>
      <c r="S105">
        <v>4</v>
      </c>
      <c r="T105">
        <v>2</v>
      </c>
      <c r="U105">
        <v>2</v>
      </c>
      <c r="V105">
        <v>1</v>
      </c>
      <c r="W105" t="s">
        <v>1376</v>
      </c>
      <c r="X105" t="s">
        <v>2385</v>
      </c>
      <c r="AA105">
        <v>0</v>
      </c>
      <c r="AB105">
        <v>0</v>
      </c>
      <c r="AC105">
        <v>0</v>
      </c>
      <c r="AD105">
        <v>0</v>
      </c>
      <c r="AE105">
        <v>0</v>
      </c>
      <c r="AF105">
        <v>0</v>
      </c>
      <c r="AG105">
        <v>0</v>
      </c>
      <c r="AJ105" s="56"/>
      <c r="AK105" s="56">
        <v>42369</v>
      </c>
      <c r="AL105" s="56"/>
      <c r="AM105">
        <v>1</v>
      </c>
      <c r="AP105" t="s">
        <v>1450</v>
      </c>
      <c r="AS105" t="s">
        <v>1152</v>
      </c>
      <c r="AT105">
        <v>1</v>
      </c>
      <c r="AV105">
        <v>2</v>
      </c>
      <c r="AW105">
        <v>2</v>
      </c>
      <c r="AX105">
        <v>1</v>
      </c>
      <c r="AY105" t="s">
        <v>1145</v>
      </c>
      <c r="AZ105" t="s">
        <v>1145</v>
      </c>
      <c r="BA105">
        <v>1</v>
      </c>
      <c r="BD105">
        <v>1000000000</v>
      </c>
      <c r="BE105">
        <v>2</v>
      </c>
      <c r="BF105">
        <v>0</v>
      </c>
      <c r="BG105">
        <v>0</v>
      </c>
      <c r="BH105">
        <v>0</v>
      </c>
      <c r="BI105">
        <v>0</v>
      </c>
      <c r="BJ105">
        <v>0</v>
      </c>
      <c r="BK105">
        <v>0</v>
      </c>
      <c r="BL105">
        <v>0</v>
      </c>
      <c r="BM105">
        <v>2</v>
      </c>
      <c r="BN105">
        <v>0</v>
      </c>
      <c r="BO105">
        <v>0</v>
      </c>
      <c r="BP105">
        <v>0</v>
      </c>
      <c r="BR105">
        <v>0</v>
      </c>
      <c r="BS105">
        <v>1</v>
      </c>
      <c r="BX105">
        <v>0</v>
      </c>
      <c r="BY105">
        <v>0</v>
      </c>
      <c r="BZ105">
        <v>0</v>
      </c>
      <c r="CA105">
        <v>-11.85</v>
      </c>
      <c r="CC105">
        <v>1</v>
      </c>
      <c r="CD105" s="56">
        <v>42619</v>
      </c>
      <c r="CE105" s="56">
        <v>42619</v>
      </c>
      <c r="CF105" s="56">
        <v>42619</v>
      </c>
      <c r="CG105" s="56">
        <v>42647</v>
      </c>
      <c r="CH105" s="56"/>
      <c r="CI105" s="56"/>
      <c r="CJ105">
        <v>0</v>
      </c>
      <c r="CK105">
        <v>0</v>
      </c>
      <c r="CL105">
        <v>0</v>
      </c>
      <c r="CM105">
        <v>0</v>
      </c>
      <c r="CN105">
        <v>0.65</v>
      </c>
      <c r="CO105">
        <v>0</v>
      </c>
      <c r="CP105">
        <v>0</v>
      </c>
      <c r="CQ105" t="s">
        <v>1378</v>
      </c>
      <c r="CR105" t="s">
        <v>1377</v>
      </c>
      <c r="CS105" t="s">
        <v>1451</v>
      </c>
      <c r="CT105" t="s">
        <v>1724</v>
      </c>
      <c r="CU105" t="s">
        <v>1742</v>
      </c>
      <c r="CV105" t="s">
        <v>2099</v>
      </c>
      <c r="DB105" t="s">
        <v>2014</v>
      </c>
      <c r="DE105" t="s">
        <v>1724</v>
      </c>
    </row>
    <row r="106" spans="1:109" x14ac:dyDescent="0.25">
      <c r="A106" t="s">
        <v>1378</v>
      </c>
      <c r="B106">
        <v>1</v>
      </c>
      <c r="C106" s="56">
        <v>42640</v>
      </c>
      <c r="D106" t="s">
        <v>1449</v>
      </c>
      <c r="E106" t="s">
        <v>1873</v>
      </c>
      <c r="G106" t="s">
        <v>1144</v>
      </c>
      <c r="H106" t="s">
        <v>1144</v>
      </c>
      <c r="I106" t="s">
        <v>1144</v>
      </c>
      <c r="J106" t="s">
        <v>1144</v>
      </c>
      <c r="K106" t="s">
        <v>1144</v>
      </c>
      <c r="L106">
        <v>92.64</v>
      </c>
      <c r="M106">
        <v>230.18</v>
      </c>
      <c r="N106">
        <v>0</v>
      </c>
      <c r="O106" s="56"/>
      <c r="P106" s="56"/>
      <c r="Q106">
        <v>13718</v>
      </c>
      <c r="R106">
        <v>9</v>
      </c>
      <c r="S106">
        <v>4</v>
      </c>
      <c r="T106">
        <v>2</v>
      </c>
      <c r="U106">
        <v>2</v>
      </c>
      <c r="V106">
        <v>1</v>
      </c>
      <c r="X106" t="s">
        <v>2385</v>
      </c>
      <c r="AA106">
        <v>0.04</v>
      </c>
      <c r="AB106">
        <v>1</v>
      </c>
      <c r="AC106">
        <v>25</v>
      </c>
      <c r="AD106">
        <v>37.5</v>
      </c>
      <c r="AE106">
        <v>0</v>
      </c>
      <c r="AF106">
        <v>0</v>
      </c>
      <c r="AG106">
        <v>0</v>
      </c>
      <c r="AJ106" s="56">
        <v>42666</v>
      </c>
      <c r="AK106" s="56"/>
      <c r="AL106" s="56"/>
      <c r="AM106">
        <v>7</v>
      </c>
      <c r="AP106" t="s">
        <v>1450</v>
      </c>
      <c r="AS106" t="s">
        <v>1152</v>
      </c>
      <c r="AT106">
        <v>1</v>
      </c>
      <c r="AV106">
        <v>4</v>
      </c>
      <c r="AW106">
        <v>3</v>
      </c>
      <c r="AX106">
        <v>1</v>
      </c>
      <c r="AY106" t="s">
        <v>1147</v>
      </c>
      <c r="AZ106" t="s">
        <v>1147</v>
      </c>
      <c r="BA106">
        <v>7</v>
      </c>
      <c r="BD106">
        <v>1000000000</v>
      </c>
      <c r="BE106">
        <v>6</v>
      </c>
      <c r="BF106">
        <v>-0.5</v>
      </c>
      <c r="BG106">
        <v>0</v>
      </c>
      <c r="BH106">
        <v>0</v>
      </c>
      <c r="BI106">
        <v>0</v>
      </c>
      <c r="BJ106">
        <v>0</v>
      </c>
      <c r="BK106">
        <v>0</v>
      </c>
      <c r="BL106">
        <v>0</v>
      </c>
      <c r="BM106">
        <v>6</v>
      </c>
      <c r="BN106">
        <v>-0.5</v>
      </c>
      <c r="BO106">
        <v>0</v>
      </c>
      <c r="BP106">
        <v>0</v>
      </c>
      <c r="BR106">
        <v>0</v>
      </c>
      <c r="BS106">
        <v>2</v>
      </c>
      <c r="BX106">
        <v>0</v>
      </c>
      <c r="BY106">
        <v>185.28</v>
      </c>
      <c r="BZ106">
        <v>0</v>
      </c>
      <c r="CA106">
        <v>17.82</v>
      </c>
      <c r="CC106">
        <v>1</v>
      </c>
      <c r="CD106" s="56">
        <v>42619</v>
      </c>
      <c r="CE106" s="56">
        <v>42619</v>
      </c>
      <c r="CF106" s="56">
        <v>42619</v>
      </c>
      <c r="CG106" s="56">
        <v>42647</v>
      </c>
      <c r="CH106" s="56"/>
      <c r="CI106" s="56"/>
      <c r="CJ106">
        <v>0</v>
      </c>
      <c r="CK106">
        <v>0</v>
      </c>
      <c r="CL106">
        <v>0</v>
      </c>
      <c r="CM106">
        <v>0</v>
      </c>
      <c r="CN106">
        <v>0</v>
      </c>
      <c r="CO106">
        <v>0</v>
      </c>
      <c r="CP106">
        <v>0.65</v>
      </c>
      <c r="CQ106" t="s">
        <v>1378</v>
      </c>
      <c r="CR106" t="s">
        <v>1377</v>
      </c>
      <c r="CS106" t="s">
        <v>1451</v>
      </c>
      <c r="CT106" t="s">
        <v>1724</v>
      </c>
      <c r="CU106" t="s">
        <v>1742</v>
      </c>
      <c r="CV106" t="s">
        <v>1874</v>
      </c>
      <c r="DB106" t="s">
        <v>1869</v>
      </c>
      <c r="DE106" t="s">
        <v>1724</v>
      </c>
    </row>
    <row r="107" spans="1:109" x14ac:dyDescent="0.25">
      <c r="A107" t="s">
        <v>1378</v>
      </c>
      <c r="B107">
        <v>1</v>
      </c>
      <c r="C107" s="56">
        <v>42640</v>
      </c>
      <c r="D107" t="s">
        <v>1449</v>
      </c>
      <c r="E107" t="s">
        <v>2226</v>
      </c>
      <c r="G107" t="s">
        <v>1144</v>
      </c>
      <c r="H107" t="s">
        <v>1144</v>
      </c>
      <c r="I107" t="s">
        <v>1144</v>
      </c>
      <c r="J107" t="s">
        <v>1144</v>
      </c>
      <c r="K107" t="s">
        <v>1144</v>
      </c>
      <c r="L107">
        <v>264.79000000000002</v>
      </c>
      <c r="M107">
        <v>2</v>
      </c>
      <c r="N107">
        <v>0</v>
      </c>
      <c r="O107" s="56"/>
      <c r="P107" s="56"/>
      <c r="Q107">
        <v>13718</v>
      </c>
      <c r="R107">
        <v>9</v>
      </c>
      <c r="S107">
        <v>4</v>
      </c>
      <c r="T107">
        <v>2</v>
      </c>
      <c r="U107">
        <v>2</v>
      </c>
      <c r="V107">
        <v>1</v>
      </c>
      <c r="X107" t="s">
        <v>2385</v>
      </c>
      <c r="AA107">
        <v>0</v>
      </c>
      <c r="AB107">
        <v>0</v>
      </c>
      <c r="AC107">
        <v>0</v>
      </c>
      <c r="AD107">
        <v>0</v>
      </c>
      <c r="AE107">
        <v>0</v>
      </c>
      <c r="AF107">
        <v>0</v>
      </c>
      <c r="AG107">
        <v>0</v>
      </c>
      <c r="AJ107" s="56"/>
      <c r="AK107" s="56">
        <v>42369</v>
      </c>
      <c r="AL107" s="56"/>
      <c r="AM107">
        <v>1</v>
      </c>
      <c r="AP107" t="s">
        <v>1450</v>
      </c>
      <c r="AS107" t="s">
        <v>1152</v>
      </c>
      <c r="AT107">
        <v>1</v>
      </c>
      <c r="AV107">
        <v>1</v>
      </c>
      <c r="AW107">
        <v>1</v>
      </c>
      <c r="AX107">
        <v>0.5</v>
      </c>
      <c r="AY107" t="s">
        <v>1147</v>
      </c>
      <c r="AZ107" t="s">
        <v>1147</v>
      </c>
      <c r="BA107">
        <v>2</v>
      </c>
      <c r="BD107">
        <v>1000000000</v>
      </c>
      <c r="BE107">
        <v>2</v>
      </c>
      <c r="BF107">
        <v>-1</v>
      </c>
      <c r="BG107">
        <v>0</v>
      </c>
      <c r="BH107">
        <v>0</v>
      </c>
      <c r="BI107">
        <v>0</v>
      </c>
      <c r="BJ107">
        <v>0</v>
      </c>
      <c r="BK107">
        <v>0</v>
      </c>
      <c r="BL107">
        <v>0</v>
      </c>
      <c r="BM107">
        <v>2</v>
      </c>
      <c r="BN107">
        <v>-1</v>
      </c>
      <c r="BO107">
        <v>0</v>
      </c>
      <c r="BP107">
        <v>0</v>
      </c>
      <c r="BR107">
        <v>0</v>
      </c>
      <c r="BS107">
        <v>1</v>
      </c>
      <c r="BX107">
        <v>0</v>
      </c>
      <c r="BY107">
        <v>264.79000000000002</v>
      </c>
      <c r="BZ107">
        <v>0</v>
      </c>
      <c r="CA107">
        <v>-11.91</v>
      </c>
      <c r="CC107">
        <v>1</v>
      </c>
      <c r="CD107" s="56">
        <v>42619</v>
      </c>
      <c r="CE107" s="56">
        <v>42619</v>
      </c>
      <c r="CF107" s="56">
        <v>42619</v>
      </c>
      <c r="CG107" s="56">
        <v>42647</v>
      </c>
      <c r="CH107" s="56"/>
      <c r="CI107" s="56"/>
      <c r="CJ107">
        <v>0</v>
      </c>
      <c r="CK107">
        <v>0</v>
      </c>
      <c r="CL107">
        <v>0</v>
      </c>
      <c r="CM107">
        <v>0</v>
      </c>
      <c r="CN107">
        <v>0</v>
      </c>
      <c r="CO107">
        <v>0</v>
      </c>
      <c r="CP107">
        <v>0.65</v>
      </c>
      <c r="CQ107" t="s">
        <v>1378</v>
      </c>
      <c r="CR107" t="s">
        <v>1377</v>
      </c>
      <c r="CS107" t="s">
        <v>1451</v>
      </c>
      <c r="CT107" t="s">
        <v>1724</v>
      </c>
      <c r="CU107" t="s">
        <v>1742</v>
      </c>
      <c r="CV107" t="s">
        <v>2227</v>
      </c>
      <c r="DB107" t="s">
        <v>2161</v>
      </c>
      <c r="DE107" t="s">
        <v>1724</v>
      </c>
    </row>
    <row r="108" spans="1:109" x14ac:dyDescent="0.25">
      <c r="A108" t="s">
        <v>1378</v>
      </c>
      <c r="B108">
        <v>1</v>
      </c>
      <c r="C108" s="56">
        <v>42640</v>
      </c>
      <c r="D108" t="s">
        <v>1449</v>
      </c>
      <c r="E108" t="s">
        <v>1944</v>
      </c>
      <c r="G108" t="s">
        <v>1144</v>
      </c>
      <c r="H108" t="s">
        <v>1144</v>
      </c>
      <c r="I108" t="s">
        <v>1144</v>
      </c>
      <c r="J108" t="s">
        <v>1144</v>
      </c>
      <c r="K108" t="s">
        <v>1144</v>
      </c>
      <c r="L108">
        <v>74.45</v>
      </c>
      <c r="M108">
        <v>230.18</v>
      </c>
      <c r="N108">
        <v>0</v>
      </c>
      <c r="O108" s="56"/>
      <c r="P108" s="56"/>
      <c r="Q108">
        <v>13718</v>
      </c>
      <c r="R108">
        <v>9</v>
      </c>
      <c r="S108">
        <v>4</v>
      </c>
      <c r="T108">
        <v>2</v>
      </c>
      <c r="U108">
        <v>2</v>
      </c>
      <c r="V108">
        <v>1</v>
      </c>
      <c r="X108" t="s">
        <v>2385</v>
      </c>
      <c r="AA108">
        <v>0.04</v>
      </c>
      <c r="AB108">
        <v>1</v>
      </c>
      <c r="AC108">
        <v>0</v>
      </c>
      <c r="AD108">
        <v>0</v>
      </c>
      <c r="AE108">
        <v>0</v>
      </c>
      <c r="AF108">
        <v>0</v>
      </c>
      <c r="AG108">
        <v>0</v>
      </c>
      <c r="AJ108" s="56"/>
      <c r="AK108" s="56"/>
      <c r="AL108" s="56"/>
      <c r="AP108" t="s">
        <v>1450</v>
      </c>
      <c r="AS108" t="s">
        <v>1152</v>
      </c>
      <c r="AT108">
        <v>1</v>
      </c>
      <c r="AV108">
        <v>0</v>
      </c>
      <c r="AW108">
        <v>0</v>
      </c>
      <c r="AX108">
        <v>0</v>
      </c>
      <c r="AY108" t="s">
        <v>1375</v>
      </c>
      <c r="AZ108" t="s">
        <v>1375</v>
      </c>
      <c r="BA108">
        <v>2</v>
      </c>
      <c r="BD108">
        <v>1000000000</v>
      </c>
      <c r="BE108">
        <v>0</v>
      </c>
      <c r="BF108">
        <v>0</v>
      </c>
      <c r="BG108">
        <v>0</v>
      </c>
      <c r="BH108">
        <v>0</v>
      </c>
      <c r="BI108">
        <v>0</v>
      </c>
      <c r="BJ108">
        <v>0</v>
      </c>
      <c r="BK108">
        <v>0</v>
      </c>
      <c r="BL108">
        <v>0</v>
      </c>
      <c r="BM108">
        <v>0</v>
      </c>
      <c r="BN108">
        <v>0</v>
      </c>
      <c r="BO108">
        <v>0</v>
      </c>
      <c r="BP108">
        <v>0</v>
      </c>
      <c r="BR108">
        <v>0</v>
      </c>
      <c r="BS108">
        <v>0</v>
      </c>
      <c r="BX108">
        <v>0</v>
      </c>
      <c r="BY108">
        <v>0</v>
      </c>
      <c r="BZ108">
        <v>0</v>
      </c>
      <c r="CA108">
        <v>0</v>
      </c>
      <c r="CC108">
        <v>1</v>
      </c>
      <c r="CD108" s="56">
        <v>42619</v>
      </c>
      <c r="CE108" s="56">
        <v>42619</v>
      </c>
      <c r="CF108" s="56">
        <v>42619</v>
      </c>
      <c r="CG108" s="56">
        <v>42647</v>
      </c>
      <c r="CH108" s="56"/>
      <c r="CI108" s="56"/>
      <c r="CJ108">
        <v>1</v>
      </c>
      <c r="CK108">
        <v>0</v>
      </c>
      <c r="CL108">
        <v>0.65</v>
      </c>
      <c r="CM108">
        <v>0</v>
      </c>
      <c r="CN108">
        <v>0</v>
      </c>
      <c r="CO108">
        <v>0</v>
      </c>
      <c r="CP108">
        <v>0</v>
      </c>
      <c r="CQ108" t="s">
        <v>1378</v>
      </c>
      <c r="CR108" t="s">
        <v>1377</v>
      </c>
      <c r="CS108" t="s">
        <v>1451</v>
      </c>
      <c r="CT108" t="s">
        <v>1724</v>
      </c>
      <c r="CU108" t="s">
        <v>1742</v>
      </c>
      <c r="CV108" t="s">
        <v>1945</v>
      </c>
      <c r="DB108" t="s">
        <v>1869</v>
      </c>
      <c r="DE108" t="s">
        <v>1724</v>
      </c>
    </row>
    <row r="109" spans="1:109" x14ac:dyDescent="0.25">
      <c r="A109" t="s">
        <v>1378</v>
      </c>
      <c r="B109">
        <v>1</v>
      </c>
      <c r="C109" s="56">
        <v>42640</v>
      </c>
      <c r="D109" t="s">
        <v>1449</v>
      </c>
      <c r="E109" t="s">
        <v>1404</v>
      </c>
      <c r="G109" t="s">
        <v>1144</v>
      </c>
      <c r="H109" t="s">
        <v>1144</v>
      </c>
      <c r="I109" t="s">
        <v>1144</v>
      </c>
      <c r="J109" t="s">
        <v>1144</v>
      </c>
      <c r="K109" t="s">
        <v>1144</v>
      </c>
      <c r="L109">
        <v>97.75</v>
      </c>
      <c r="M109">
        <v>230.18</v>
      </c>
      <c r="N109">
        <v>0</v>
      </c>
      <c r="O109" s="56"/>
      <c r="P109" s="56"/>
      <c r="Q109">
        <v>13718</v>
      </c>
      <c r="R109">
        <v>9</v>
      </c>
      <c r="S109">
        <v>4</v>
      </c>
      <c r="T109">
        <v>2</v>
      </c>
      <c r="U109">
        <v>2</v>
      </c>
      <c r="V109">
        <v>1</v>
      </c>
      <c r="X109" t="s">
        <v>2385</v>
      </c>
      <c r="AA109">
        <v>0.12</v>
      </c>
      <c r="AB109">
        <v>1</v>
      </c>
      <c r="AC109">
        <v>8.33</v>
      </c>
      <c r="AD109">
        <v>10.42</v>
      </c>
      <c r="AE109">
        <v>0</v>
      </c>
      <c r="AF109">
        <v>0</v>
      </c>
      <c r="AG109">
        <v>0</v>
      </c>
      <c r="AJ109" s="56">
        <v>42666</v>
      </c>
      <c r="AK109" s="56"/>
      <c r="AL109" s="56">
        <v>42322</v>
      </c>
      <c r="AM109">
        <v>6</v>
      </c>
      <c r="AP109" t="s">
        <v>1450</v>
      </c>
      <c r="AS109" t="s">
        <v>1152</v>
      </c>
      <c r="AT109">
        <v>1</v>
      </c>
      <c r="AV109">
        <v>4</v>
      </c>
      <c r="AW109">
        <v>3</v>
      </c>
      <c r="AX109">
        <v>1</v>
      </c>
      <c r="AY109" t="s">
        <v>1147</v>
      </c>
      <c r="AZ109" t="s">
        <v>1147</v>
      </c>
      <c r="BA109">
        <v>6</v>
      </c>
      <c r="BD109">
        <v>1000000000</v>
      </c>
      <c r="BE109">
        <v>5</v>
      </c>
      <c r="BF109">
        <v>-0.25</v>
      </c>
      <c r="BG109">
        <v>0</v>
      </c>
      <c r="BH109">
        <v>0</v>
      </c>
      <c r="BI109">
        <v>0</v>
      </c>
      <c r="BJ109">
        <v>0</v>
      </c>
      <c r="BK109">
        <v>0</v>
      </c>
      <c r="BL109">
        <v>0</v>
      </c>
      <c r="BM109">
        <v>5</v>
      </c>
      <c r="BN109">
        <v>-0.25</v>
      </c>
      <c r="BO109">
        <v>0</v>
      </c>
      <c r="BP109">
        <v>0</v>
      </c>
      <c r="BR109">
        <v>0</v>
      </c>
      <c r="BS109">
        <v>2</v>
      </c>
      <c r="BX109">
        <v>0</v>
      </c>
      <c r="BY109">
        <v>97.75</v>
      </c>
      <c r="BZ109">
        <v>0</v>
      </c>
      <c r="CA109">
        <v>16.260000000000002</v>
      </c>
      <c r="CC109">
        <v>1</v>
      </c>
      <c r="CD109" s="56">
        <v>42619</v>
      </c>
      <c r="CE109" s="56">
        <v>42619</v>
      </c>
      <c r="CF109" s="56">
        <v>42619</v>
      </c>
      <c r="CG109" s="56">
        <v>42647</v>
      </c>
      <c r="CH109" s="56"/>
      <c r="CI109" s="56"/>
      <c r="CJ109">
        <v>0.08</v>
      </c>
      <c r="CK109">
        <v>0</v>
      </c>
      <c r="CL109">
        <v>0</v>
      </c>
      <c r="CM109">
        <v>0</v>
      </c>
      <c r="CN109">
        <v>0</v>
      </c>
      <c r="CO109">
        <v>0</v>
      </c>
      <c r="CP109">
        <v>0.65</v>
      </c>
      <c r="CQ109" t="s">
        <v>1378</v>
      </c>
      <c r="CR109" t="s">
        <v>1377</v>
      </c>
      <c r="CS109" t="s">
        <v>1451</v>
      </c>
      <c r="CT109" t="s">
        <v>1724</v>
      </c>
      <c r="CU109" t="s">
        <v>1742</v>
      </c>
      <c r="CV109" t="s">
        <v>1924</v>
      </c>
      <c r="DB109" t="s">
        <v>1869</v>
      </c>
      <c r="DE109" t="s">
        <v>1724</v>
      </c>
    </row>
    <row r="110" spans="1:109" x14ac:dyDescent="0.25">
      <c r="A110" t="s">
        <v>1378</v>
      </c>
      <c r="B110">
        <v>1</v>
      </c>
      <c r="C110" s="56">
        <v>42640</v>
      </c>
      <c r="D110" t="s">
        <v>1449</v>
      </c>
      <c r="E110" t="s">
        <v>2274</v>
      </c>
      <c r="G110" t="s">
        <v>1144</v>
      </c>
      <c r="H110" t="s">
        <v>1144</v>
      </c>
      <c r="I110" t="s">
        <v>1144</v>
      </c>
      <c r="J110" t="s">
        <v>1144</v>
      </c>
      <c r="K110" t="s">
        <v>1144</v>
      </c>
      <c r="L110">
        <v>559.97</v>
      </c>
      <c r="M110">
        <v>2</v>
      </c>
      <c r="N110">
        <v>0</v>
      </c>
      <c r="O110" s="56"/>
      <c r="P110" s="56"/>
      <c r="Q110">
        <v>13718</v>
      </c>
      <c r="R110">
        <v>9</v>
      </c>
      <c r="S110">
        <v>4</v>
      </c>
      <c r="T110">
        <v>2</v>
      </c>
      <c r="U110">
        <v>2</v>
      </c>
      <c r="V110">
        <v>1</v>
      </c>
      <c r="W110" t="s">
        <v>2379</v>
      </c>
      <c r="X110" t="s">
        <v>2387</v>
      </c>
      <c r="AA110">
        <v>0</v>
      </c>
      <c r="AB110">
        <v>0</v>
      </c>
      <c r="AC110">
        <v>0</v>
      </c>
      <c r="AD110">
        <v>0</v>
      </c>
      <c r="AE110">
        <v>0</v>
      </c>
      <c r="AF110">
        <v>0</v>
      </c>
      <c r="AG110">
        <v>0</v>
      </c>
      <c r="AJ110" s="56"/>
      <c r="AK110" s="56"/>
      <c r="AL110" s="56"/>
      <c r="AM110">
        <v>1</v>
      </c>
      <c r="AP110" t="s">
        <v>1450</v>
      </c>
      <c r="AS110" t="s">
        <v>1152</v>
      </c>
      <c r="AT110">
        <v>1</v>
      </c>
      <c r="AV110">
        <v>2</v>
      </c>
      <c r="AW110">
        <v>2</v>
      </c>
      <c r="AX110">
        <v>1</v>
      </c>
      <c r="AY110" t="s">
        <v>1145</v>
      </c>
      <c r="AZ110" t="s">
        <v>1145</v>
      </c>
      <c r="BA110">
        <v>1</v>
      </c>
      <c r="BD110">
        <v>1000000000</v>
      </c>
      <c r="BE110">
        <v>2</v>
      </c>
      <c r="BF110">
        <v>0</v>
      </c>
      <c r="BG110">
        <v>0</v>
      </c>
      <c r="BH110">
        <v>0</v>
      </c>
      <c r="BI110">
        <v>0</v>
      </c>
      <c r="BJ110">
        <v>0</v>
      </c>
      <c r="BK110">
        <v>0</v>
      </c>
      <c r="BL110">
        <v>0</v>
      </c>
      <c r="BM110">
        <v>2</v>
      </c>
      <c r="BN110">
        <v>0</v>
      </c>
      <c r="BO110">
        <v>0</v>
      </c>
      <c r="BP110">
        <v>0</v>
      </c>
      <c r="BR110">
        <v>0</v>
      </c>
      <c r="BS110">
        <v>1</v>
      </c>
      <c r="BX110">
        <v>0</v>
      </c>
      <c r="BY110">
        <v>0</v>
      </c>
      <c r="BZ110">
        <v>0</v>
      </c>
      <c r="CA110">
        <v>-11.96</v>
      </c>
      <c r="CC110">
        <v>1</v>
      </c>
      <c r="CD110" s="56">
        <v>42592</v>
      </c>
      <c r="CE110" s="56">
        <v>42612</v>
      </c>
      <c r="CF110" s="56">
        <v>42612</v>
      </c>
      <c r="CG110" s="56">
        <v>42640</v>
      </c>
      <c r="CH110" s="56"/>
      <c r="CI110" s="56"/>
      <c r="CJ110">
        <v>0</v>
      </c>
      <c r="CK110">
        <v>0</v>
      </c>
      <c r="CL110">
        <v>0</v>
      </c>
      <c r="CM110">
        <v>0</v>
      </c>
      <c r="CN110">
        <v>0.71</v>
      </c>
      <c r="CO110">
        <v>0</v>
      </c>
      <c r="CP110">
        <v>0</v>
      </c>
      <c r="CQ110" t="s">
        <v>1378</v>
      </c>
      <c r="CR110" t="s">
        <v>1377</v>
      </c>
      <c r="CS110" t="s">
        <v>1451</v>
      </c>
      <c r="CT110" t="s">
        <v>1724</v>
      </c>
      <c r="CU110" t="s">
        <v>1742</v>
      </c>
      <c r="CV110" t="s">
        <v>2275</v>
      </c>
      <c r="DB110" t="s">
        <v>2265</v>
      </c>
      <c r="DE110" t="s">
        <v>1724</v>
      </c>
    </row>
    <row r="111" spans="1:109" x14ac:dyDescent="0.25">
      <c r="A111" t="s">
        <v>1378</v>
      </c>
      <c r="B111">
        <v>1</v>
      </c>
      <c r="C111" s="56">
        <v>42640</v>
      </c>
      <c r="D111" t="s">
        <v>1449</v>
      </c>
      <c r="E111" t="s">
        <v>1734</v>
      </c>
      <c r="G111" t="s">
        <v>1144</v>
      </c>
      <c r="H111" t="s">
        <v>1144</v>
      </c>
      <c r="I111" t="s">
        <v>1144</v>
      </c>
      <c r="J111" t="s">
        <v>1144</v>
      </c>
      <c r="K111" t="s">
        <v>1144</v>
      </c>
      <c r="L111">
        <v>542.45000000000005</v>
      </c>
      <c r="M111">
        <v>1056.52</v>
      </c>
      <c r="N111">
        <v>0</v>
      </c>
      <c r="O111" s="56"/>
      <c r="P111" s="56"/>
      <c r="Q111">
        <v>13718</v>
      </c>
      <c r="R111">
        <v>9</v>
      </c>
      <c r="S111">
        <v>4</v>
      </c>
      <c r="T111">
        <v>2</v>
      </c>
      <c r="U111">
        <v>2</v>
      </c>
      <c r="V111">
        <v>1</v>
      </c>
      <c r="W111" t="s">
        <v>1376</v>
      </c>
      <c r="X111" t="s">
        <v>2385</v>
      </c>
      <c r="AA111">
        <v>0.31</v>
      </c>
      <c r="AB111">
        <v>2</v>
      </c>
      <c r="AC111">
        <v>4.03</v>
      </c>
      <c r="AD111">
        <v>1.61</v>
      </c>
      <c r="AE111">
        <v>0</v>
      </c>
      <c r="AF111">
        <v>0</v>
      </c>
      <c r="AG111">
        <v>0</v>
      </c>
      <c r="AJ111" s="56"/>
      <c r="AK111" s="56">
        <v>42369</v>
      </c>
      <c r="AL111" s="56"/>
      <c r="AM111">
        <v>6</v>
      </c>
      <c r="AP111" t="s">
        <v>1450</v>
      </c>
      <c r="AS111" t="s">
        <v>1152</v>
      </c>
      <c r="AT111">
        <v>1</v>
      </c>
      <c r="AV111">
        <v>5</v>
      </c>
      <c r="AW111">
        <v>3</v>
      </c>
      <c r="AX111">
        <v>2</v>
      </c>
      <c r="AY111" t="s">
        <v>1146</v>
      </c>
      <c r="AZ111" t="s">
        <v>1146</v>
      </c>
      <c r="BA111">
        <v>6</v>
      </c>
      <c r="BD111">
        <v>1000000000</v>
      </c>
      <c r="BE111">
        <v>2</v>
      </c>
      <c r="BF111">
        <v>0.6</v>
      </c>
      <c r="BG111">
        <v>0</v>
      </c>
      <c r="BH111">
        <v>0</v>
      </c>
      <c r="BI111">
        <v>0</v>
      </c>
      <c r="BJ111">
        <v>0</v>
      </c>
      <c r="BK111">
        <v>0</v>
      </c>
      <c r="BL111">
        <v>0</v>
      </c>
      <c r="BM111">
        <v>2</v>
      </c>
      <c r="BN111">
        <v>0.6</v>
      </c>
      <c r="BO111">
        <v>0</v>
      </c>
      <c r="BP111">
        <v>0</v>
      </c>
      <c r="BR111">
        <v>3</v>
      </c>
      <c r="BS111">
        <v>3</v>
      </c>
      <c r="BX111">
        <v>0</v>
      </c>
      <c r="BY111">
        <v>0</v>
      </c>
      <c r="BZ111">
        <v>0</v>
      </c>
      <c r="CA111">
        <v>11.37</v>
      </c>
      <c r="CC111">
        <v>1</v>
      </c>
      <c r="CD111" s="56">
        <v>42619</v>
      </c>
      <c r="CE111" s="56">
        <v>42619</v>
      </c>
      <c r="CF111" s="56">
        <v>42619</v>
      </c>
      <c r="CG111" s="56">
        <v>42647</v>
      </c>
      <c r="CH111" s="56"/>
      <c r="CI111" s="56"/>
      <c r="CJ111">
        <v>0.26</v>
      </c>
      <c r="CK111">
        <v>0</v>
      </c>
      <c r="CL111">
        <v>0</v>
      </c>
      <c r="CM111">
        <v>0.5</v>
      </c>
      <c r="CN111">
        <v>0.12</v>
      </c>
      <c r="CO111">
        <v>0.04</v>
      </c>
      <c r="CP111">
        <v>0</v>
      </c>
      <c r="CQ111" t="s">
        <v>1378</v>
      </c>
      <c r="CR111" t="s">
        <v>1377</v>
      </c>
      <c r="CS111" t="s">
        <v>1451</v>
      </c>
      <c r="CT111" t="s">
        <v>1724</v>
      </c>
      <c r="CU111" t="s">
        <v>1742</v>
      </c>
      <c r="CV111" t="s">
        <v>1984</v>
      </c>
      <c r="DB111" t="s">
        <v>1978</v>
      </c>
      <c r="DE111" t="s">
        <v>1724</v>
      </c>
    </row>
    <row r="112" spans="1:109" x14ac:dyDescent="0.25">
      <c r="A112" t="s">
        <v>1378</v>
      </c>
      <c r="B112">
        <v>1</v>
      </c>
      <c r="C112" s="56">
        <v>42640</v>
      </c>
      <c r="D112" t="s">
        <v>1449</v>
      </c>
      <c r="E112" t="s">
        <v>2330</v>
      </c>
      <c r="G112" t="s">
        <v>1144</v>
      </c>
      <c r="H112" t="s">
        <v>1144</v>
      </c>
      <c r="I112" t="s">
        <v>1144</v>
      </c>
      <c r="J112" t="s">
        <v>1144</v>
      </c>
      <c r="K112" t="s">
        <v>1144</v>
      </c>
      <c r="L112">
        <v>1147.3699999999999</v>
      </c>
      <c r="M112">
        <v>2</v>
      </c>
      <c r="N112">
        <v>0</v>
      </c>
      <c r="O112" s="56"/>
      <c r="P112" s="56"/>
      <c r="Q112">
        <v>13718</v>
      </c>
      <c r="R112">
        <v>9</v>
      </c>
      <c r="S112">
        <v>4</v>
      </c>
      <c r="T112">
        <v>2</v>
      </c>
      <c r="U112">
        <v>2</v>
      </c>
      <c r="V112">
        <v>1</v>
      </c>
      <c r="W112" t="s">
        <v>1376</v>
      </c>
      <c r="X112" t="s">
        <v>2385</v>
      </c>
      <c r="AA112">
        <v>0.04</v>
      </c>
      <c r="AB112">
        <v>1</v>
      </c>
      <c r="AC112">
        <v>12.5</v>
      </c>
      <c r="AD112">
        <v>12.5</v>
      </c>
      <c r="AE112">
        <v>0</v>
      </c>
      <c r="AF112">
        <v>0</v>
      </c>
      <c r="AG112">
        <v>0</v>
      </c>
      <c r="AJ112" s="56"/>
      <c r="AK112" s="56">
        <v>42369</v>
      </c>
      <c r="AL112" s="56"/>
      <c r="AM112">
        <v>1</v>
      </c>
      <c r="AP112" t="s">
        <v>1450</v>
      </c>
      <c r="AS112" t="s">
        <v>1152</v>
      </c>
      <c r="AT112">
        <v>1</v>
      </c>
      <c r="AV112">
        <v>2</v>
      </c>
      <c r="AW112">
        <v>2</v>
      </c>
      <c r="AX112">
        <v>1</v>
      </c>
      <c r="AY112" t="s">
        <v>1145</v>
      </c>
      <c r="AZ112" t="s">
        <v>1145</v>
      </c>
      <c r="BA112">
        <v>1</v>
      </c>
      <c r="BD112">
        <v>1000000000</v>
      </c>
      <c r="BE112">
        <v>2</v>
      </c>
      <c r="BF112">
        <v>0</v>
      </c>
      <c r="BG112">
        <v>0</v>
      </c>
      <c r="BH112">
        <v>0</v>
      </c>
      <c r="BI112">
        <v>0</v>
      </c>
      <c r="BJ112">
        <v>0</v>
      </c>
      <c r="BK112">
        <v>0</v>
      </c>
      <c r="BL112">
        <v>0</v>
      </c>
      <c r="BM112">
        <v>2</v>
      </c>
      <c r="BN112">
        <v>0</v>
      </c>
      <c r="BO112">
        <v>0</v>
      </c>
      <c r="BP112">
        <v>0</v>
      </c>
      <c r="BR112">
        <v>0</v>
      </c>
      <c r="BS112">
        <v>1</v>
      </c>
      <c r="BX112">
        <v>0</v>
      </c>
      <c r="BY112">
        <v>0</v>
      </c>
      <c r="BZ112">
        <v>0</v>
      </c>
      <c r="CA112">
        <v>-11.98</v>
      </c>
      <c r="CC112">
        <v>1</v>
      </c>
      <c r="CD112" s="56">
        <v>42619</v>
      </c>
      <c r="CE112" s="56">
        <v>42619</v>
      </c>
      <c r="CF112" s="56">
        <v>42619</v>
      </c>
      <c r="CG112" s="56">
        <v>42647</v>
      </c>
      <c r="CH112" s="56"/>
      <c r="CI112" s="56"/>
      <c r="CJ112">
        <v>0</v>
      </c>
      <c r="CK112">
        <v>0</v>
      </c>
      <c r="CL112">
        <v>0</v>
      </c>
      <c r="CM112">
        <v>0</v>
      </c>
      <c r="CN112">
        <v>0.65</v>
      </c>
      <c r="CO112">
        <v>0</v>
      </c>
      <c r="CP112">
        <v>0</v>
      </c>
      <c r="CQ112" t="s">
        <v>1378</v>
      </c>
      <c r="CR112" t="s">
        <v>1377</v>
      </c>
      <c r="CS112" t="s">
        <v>1451</v>
      </c>
      <c r="CT112" t="s">
        <v>1724</v>
      </c>
      <c r="CU112" t="s">
        <v>1742</v>
      </c>
      <c r="CV112" t="s">
        <v>2331</v>
      </c>
      <c r="DB112" t="s">
        <v>2145</v>
      </c>
      <c r="DE112" t="s">
        <v>1724</v>
      </c>
    </row>
    <row r="113" spans="1:109" x14ac:dyDescent="0.25">
      <c r="A113" t="s">
        <v>1378</v>
      </c>
      <c r="B113">
        <v>1</v>
      </c>
      <c r="C113" s="56">
        <v>42640</v>
      </c>
      <c r="D113" t="s">
        <v>1449</v>
      </c>
      <c r="E113" t="s">
        <v>1474</v>
      </c>
      <c r="G113" t="s">
        <v>1144</v>
      </c>
      <c r="H113" t="s">
        <v>1144</v>
      </c>
      <c r="I113" t="s">
        <v>1144</v>
      </c>
      <c r="J113" t="s">
        <v>1144</v>
      </c>
      <c r="K113" t="s">
        <v>1144</v>
      </c>
      <c r="L113">
        <v>191.14</v>
      </c>
      <c r="M113">
        <v>2</v>
      </c>
      <c r="N113">
        <v>0</v>
      </c>
      <c r="O113" s="56"/>
      <c r="P113" s="56"/>
      <c r="Q113">
        <v>13718</v>
      </c>
      <c r="R113">
        <v>9</v>
      </c>
      <c r="S113">
        <v>4</v>
      </c>
      <c r="T113">
        <v>2</v>
      </c>
      <c r="U113">
        <v>2</v>
      </c>
      <c r="V113">
        <v>1</v>
      </c>
      <c r="W113" t="s">
        <v>2379</v>
      </c>
      <c r="X113" t="s">
        <v>2387</v>
      </c>
      <c r="AA113">
        <v>0</v>
      </c>
      <c r="AB113">
        <v>0</v>
      </c>
      <c r="AC113">
        <v>0</v>
      </c>
      <c r="AD113">
        <v>0</v>
      </c>
      <c r="AE113">
        <v>0</v>
      </c>
      <c r="AF113">
        <v>0</v>
      </c>
      <c r="AG113">
        <v>0</v>
      </c>
      <c r="AJ113" s="56"/>
      <c r="AK113" s="56">
        <v>42369</v>
      </c>
      <c r="AL113" s="56"/>
      <c r="AM113">
        <v>1</v>
      </c>
      <c r="AP113" t="s">
        <v>1450</v>
      </c>
      <c r="AS113" t="s">
        <v>1152</v>
      </c>
      <c r="AT113">
        <v>1</v>
      </c>
      <c r="AV113">
        <v>2</v>
      </c>
      <c r="AW113">
        <v>2</v>
      </c>
      <c r="AX113">
        <v>1</v>
      </c>
      <c r="AY113" t="s">
        <v>1145</v>
      </c>
      <c r="AZ113" t="s">
        <v>1145</v>
      </c>
      <c r="BA113">
        <v>1</v>
      </c>
      <c r="BD113">
        <v>1000000000</v>
      </c>
      <c r="BE113">
        <v>2</v>
      </c>
      <c r="BF113">
        <v>0</v>
      </c>
      <c r="BG113">
        <v>0</v>
      </c>
      <c r="BH113">
        <v>0</v>
      </c>
      <c r="BI113">
        <v>0</v>
      </c>
      <c r="BJ113">
        <v>0</v>
      </c>
      <c r="BK113">
        <v>0</v>
      </c>
      <c r="BL113">
        <v>0</v>
      </c>
      <c r="BM113">
        <v>2</v>
      </c>
      <c r="BN113">
        <v>0</v>
      </c>
      <c r="BO113">
        <v>0</v>
      </c>
      <c r="BP113">
        <v>0</v>
      </c>
      <c r="BR113">
        <v>0</v>
      </c>
      <c r="BS113">
        <v>1</v>
      </c>
      <c r="BX113">
        <v>0</v>
      </c>
      <c r="BY113">
        <v>0</v>
      </c>
      <c r="BZ113">
        <v>0</v>
      </c>
      <c r="CA113">
        <v>-11.87</v>
      </c>
      <c r="CC113">
        <v>1</v>
      </c>
      <c r="CD113" s="56">
        <v>42592</v>
      </c>
      <c r="CE113" s="56">
        <v>42612</v>
      </c>
      <c r="CF113" s="56">
        <v>42612</v>
      </c>
      <c r="CG113" s="56">
        <v>42640</v>
      </c>
      <c r="CH113" s="56"/>
      <c r="CI113" s="56"/>
      <c r="CJ113">
        <v>0</v>
      </c>
      <c r="CK113">
        <v>0</v>
      </c>
      <c r="CL113">
        <v>0</v>
      </c>
      <c r="CM113">
        <v>0</v>
      </c>
      <c r="CN113">
        <v>0.71</v>
      </c>
      <c r="CO113">
        <v>0</v>
      </c>
      <c r="CP113">
        <v>0</v>
      </c>
      <c r="CQ113" t="s">
        <v>1378</v>
      </c>
      <c r="CR113" t="s">
        <v>1377</v>
      </c>
      <c r="CS113" t="s">
        <v>1451</v>
      </c>
      <c r="CT113" t="s">
        <v>1724</v>
      </c>
      <c r="CU113" t="s">
        <v>1742</v>
      </c>
      <c r="CV113" t="s">
        <v>2030</v>
      </c>
      <c r="DB113" t="s">
        <v>2014</v>
      </c>
      <c r="DE113" t="s">
        <v>1724</v>
      </c>
    </row>
    <row r="114" spans="1:109" x14ac:dyDescent="0.25">
      <c r="A114" t="s">
        <v>1378</v>
      </c>
      <c r="B114">
        <v>1</v>
      </c>
      <c r="C114" s="56">
        <v>42640</v>
      </c>
      <c r="D114" t="s">
        <v>1449</v>
      </c>
      <c r="E114" t="s">
        <v>1499</v>
      </c>
      <c r="G114" t="s">
        <v>1144</v>
      </c>
      <c r="H114" t="s">
        <v>1144</v>
      </c>
      <c r="I114" t="s">
        <v>1144</v>
      </c>
      <c r="J114" t="s">
        <v>1144</v>
      </c>
      <c r="K114" t="s">
        <v>1144</v>
      </c>
      <c r="L114">
        <v>193.86</v>
      </c>
      <c r="M114">
        <v>2</v>
      </c>
      <c r="N114">
        <v>0</v>
      </c>
      <c r="O114" s="56"/>
      <c r="P114" s="56"/>
      <c r="Q114">
        <v>13718</v>
      </c>
      <c r="R114">
        <v>9</v>
      </c>
      <c r="S114">
        <v>4</v>
      </c>
      <c r="T114">
        <v>2</v>
      </c>
      <c r="U114">
        <v>2</v>
      </c>
      <c r="V114">
        <v>1</v>
      </c>
      <c r="X114" t="s">
        <v>2385</v>
      </c>
      <c r="AA114">
        <v>0</v>
      </c>
      <c r="AB114">
        <v>0</v>
      </c>
      <c r="AC114">
        <v>0</v>
      </c>
      <c r="AD114">
        <v>0</v>
      </c>
      <c r="AE114">
        <v>0</v>
      </c>
      <c r="AF114">
        <v>0</v>
      </c>
      <c r="AG114">
        <v>0</v>
      </c>
      <c r="AJ114" s="56"/>
      <c r="AK114" s="56"/>
      <c r="AL114" s="56"/>
      <c r="AP114" t="s">
        <v>1450</v>
      </c>
      <c r="AS114" t="s">
        <v>1152</v>
      </c>
      <c r="AT114">
        <v>1</v>
      </c>
      <c r="AV114">
        <v>0</v>
      </c>
      <c r="AW114">
        <v>0</v>
      </c>
      <c r="AX114">
        <v>0</v>
      </c>
      <c r="AY114" t="s">
        <v>1375</v>
      </c>
      <c r="AZ114" t="s">
        <v>1375</v>
      </c>
      <c r="BA114">
        <v>4</v>
      </c>
      <c r="BD114">
        <v>1000000000</v>
      </c>
      <c r="BE114">
        <v>0</v>
      </c>
      <c r="BF114">
        <v>0</v>
      </c>
      <c r="BG114">
        <v>0</v>
      </c>
      <c r="BH114">
        <v>0</v>
      </c>
      <c r="BI114">
        <v>0</v>
      </c>
      <c r="BJ114">
        <v>0</v>
      </c>
      <c r="BK114">
        <v>0</v>
      </c>
      <c r="BL114">
        <v>0</v>
      </c>
      <c r="BM114">
        <v>0</v>
      </c>
      <c r="BN114">
        <v>0</v>
      </c>
      <c r="BO114">
        <v>0</v>
      </c>
      <c r="BP114">
        <v>0</v>
      </c>
      <c r="BR114">
        <v>0</v>
      </c>
      <c r="BS114">
        <v>0</v>
      </c>
      <c r="BX114">
        <v>0</v>
      </c>
      <c r="BY114">
        <v>0</v>
      </c>
      <c r="BZ114">
        <v>0</v>
      </c>
      <c r="CA114">
        <v>0</v>
      </c>
      <c r="CC114">
        <v>1</v>
      </c>
      <c r="CD114" s="56">
        <v>42619</v>
      </c>
      <c r="CE114" s="56">
        <v>42619</v>
      </c>
      <c r="CF114" s="56">
        <v>42619</v>
      </c>
      <c r="CG114" s="56">
        <v>42647</v>
      </c>
      <c r="CH114" s="56"/>
      <c r="CI114" s="56"/>
      <c r="CJ114">
        <v>1</v>
      </c>
      <c r="CK114">
        <v>0</v>
      </c>
      <c r="CL114">
        <v>0.65</v>
      </c>
      <c r="CM114">
        <v>0</v>
      </c>
      <c r="CN114">
        <v>0</v>
      </c>
      <c r="CO114">
        <v>0</v>
      </c>
      <c r="CP114">
        <v>0</v>
      </c>
      <c r="CQ114" t="s">
        <v>1378</v>
      </c>
      <c r="CR114" t="s">
        <v>1377</v>
      </c>
      <c r="CS114" t="s">
        <v>1451</v>
      </c>
      <c r="CT114" t="s">
        <v>1724</v>
      </c>
      <c r="CU114" t="s">
        <v>1742</v>
      </c>
      <c r="CV114" t="s">
        <v>2377</v>
      </c>
      <c r="DB114" t="s">
        <v>2378</v>
      </c>
      <c r="DE114" t="s">
        <v>1724</v>
      </c>
    </row>
    <row r="115" spans="1:109" x14ac:dyDescent="0.25">
      <c r="A115" t="s">
        <v>1378</v>
      </c>
      <c r="B115">
        <v>1</v>
      </c>
      <c r="C115" s="56">
        <v>42640</v>
      </c>
      <c r="D115" t="s">
        <v>1449</v>
      </c>
      <c r="E115" t="s">
        <v>2082</v>
      </c>
      <c r="G115" t="s">
        <v>1144</v>
      </c>
      <c r="H115" t="s">
        <v>1144</v>
      </c>
      <c r="I115" t="s">
        <v>1144</v>
      </c>
      <c r="J115" t="s">
        <v>1144</v>
      </c>
      <c r="K115" t="s">
        <v>1144</v>
      </c>
      <c r="L115">
        <v>121.64</v>
      </c>
      <c r="M115">
        <v>293.95</v>
      </c>
      <c r="N115">
        <v>0</v>
      </c>
      <c r="O115" s="56"/>
      <c r="P115" s="56"/>
      <c r="Q115">
        <v>13718</v>
      </c>
      <c r="R115">
        <v>9</v>
      </c>
      <c r="S115">
        <v>4</v>
      </c>
      <c r="T115">
        <v>2</v>
      </c>
      <c r="U115">
        <v>2</v>
      </c>
      <c r="V115">
        <v>1</v>
      </c>
      <c r="W115" t="s">
        <v>1376</v>
      </c>
      <c r="X115" t="s">
        <v>2385</v>
      </c>
      <c r="AA115">
        <v>0.55000000000000004</v>
      </c>
      <c r="AB115">
        <v>4</v>
      </c>
      <c r="AC115">
        <v>1.36</v>
      </c>
      <c r="AD115">
        <v>1.36</v>
      </c>
      <c r="AE115">
        <v>0</v>
      </c>
      <c r="AF115">
        <v>0</v>
      </c>
      <c r="AG115">
        <v>0</v>
      </c>
      <c r="AJ115" s="56"/>
      <c r="AK115" s="56">
        <v>42369</v>
      </c>
      <c r="AL115" s="56"/>
      <c r="AM115">
        <v>5</v>
      </c>
      <c r="AP115" t="s">
        <v>1450</v>
      </c>
      <c r="AS115" t="s">
        <v>1152</v>
      </c>
      <c r="AT115">
        <v>1</v>
      </c>
      <c r="AV115">
        <v>3</v>
      </c>
      <c r="AW115">
        <v>2</v>
      </c>
      <c r="AX115">
        <v>1</v>
      </c>
      <c r="AY115" t="s">
        <v>1148</v>
      </c>
      <c r="AZ115" t="s">
        <v>1148</v>
      </c>
      <c r="BA115">
        <v>5</v>
      </c>
      <c r="BD115">
        <v>1000000000</v>
      </c>
      <c r="BE115">
        <v>3</v>
      </c>
      <c r="BF115">
        <v>0</v>
      </c>
      <c r="BG115">
        <v>0</v>
      </c>
      <c r="BH115">
        <v>0</v>
      </c>
      <c r="BI115">
        <v>0</v>
      </c>
      <c r="BJ115">
        <v>0</v>
      </c>
      <c r="BK115">
        <v>0</v>
      </c>
      <c r="BL115">
        <v>0</v>
      </c>
      <c r="BM115">
        <v>3</v>
      </c>
      <c r="BN115">
        <v>0</v>
      </c>
      <c r="BO115">
        <v>0</v>
      </c>
      <c r="BP115">
        <v>0</v>
      </c>
      <c r="BR115">
        <v>0</v>
      </c>
      <c r="BS115">
        <v>2</v>
      </c>
      <c r="BX115">
        <v>0</v>
      </c>
      <c r="BY115">
        <v>0</v>
      </c>
      <c r="BZ115">
        <v>0</v>
      </c>
      <c r="CA115">
        <v>17</v>
      </c>
      <c r="CC115">
        <v>1</v>
      </c>
      <c r="CD115" s="56">
        <v>42619</v>
      </c>
      <c r="CE115" s="56">
        <v>42619</v>
      </c>
      <c r="CF115" s="56">
        <v>42619</v>
      </c>
      <c r="CG115" s="56">
        <v>42647</v>
      </c>
      <c r="CH115" s="56"/>
      <c r="CI115" s="56"/>
      <c r="CJ115">
        <v>0.14000000000000001</v>
      </c>
      <c r="CK115">
        <v>0</v>
      </c>
      <c r="CL115">
        <v>0</v>
      </c>
      <c r="CM115">
        <v>0</v>
      </c>
      <c r="CN115">
        <v>0</v>
      </c>
      <c r="CO115">
        <v>0.5</v>
      </c>
      <c r="CP115">
        <v>0.15</v>
      </c>
      <c r="CQ115" t="s">
        <v>1378</v>
      </c>
      <c r="CR115" t="s">
        <v>1377</v>
      </c>
      <c r="CS115" t="s">
        <v>1451</v>
      </c>
      <c r="CT115" t="s">
        <v>1724</v>
      </c>
      <c r="CU115" t="s">
        <v>1742</v>
      </c>
      <c r="CV115" t="s">
        <v>2083</v>
      </c>
      <c r="DB115" t="s">
        <v>2059</v>
      </c>
      <c r="DE115" t="s">
        <v>1724</v>
      </c>
    </row>
    <row r="116" spans="1:109" x14ac:dyDescent="0.25">
      <c r="A116" t="s">
        <v>1378</v>
      </c>
      <c r="B116">
        <v>1</v>
      </c>
      <c r="C116" s="56">
        <v>42640</v>
      </c>
      <c r="D116" t="s">
        <v>1449</v>
      </c>
      <c r="E116" t="s">
        <v>1380</v>
      </c>
      <c r="G116" t="s">
        <v>1144</v>
      </c>
      <c r="H116" t="s">
        <v>1144</v>
      </c>
      <c r="I116" t="s">
        <v>1144</v>
      </c>
      <c r="J116" t="s">
        <v>1144</v>
      </c>
      <c r="K116" t="s">
        <v>1144</v>
      </c>
      <c r="L116">
        <v>201.31</v>
      </c>
      <c r="M116">
        <v>361.16</v>
      </c>
      <c r="N116">
        <v>0</v>
      </c>
      <c r="O116" s="56"/>
      <c r="P116" s="56"/>
      <c r="Q116">
        <v>13718</v>
      </c>
      <c r="R116">
        <v>9</v>
      </c>
      <c r="S116">
        <v>4</v>
      </c>
      <c r="T116">
        <v>2</v>
      </c>
      <c r="U116">
        <v>2</v>
      </c>
      <c r="V116">
        <v>1</v>
      </c>
      <c r="X116" t="s">
        <v>2385</v>
      </c>
      <c r="AA116">
        <v>0.08</v>
      </c>
      <c r="AB116">
        <v>1</v>
      </c>
      <c r="AC116">
        <v>9.3800000000000008</v>
      </c>
      <c r="AD116">
        <v>25</v>
      </c>
      <c r="AE116">
        <v>0</v>
      </c>
      <c r="AF116">
        <v>0</v>
      </c>
      <c r="AG116">
        <v>0</v>
      </c>
      <c r="AJ116" s="56">
        <v>42666</v>
      </c>
      <c r="AK116" s="56"/>
      <c r="AL116" s="56">
        <v>42322</v>
      </c>
      <c r="AM116">
        <v>5</v>
      </c>
      <c r="AP116" t="s">
        <v>1450</v>
      </c>
      <c r="AS116" t="s">
        <v>1152</v>
      </c>
      <c r="AT116">
        <v>1</v>
      </c>
      <c r="AV116">
        <v>3</v>
      </c>
      <c r="AW116">
        <v>2</v>
      </c>
      <c r="AX116">
        <v>1</v>
      </c>
      <c r="AY116" t="s">
        <v>1147</v>
      </c>
      <c r="AZ116" t="s">
        <v>1147</v>
      </c>
      <c r="BA116">
        <v>5</v>
      </c>
      <c r="BD116">
        <v>1000000000</v>
      </c>
      <c r="BE116">
        <v>8</v>
      </c>
      <c r="BF116">
        <v>-1.67</v>
      </c>
      <c r="BG116">
        <v>0</v>
      </c>
      <c r="BH116">
        <v>0</v>
      </c>
      <c r="BI116">
        <v>0</v>
      </c>
      <c r="BJ116">
        <v>0</v>
      </c>
      <c r="BK116">
        <v>0</v>
      </c>
      <c r="BL116">
        <v>0</v>
      </c>
      <c r="BM116">
        <v>8</v>
      </c>
      <c r="BN116">
        <v>-1.67</v>
      </c>
      <c r="BO116">
        <v>0</v>
      </c>
      <c r="BP116">
        <v>0</v>
      </c>
      <c r="BR116">
        <v>0</v>
      </c>
      <c r="BS116">
        <v>2</v>
      </c>
      <c r="BX116">
        <v>0</v>
      </c>
      <c r="BY116">
        <v>1006.55</v>
      </c>
      <c r="BZ116">
        <v>0</v>
      </c>
      <c r="CA116">
        <v>9.5299999999999994</v>
      </c>
      <c r="CC116">
        <v>1</v>
      </c>
      <c r="CD116" s="56">
        <v>42619</v>
      </c>
      <c r="CE116" s="56">
        <v>42619</v>
      </c>
      <c r="CF116" s="56">
        <v>42619</v>
      </c>
      <c r="CG116" s="56">
        <v>42647</v>
      </c>
      <c r="CH116" s="56"/>
      <c r="CI116" s="56"/>
      <c r="CJ116">
        <v>0</v>
      </c>
      <c r="CK116">
        <v>0</v>
      </c>
      <c r="CL116">
        <v>0</v>
      </c>
      <c r="CM116">
        <v>0</v>
      </c>
      <c r="CN116">
        <v>0</v>
      </c>
      <c r="CO116">
        <v>0</v>
      </c>
      <c r="CP116">
        <v>0.65</v>
      </c>
      <c r="CQ116" t="s">
        <v>1378</v>
      </c>
      <c r="CR116" t="s">
        <v>1377</v>
      </c>
      <c r="CS116" t="s">
        <v>1451</v>
      </c>
      <c r="CT116" t="s">
        <v>1724</v>
      </c>
      <c r="CU116" t="s">
        <v>1742</v>
      </c>
      <c r="CV116" t="s">
        <v>1775</v>
      </c>
      <c r="DB116" t="s">
        <v>1762</v>
      </c>
      <c r="DE116" t="s">
        <v>1724</v>
      </c>
    </row>
    <row r="117" spans="1:109" x14ac:dyDescent="0.25">
      <c r="A117" t="s">
        <v>1378</v>
      </c>
      <c r="B117">
        <v>1</v>
      </c>
      <c r="C117" s="56">
        <v>42640</v>
      </c>
      <c r="D117" t="s">
        <v>1449</v>
      </c>
      <c r="E117" t="s">
        <v>2138</v>
      </c>
      <c r="G117" t="s">
        <v>1144</v>
      </c>
      <c r="H117" t="s">
        <v>1144</v>
      </c>
      <c r="I117" t="s">
        <v>1144</v>
      </c>
      <c r="J117" t="s">
        <v>1144</v>
      </c>
      <c r="K117" t="s">
        <v>1144</v>
      </c>
      <c r="L117">
        <v>343.15</v>
      </c>
      <c r="M117">
        <v>2</v>
      </c>
      <c r="N117">
        <v>0</v>
      </c>
      <c r="O117" s="56"/>
      <c r="P117" s="56"/>
      <c r="Q117">
        <v>13718</v>
      </c>
      <c r="R117">
        <v>9</v>
      </c>
      <c r="S117">
        <v>4</v>
      </c>
      <c r="T117">
        <v>2</v>
      </c>
      <c r="U117">
        <v>2</v>
      </c>
      <c r="V117">
        <v>1</v>
      </c>
      <c r="X117" t="s">
        <v>2386</v>
      </c>
      <c r="AA117">
        <v>0</v>
      </c>
      <c r="AB117">
        <v>0</v>
      </c>
      <c r="AC117">
        <v>0</v>
      </c>
      <c r="AD117">
        <v>0</v>
      </c>
      <c r="AE117">
        <v>0</v>
      </c>
      <c r="AF117">
        <v>0</v>
      </c>
      <c r="AG117">
        <v>0</v>
      </c>
      <c r="AJ117" s="56"/>
      <c r="AK117" s="56">
        <v>42369</v>
      </c>
      <c r="AL117" s="56"/>
      <c r="AM117">
        <v>1</v>
      </c>
      <c r="AP117" t="s">
        <v>1450</v>
      </c>
      <c r="AS117" t="s">
        <v>1152</v>
      </c>
      <c r="AT117">
        <v>1</v>
      </c>
      <c r="AV117">
        <v>1</v>
      </c>
      <c r="AW117">
        <v>1</v>
      </c>
      <c r="AX117">
        <v>0.5</v>
      </c>
      <c r="AY117" t="s">
        <v>1147</v>
      </c>
      <c r="AZ117" t="s">
        <v>1147</v>
      </c>
      <c r="BA117">
        <v>1</v>
      </c>
      <c r="BD117">
        <v>1000000000</v>
      </c>
      <c r="BE117">
        <v>2</v>
      </c>
      <c r="BF117">
        <v>-1</v>
      </c>
      <c r="BG117">
        <v>0</v>
      </c>
      <c r="BH117">
        <v>0</v>
      </c>
      <c r="BI117">
        <v>0</v>
      </c>
      <c r="BJ117">
        <v>0</v>
      </c>
      <c r="BK117">
        <v>0</v>
      </c>
      <c r="BL117">
        <v>0</v>
      </c>
      <c r="BM117">
        <v>2</v>
      </c>
      <c r="BN117">
        <v>-1</v>
      </c>
      <c r="BO117">
        <v>0</v>
      </c>
      <c r="BP117">
        <v>0</v>
      </c>
      <c r="BR117">
        <v>0</v>
      </c>
      <c r="BS117">
        <v>1</v>
      </c>
      <c r="BX117">
        <v>0</v>
      </c>
      <c r="BY117">
        <v>343.15</v>
      </c>
      <c r="BZ117">
        <v>0</v>
      </c>
      <c r="CA117">
        <v>-11.93</v>
      </c>
      <c r="CC117">
        <v>1</v>
      </c>
      <c r="CD117" s="56">
        <v>42593</v>
      </c>
      <c r="CE117" s="56">
        <v>42612</v>
      </c>
      <c r="CF117" s="56">
        <v>42612</v>
      </c>
      <c r="CG117" s="56">
        <v>42640</v>
      </c>
      <c r="CH117" s="56"/>
      <c r="CI117" s="56"/>
      <c r="CJ117">
        <v>0</v>
      </c>
      <c r="CK117">
        <v>0</v>
      </c>
      <c r="CL117">
        <v>0</v>
      </c>
      <c r="CM117">
        <v>0</v>
      </c>
      <c r="CN117">
        <v>0</v>
      </c>
      <c r="CO117">
        <v>0</v>
      </c>
      <c r="CP117">
        <v>0.71</v>
      </c>
      <c r="CQ117" t="s">
        <v>1378</v>
      </c>
      <c r="CR117" t="s">
        <v>1377</v>
      </c>
      <c r="CS117" t="s">
        <v>1451</v>
      </c>
      <c r="CT117" t="s">
        <v>1724</v>
      </c>
      <c r="CU117" t="s">
        <v>1742</v>
      </c>
      <c r="CV117" t="s">
        <v>2139</v>
      </c>
      <c r="DB117" t="s">
        <v>2134</v>
      </c>
      <c r="DE117" t="s">
        <v>1724</v>
      </c>
    </row>
    <row r="118" spans="1:109" x14ac:dyDescent="0.25">
      <c r="A118" t="s">
        <v>1378</v>
      </c>
      <c r="B118">
        <v>1</v>
      </c>
      <c r="C118" s="56">
        <v>42640</v>
      </c>
      <c r="D118" t="s">
        <v>1449</v>
      </c>
      <c r="E118" t="s">
        <v>1388</v>
      </c>
      <c r="G118" t="s">
        <v>1144</v>
      </c>
      <c r="H118" t="s">
        <v>1144</v>
      </c>
      <c r="I118" t="s">
        <v>1144</v>
      </c>
      <c r="J118" t="s">
        <v>1144</v>
      </c>
      <c r="K118" t="s">
        <v>1144</v>
      </c>
      <c r="L118">
        <v>1109.06</v>
      </c>
      <c r="M118">
        <v>2032.14</v>
      </c>
      <c r="N118">
        <v>0</v>
      </c>
      <c r="O118" s="56"/>
      <c r="P118" s="56"/>
      <c r="Q118">
        <v>13718</v>
      </c>
      <c r="R118">
        <v>9</v>
      </c>
      <c r="S118">
        <v>4</v>
      </c>
      <c r="T118">
        <v>2</v>
      </c>
      <c r="U118">
        <v>2</v>
      </c>
      <c r="V118">
        <v>1</v>
      </c>
      <c r="W118" t="s">
        <v>1376</v>
      </c>
      <c r="X118" t="s">
        <v>2385</v>
      </c>
      <c r="AA118">
        <v>0.04</v>
      </c>
      <c r="AB118">
        <v>1</v>
      </c>
      <c r="AC118">
        <v>18.75</v>
      </c>
      <c r="AD118">
        <v>12.5</v>
      </c>
      <c r="AE118">
        <v>0</v>
      </c>
      <c r="AF118">
        <v>0</v>
      </c>
      <c r="AG118">
        <v>0</v>
      </c>
      <c r="AJ118" s="56">
        <v>42666</v>
      </c>
      <c r="AK118" s="56">
        <v>42369</v>
      </c>
      <c r="AL118" s="56">
        <v>42322</v>
      </c>
      <c r="AM118">
        <v>5</v>
      </c>
      <c r="AP118" t="s">
        <v>1450</v>
      </c>
      <c r="AS118" t="s">
        <v>1152</v>
      </c>
      <c r="AT118">
        <v>1</v>
      </c>
      <c r="AV118">
        <v>3</v>
      </c>
      <c r="AW118">
        <v>2</v>
      </c>
      <c r="AX118">
        <v>1</v>
      </c>
      <c r="AY118" t="s">
        <v>1145</v>
      </c>
      <c r="AZ118" t="s">
        <v>1145</v>
      </c>
      <c r="BA118">
        <v>5</v>
      </c>
      <c r="BD118">
        <v>1000000000</v>
      </c>
      <c r="BE118">
        <v>2</v>
      </c>
      <c r="BF118">
        <v>0.33</v>
      </c>
      <c r="BG118">
        <v>0</v>
      </c>
      <c r="BH118">
        <v>0</v>
      </c>
      <c r="BI118">
        <v>0</v>
      </c>
      <c r="BJ118">
        <v>0</v>
      </c>
      <c r="BK118">
        <v>0</v>
      </c>
      <c r="BL118">
        <v>0</v>
      </c>
      <c r="BM118">
        <v>2</v>
      </c>
      <c r="BN118">
        <v>0.33</v>
      </c>
      <c r="BO118">
        <v>0</v>
      </c>
      <c r="BP118">
        <v>0</v>
      </c>
      <c r="BR118">
        <v>1</v>
      </c>
      <c r="BS118">
        <v>2</v>
      </c>
      <c r="BX118">
        <v>0</v>
      </c>
      <c r="BY118">
        <v>0</v>
      </c>
      <c r="BZ118">
        <v>0</v>
      </c>
      <c r="CA118">
        <v>9.99</v>
      </c>
      <c r="CC118">
        <v>1</v>
      </c>
      <c r="CD118" s="56">
        <v>42619</v>
      </c>
      <c r="CE118" s="56">
        <v>42619</v>
      </c>
      <c r="CF118" s="56">
        <v>42619</v>
      </c>
      <c r="CG118" s="56">
        <v>42647</v>
      </c>
      <c r="CH118" s="56"/>
      <c r="CI118" s="56"/>
      <c r="CJ118">
        <v>0</v>
      </c>
      <c r="CK118">
        <v>0</v>
      </c>
      <c r="CL118">
        <v>0</v>
      </c>
      <c r="CM118">
        <v>0</v>
      </c>
      <c r="CN118">
        <v>0.65</v>
      </c>
      <c r="CO118">
        <v>0</v>
      </c>
      <c r="CP118">
        <v>0</v>
      </c>
      <c r="CQ118" t="s">
        <v>1378</v>
      </c>
      <c r="CR118" t="s">
        <v>1377</v>
      </c>
      <c r="CS118" t="s">
        <v>1451</v>
      </c>
      <c r="CT118" t="s">
        <v>1724</v>
      </c>
      <c r="CU118" t="s">
        <v>1742</v>
      </c>
      <c r="CV118" t="s">
        <v>1823</v>
      </c>
      <c r="DB118" t="s">
        <v>1794</v>
      </c>
      <c r="DE118" t="s">
        <v>1724</v>
      </c>
    </row>
    <row r="119" spans="1:109" x14ac:dyDescent="0.25">
      <c r="A119" t="s">
        <v>1378</v>
      </c>
      <c r="B119">
        <v>1</v>
      </c>
      <c r="C119" s="56">
        <v>42640</v>
      </c>
      <c r="D119" t="s">
        <v>1449</v>
      </c>
      <c r="E119" t="s">
        <v>2177</v>
      </c>
      <c r="G119" t="s">
        <v>1144</v>
      </c>
      <c r="H119" t="s">
        <v>1144</v>
      </c>
      <c r="I119" t="s">
        <v>1144</v>
      </c>
      <c r="J119" t="s">
        <v>1144</v>
      </c>
      <c r="K119" t="s">
        <v>1144</v>
      </c>
      <c r="L119">
        <v>450.66</v>
      </c>
      <c r="M119">
        <v>2</v>
      </c>
      <c r="N119">
        <v>0</v>
      </c>
      <c r="O119" s="56"/>
      <c r="P119" s="56"/>
      <c r="Q119">
        <v>13718</v>
      </c>
      <c r="R119">
        <v>9</v>
      </c>
      <c r="S119">
        <v>4</v>
      </c>
      <c r="T119">
        <v>2</v>
      </c>
      <c r="U119">
        <v>2</v>
      </c>
      <c r="V119">
        <v>1</v>
      </c>
      <c r="X119" t="s">
        <v>2386</v>
      </c>
      <c r="AA119">
        <v>0</v>
      </c>
      <c r="AB119">
        <v>0</v>
      </c>
      <c r="AC119">
        <v>0</v>
      </c>
      <c r="AD119">
        <v>0</v>
      </c>
      <c r="AE119">
        <v>0</v>
      </c>
      <c r="AF119">
        <v>0</v>
      </c>
      <c r="AG119">
        <v>0</v>
      </c>
      <c r="AJ119" s="56"/>
      <c r="AK119" s="56">
        <v>42369</v>
      </c>
      <c r="AL119" s="56"/>
      <c r="AM119">
        <v>1</v>
      </c>
      <c r="AP119" t="s">
        <v>1450</v>
      </c>
      <c r="AS119" t="s">
        <v>1152</v>
      </c>
      <c r="AT119">
        <v>1</v>
      </c>
      <c r="AV119">
        <v>1</v>
      </c>
      <c r="AW119">
        <v>1</v>
      </c>
      <c r="AX119">
        <v>0.5</v>
      </c>
      <c r="AY119" t="s">
        <v>1147</v>
      </c>
      <c r="AZ119" t="s">
        <v>1147</v>
      </c>
      <c r="BA119">
        <v>1</v>
      </c>
      <c r="BD119">
        <v>1000000000</v>
      </c>
      <c r="BE119">
        <v>2</v>
      </c>
      <c r="BF119">
        <v>-1</v>
      </c>
      <c r="BG119">
        <v>0</v>
      </c>
      <c r="BH119">
        <v>0</v>
      </c>
      <c r="BI119">
        <v>0</v>
      </c>
      <c r="BJ119">
        <v>0</v>
      </c>
      <c r="BK119">
        <v>0</v>
      </c>
      <c r="BL119">
        <v>0</v>
      </c>
      <c r="BM119">
        <v>2</v>
      </c>
      <c r="BN119">
        <v>-1</v>
      </c>
      <c r="BO119">
        <v>0</v>
      </c>
      <c r="BP119">
        <v>0</v>
      </c>
      <c r="BR119">
        <v>0</v>
      </c>
      <c r="BS119">
        <v>1</v>
      </c>
      <c r="BX119">
        <v>0</v>
      </c>
      <c r="BY119">
        <v>450.66</v>
      </c>
      <c r="BZ119">
        <v>0</v>
      </c>
      <c r="CA119">
        <v>-11.95</v>
      </c>
      <c r="CC119">
        <v>1</v>
      </c>
      <c r="CD119" s="56">
        <v>42593</v>
      </c>
      <c r="CE119" s="56">
        <v>42612</v>
      </c>
      <c r="CF119" s="56">
        <v>42612</v>
      </c>
      <c r="CG119" s="56">
        <v>42640</v>
      </c>
      <c r="CH119" s="56"/>
      <c r="CI119" s="56"/>
      <c r="CJ119">
        <v>0</v>
      </c>
      <c r="CK119">
        <v>0</v>
      </c>
      <c r="CL119">
        <v>0</v>
      </c>
      <c r="CM119">
        <v>0</v>
      </c>
      <c r="CN119">
        <v>0</v>
      </c>
      <c r="CO119">
        <v>0</v>
      </c>
      <c r="CP119">
        <v>0.71</v>
      </c>
      <c r="CQ119" t="s">
        <v>1378</v>
      </c>
      <c r="CR119" t="s">
        <v>1377</v>
      </c>
      <c r="CS119" t="s">
        <v>1451</v>
      </c>
      <c r="CT119" t="s">
        <v>1724</v>
      </c>
      <c r="CU119" t="s">
        <v>1742</v>
      </c>
      <c r="CV119" t="s">
        <v>2178</v>
      </c>
      <c r="DB119" t="s">
        <v>2161</v>
      </c>
      <c r="DE119" t="s">
        <v>1724</v>
      </c>
    </row>
    <row r="120" spans="1:109" x14ac:dyDescent="0.25">
      <c r="A120" t="s">
        <v>1378</v>
      </c>
      <c r="B120">
        <v>1</v>
      </c>
      <c r="C120" s="56">
        <v>42640</v>
      </c>
      <c r="D120" t="s">
        <v>1449</v>
      </c>
      <c r="E120" t="s">
        <v>2314</v>
      </c>
      <c r="G120" t="s">
        <v>1144</v>
      </c>
      <c r="H120" t="s">
        <v>1144</v>
      </c>
      <c r="I120" t="s">
        <v>1144</v>
      </c>
      <c r="J120" t="s">
        <v>1144</v>
      </c>
      <c r="K120" t="s">
        <v>1144</v>
      </c>
      <c r="L120">
        <v>415.33</v>
      </c>
      <c r="M120">
        <v>2</v>
      </c>
      <c r="N120">
        <v>0</v>
      </c>
      <c r="O120" s="56"/>
      <c r="P120" s="56"/>
      <c r="Q120">
        <v>13718</v>
      </c>
      <c r="R120">
        <v>9</v>
      </c>
      <c r="S120">
        <v>4</v>
      </c>
      <c r="T120">
        <v>2</v>
      </c>
      <c r="U120">
        <v>2</v>
      </c>
      <c r="V120">
        <v>1</v>
      </c>
      <c r="W120" t="s">
        <v>1376</v>
      </c>
      <c r="X120" t="s">
        <v>2385</v>
      </c>
      <c r="AA120">
        <v>0</v>
      </c>
      <c r="AB120">
        <v>0</v>
      </c>
      <c r="AC120">
        <v>0</v>
      </c>
      <c r="AD120">
        <v>0</v>
      </c>
      <c r="AE120">
        <v>0</v>
      </c>
      <c r="AF120">
        <v>0</v>
      </c>
      <c r="AG120">
        <v>0</v>
      </c>
      <c r="AJ120" s="56"/>
      <c r="AK120" s="56"/>
      <c r="AL120" s="56"/>
      <c r="AM120">
        <v>1</v>
      </c>
      <c r="AP120" t="s">
        <v>1450</v>
      </c>
      <c r="AS120" t="s">
        <v>1152</v>
      </c>
      <c r="AT120">
        <v>1</v>
      </c>
      <c r="AV120">
        <v>2</v>
      </c>
      <c r="AW120">
        <v>2</v>
      </c>
      <c r="AX120">
        <v>1</v>
      </c>
      <c r="AY120" t="s">
        <v>1145</v>
      </c>
      <c r="AZ120" t="s">
        <v>1145</v>
      </c>
      <c r="BA120">
        <v>1</v>
      </c>
      <c r="BD120">
        <v>1000000000</v>
      </c>
      <c r="BE120">
        <v>2</v>
      </c>
      <c r="BF120">
        <v>0</v>
      </c>
      <c r="BG120">
        <v>0</v>
      </c>
      <c r="BH120">
        <v>0</v>
      </c>
      <c r="BI120">
        <v>0</v>
      </c>
      <c r="BJ120">
        <v>0</v>
      </c>
      <c r="BK120">
        <v>0</v>
      </c>
      <c r="BL120">
        <v>0</v>
      </c>
      <c r="BM120">
        <v>2</v>
      </c>
      <c r="BN120">
        <v>0</v>
      </c>
      <c r="BO120">
        <v>0</v>
      </c>
      <c r="BP120">
        <v>0</v>
      </c>
      <c r="BR120">
        <v>0</v>
      </c>
      <c r="BS120">
        <v>1</v>
      </c>
      <c r="BX120">
        <v>0</v>
      </c>
      <c r="BY120">
        <v>0</v>
      </c>
      <c r="BZ120">
        <v>0</v>
      </c>
      <c r="CA120">
        <v>-11.94</v>
      </c>
      <c r="CC120">
        <v>1</v>
      </c>
      <c r="CD120" s="56">
        <v>42619</v>
      </c>
      <c r="CE120" s="56">
        <v>42619</v>
      </c>
      <c r="CF120" s="56">
        <v>42619</v>
      </c>
      <c r="CG120" s="56">
        <v>42647</v>
      </c>
      <c r="CH120" s="56"/>
      <c r="CI120" s="56"/>
      <c r="CJ120">
        <v>0</v>
      </c>
      <c r="CK120">
        <v>0</v>
      </c>
      <c r="CL120">
        <v>0</v>
      </c>
      <c r="CM120">
        <v>0</v>
      </c>
      <c r="CN120">
        <v>0.65</v>
      </c>
      <c r="CO120">
        <v>0</v>
      </c>
      <c r="CP120">
        <v>0</v>
      </c>
      <c r="CQ120" t="s">
        <v>1378</v>
      </c>
      <c r="CR120" t="s">
        <v>1377</v>
      </c>
      <c r="CS120" t="s">
        <v>1451</v>
      </c>
      <c r="CT120" t="s">
        <v>1724</v>
      </c>
      <c r="CU120" t="s">
        <v>1742</v>
      </c>
      <c r="CV120" t="s">
        <v>2315</v>
      </c>
      <c r="DB120" t="s">
        <v>2309</v>
      </c>
      <c r="DE120" t="s">
        <v>1724</v>
      </c>
    </row>
    <row r="121" spans="1:109" x14ac:dyDescent="0.25">
      <c r="A121" t="s">
        <v>1378</v>
      </c>
      <c r="B121">
        <v>1</v>
      </c>
      <c r="C121" s="56">
        <v>42640</v>
      </c>
      <c r="D121" t="s">
        <v>1449</v>
      </c>
      <c r="E121" t="s">
        <v>1472</v>
      </c>
      <c r="G121" t="s">
        <v>1144</v>
      </c>
      <c r="H121" t="s">
        <v>1144</v>
      </c>
      <c r="I121" t="s">
        <v>1144</v>
      </c>
      <c r="J121" t="s">
        <v>1144</v>
      </c>
      <c r="K121" t="s">
        <v>1144</v>
      </c>
      <c r="L121">
        <v>172.36</v>
      </c>
      <c r="M121">
        <v>2</v>
      </c>
      <c r="N121">
        <v>0</v>
      </c>
      <c r="O121" s="56"/>
      <c r="P121" s="56"/>
      <c r="Q121">
        <v>13718</v>
      </c>
      <c r="R121">
        <v>9</v>
      </c>
      <c r="S121">
        <v>4</v>
      </c>
      <c r="T121">
        <v>2</v>
      </c>
      <c r="U121">
        <v>2</v>
      </c>
      <c r="V121">
        <v>1</v>
      </c>
      <c r="W121" t="s">
        <v>2379</v>
      </c>
      <c r="X121" t="s">
        <v>2387</v>
      </c>
      <c r="AA121">
        <v>0.12</v>
      </c>
      <c r="AB121">
        <v>1</v>
      </c>
      <c r="AC121">
        <v>4.17</v>
      </c>
      <c r="AD121">
        <v>0</v>
      </c>
      <c r="AE121">
        <v>0</v>
      </c>
      <c r="AF121">
        <v>8</v>
      </c>
      <c r="AG121">
        <v>0</v>
      </c>
      <c r="AJ121" s="56"/>
      <c r="AK121" s="56">
        <v>42369</v>
      </c>
      <c r="AL121" s="56">
        <v>42656</v>
      </c>
      <c r="AM121">
        <v>1</v>
      </c>
      <c r="AP121" t="s">
        <v>1450</v>
      </c>
      <c r="AS121" t="s">
        <v>1152</v>
      </c>
      <c r="AT121">
        <v>1</v>
      </c>
      <c r="AV121">
        <v>2</v>
      </c>
      <c r="AW121">
        <v>2</v>
      </c>
      <c r="AX121">
        <v>1</v>
      </c>
      <c r="AY121" t="s">
        <v>838</v>
      </c>
      <c r="AZ121" t="s">
        <v>838</v>
      </c>
      <c r="BA121">
        <v>1</v>
      </c>
      <c r="BD121">
        <v>1000000000</v>
      </c>
      <c r="BE121">
        <v>0</v>
      </c>
      <c r="BF121">
        <v>1</v>
      </c>
      <c r="BG121">
        <v>0</v>
      </c>
      <c r="BH121">
        <v>0</v>
      </c>
      <c r="BI121">
        <v>0</v>
      </c>
      <c r="BJ121">
        <v>0</v>
      </c>
      <c r="BK121">
        <v>0</v>
      </c>
      <c r="BL121">
        <v>0</v>
      </c>
      <c r="BM121">
        <v>0</v>
      </c>
      <c r="BN121">
        <v>1</v>
      </c>
      <c r="BO121">
        <v>0</v>
      </c>
      <c r="BP121">
        <v>0</v>
      </c>
      <c r="BR121">
        <v>2</v>
      </c>
      <c r="BS121">
        <v>1</v>
      </c>
      <c r="BX121">
        <v>-170.36</v>
      </c>
      <c r="BY121">
        <v>0</v>
      </c>
      <c r="BZ121">
        <v>0</v>
      </c>
      <c r="CA121">
        <v>-11.86</v>
      </c>
      <c r="CC121">
        <v>1</v>
      </c>
      <c r="CD121" s="56">
        <v>42592</v>
      </c>
      <c r="CE121" s="56">
        <v>42612</v>
      </c>
      <c r="CF121" s="56">
        <v>42612</v>
      </c>
      <c r="CG121" s="56">
        <v>42640</v>
      </c>
      <c r="CH121" s="56"/>
      <c r="CI121" s="56"/>
      <c r="CJ121">
        <v>0.99</v>
      </c>
      <c r="CK121">
        <v>1</v>
      </c>
      <c r="CL121">
        <v>0.32</v>
      </c>
      <c r="CM121">
        <v>0.11</v>
      </c>
      <c r="CN121">
        <v>0.28999999999999998</v>
      </c>
      <c r="CO121">
        <v>0</v>
      </c>
      <c r="CP121">
        <v>0</v>
      </c>
      <c r="CQ121" t="s">
        <v>1378</v>
      </c>
      <c r="CR121" t="s">
        <v>1377</v>
      </c>
      <c r="CS121" t="s">
        <v>1451</v>
      </c>
      <c r="CT121" t="s">
        <v>1724</v>
      </c>
      <c r="CU121" t="s">
        <v>1742</v>
      </c>
      <c r="CV121" t="s">
        <v>2013</v>
      </c>
      <c r="DB121" t="s">
        <v>2014</v>
      </c>
      <c r="DE121" t="s">
        <v>1724</v>
      </c>
    </row>
    <row r="122" spans="1:109" x14ac:dyDescent="0.25">
      <c r="A122" t="s">
        <v>1378</v>
      </c>
      <c r="B122">
        <v>1</v>
      </c>
      <c r="C122" s="56">
        <v>42640</v>
      </c>
      <c r="D122" t="s">
        <v>1449</v>
      </c>
      <c r="E122" t="s">
        <v>2369</v>
      </c>
      <c r="G122" t="s">
        <v>1144</v>
      </c>
      <c r="H122" t="s">
        <v>1144</v>
      </c>
      <c r="I122" t="s">
        <v>1144</v>
      </c>
      <c r="J122" t="s">
        <v>1144</v>
      </c>
      <c r="K122" t="s">
        <v>1144</v>
      </c>
      <c r="L122">
        <v>290.7</v>
      </c>
      <c r="M122">
        <v>878.08</v>
      </c>
      <c r="N122">
        <v>0</v>
      </c>
      <c r="O122" s="56"/>
      <c r="P122" s="56"/>
      <c r="Q122">
        <v>13718</v>
      </c>
      <c r="R122">
        <v>9</v>
      </c>
      <c r="S122">
        <v>4</v>
      </c>
      <c r="T122">
        <v>2</v>
      </c>
      <c r="U122">
        <v>2</v>
      </c>
      <c r="V122">
        <v>1</v>
      </c>
      <c r="X122" t="s">
        <v>2385</v>
      </c>
      <c r="AA122">
        <v>0.16</v>
      </c>
      <c r="AB122">
        <v>1</v>
      </c>
      <c r="AC122">
        <v>3.13</v>
      </c>
      <c r="AD122">
        <v>6.25</v>
      </c>
      <c r="AE122">
        <v>0</v>
      </c>
      <c r="AF122">
        <v>0</v>
      </c>
      <c r="AG122">
        <v>0</v>
      </c>
      <c r="AJ122" s="56"/>
      <c r="AK122" s="56">
        <v>42369</v>
      </c>
      <c r="AL122" s="56"/>
      <c r="AM122">
        <v>5</v>
      </c>
      <c r="AP122" t="s">
        <v>1450</v>
      </c>
      <c r="AS122" t="s">
        <v>1152</v>
      </c>
      <c r="AT122">
        <v>1</v>
      </c>
      <c r="AV122">
        <v>2</v>
      </c>
      <c r="AW122">
        <v>2</v>
      </c>
      <c r="AX122">
        <v>1</v>
      </c>
      <c r="AY122" t="s">
        <v>1147</v>
      </c>
      <c r="AZ122" t="s">
        <v>1147</v>
      </c>
      <c r="BA122">
        <v>5</v>
      </c>
      <c r="BD122">
        <v>1000000000</v>
      </c>
      <c r="BE122">
        <v>4</v>
      </c>
      <c r="BF122">
        <v>-1</v>
      </c>
      <c r="BG122">
        <v>0</v>
      </c>
      <c r="BH122">
        <v>0</v>
      </c>
      <c r="BI122">
        <v>0</v>
      </c>
      <c r="BJ122">
        <v>0</v>
      </c>
      <c r="BK122">
        <v>0</v>
      </c>
      <c r="BL122">
        <v>0</v>
      </c>
      <c r="BM122">
        <v>4</v>
      </c>
      <c r="BN122">
        <v>-1</v>
      </c>
      <c r="BO122">
        <v>0</v>
      </c>
      <c r="BP122">
        <v>0</v>
      </c>
      <c r="BR122">
        <v>0</v>
      </c>
      <c r="BS122">
        <v>1</v>
      </c>
      <c r="BX122">
        <v>0</v>
      </c>
      <c r="BY122">
        <v>581.4</v>
      </c>
      <c r="BZ122">
        <v>0</v>
      </c>
      <c r="CA122">
        <v>24.25</v>
      </c>
      <c r="CC122">
        <v>1</v>
      </c>
      <c r="CD122" s="56">
        <v>42619</v>
      </c>
      <c r="CE122" s="56">
        <v>42619</v>
      </c>
      <c r="CF122" s="56">
        <v>42619</v>
      </c>
      <c r="CG122" s="56">
        <v>42647</v>
      </c>
      <c r="CH122" s="56"/>
      <c r="CI122" s="56"/>
      <c r="CJ122">
        <v>0</v>
      </c>
      <c r="CK122">
        <v>0</v>
      </c>
      <c r="CL122">
        <v>0</v>
      </c>
      <c r="CM122">
        <v>0</v>
      </c>
      <c r="CN122">
        <v>0</v>
      </c>
      <c r="CO122">
        <v>0</v>
      </c>
      <c r="CP122">
        <v>0.65</v>
      </c>
      <c r="CQ122" t="s">
        <v>1378</v>
      </c>
      <c r="CR122" t="s">
        <v>1377</v>
      </c>
      <c r="CS122" t="s">
        <v>1451</v>
      </c>
      <c r="CT122" t="s">
        <v>1724</v>
      </c>
      <c r="CU122" t="s">
        <v>1742</v>
      </c>
      <c r="CV122" t="s">
        <v>2370</v>
      </c>
      <c r="DB122" t="s">
        <v>2351</v>
      </c>
      <c r="DE122" t="s">
        <v>1724</v>
      </c>
    </row>
    <row r="123" spans="1:109" x14ac:dyDescent="0.25">
      <c r="A123" t="s">
        <v>1378</v>
      </c>
      <c r="B123">
        <v>1</v>
      </c>
      <c r="C123" s="56">
        <v>42640</v>
      </c>
      <c r="D123" t="s">
        <v>1449</v>
      </c>
      <c r="E123" t="s">
        <v>1436</v>
      </c>
      <c r="G123" t="s">
        <v>1144</v>
      </c>
      <c r="H123" t="s">
        <v>1144</v>
      </c>
      <c r="I123" t="s">
        <v>1144</v>
      </c>
      <c r="J123" t="s">
        <v>1144</v>
      </c>
      <c r="K123" t="s">
        <v>1144</v>
      </c>
      <c r="L123">
        <v>114.45</v>
      </c>
      <c r="M123">
        <v>293.95</v>
      </c>
      <c r="N123">
        <v>0</v>
      </c>
      <c r="O123" s="56"/>
      <c r="P123" s="56"/>
      <c r="Q123">
        <v>13718</v>
      </c>
      <c r="R123">
        <v>9</v>
      </c>
      <c r="S123">
        <v>4</v>
      </c>
      <c r="T123">
        <v>2</v>
      </c>
      <c r="U123">
        <v>2</v>
      </c>
      <c r="V123">
        <v>1</v>
      </c>
      <c r="W123" t="s">
        <v>1376</v>
      </c>
      <c r="X123" t="s">
        <v>2385</v>
      </c>
      <c r="AA123">
        <v>1.1299999999999999</v>
      </c>
      <c r="AB123">
        <v>7</v>
      </c>
      <c r="AC123">
        <v>1.33</v>
      </c>
      <c r="AD123">
        <v>0.88</v>
      </c>
      <c r="AE123">
        <v>0</v>
      </c>
      <c r="AF123">
        <v>0</v>
      </c>
      <c r="AG123">
        <v>0</v>
      </c>
      <c r="AJ123" s="56"/>
      <c r="AK123" s="56"/>
      <c r="AL123" s="56"/>
      <c r="AM123">
        <v>8</v>
      </c>
      <c r="AP123" t="s">
        <v>1450</v>
      </c>
      <c r="AS123" t="s">
        <v>1152</v>
      </c>
      <c r="AT123">
        <v>1</v>
      </c>
      <c r="AV123">
        <v>6</v>
      </c>
      <c r="AW123">
        <v>4</v>
      </c>
      <c r="AX123">
        <v>2</v>
      </c>
      <c r="AY123" t="s">
        <v>1145</v>
      </c>
      <c r="AZ123" t="s">
        <v>1145</v>
      </c>
      <c r="BA123">
        <v>8</v>
      </c>
      <c r="BD123">
        <v>1000000000</v>
      </c>
      <c r="BE123">
        <v>4</v>
      </c>
      <c r="BF123">
        <v>0.33</v>
      </c>
      <c r="BG123">
        <v>0</v>
      </c>
      <c r="BH123">
        <v>0</v>
      </c>
      <c r="BI123">
        <v>0</v>
      </c>
      <c r="BJ123">
        <v>0</v>
      </c>
      <c r="BK123">
        <v>0</v>
      </c>
      <c r="BL123">
        <v>0</v>
      </c>
      <c r="BM123">
        <v>4</v>
      </c>
      <c r="BN123">
        <v>0.33</v>
      </c>
      <c r="BO123">
        <v>0</v>
      </c>
      <c r="BP123">
        <v>0</v>
      </c>
      <c r="BR123">
        <v>2</v>
      </c>
      <c r="BS123">
        <v>3</v>
      </c>
      <c r="BX123">
        <v>0</v>
      </c>
      <c r="BY123">
        <v>0</v>
      </c>
      <c r="BZ123">
        <v>0</v>
      </c>
      <c r="CA123">
        <v>18.82</v>
      </c>
      <c r="CC123">
        <v>1</v>
      </c>
      <c r="CD123" s="56">
        <v>42619</v>
      </c>
      <c r="CE123" s="56">
        <v>42619</v>
      </c>
      <c r="CF123" s="56">
        <v>42619</v>
      </c>
      <c r="CG123" s="56">
        <v>42647</v>
      </c>
      <c r="CH123" s="56"/>
      <c r="CI123" s="56"/>
      <c r="CJ123">
        <v>0.15</v>
      </c>
      <c r="CK123">
        <v>0</v>
      </c>
      <c r="CL123">
        <v>0</v>
      </c>
      <c r="CM123">
        <v>0</v>
      </c>
      <c r="CN123">
        <v>0.65</v>
      </c>
      <c r="CO123">
        <v>0</v>
      </c>
      <c r="CP123">
        <v>0</v>
      </c>
      <c r="CQ123" t="s">
        <v>1378</v>
      </c>
      <c r="CR123" t="s">
        <v>1377</v>
      </c>
      <c r="CS123" t="s">
        <v>1451</v>
      </c>
      <c r="CT123" t="s">
        <v>1724</v>
      </c>
      <c r="CU123" t="s">
        <v>1742</v>
      </c>
      <c r="CV123" t="s">
        <v>2069</v>
      </c>
      <c r="DB123" t="s">
        <v>2059</v>
      </c>
      <c r="DE123" t="s">
        <v>1724</v>
      </c>
    </row>
    <row r="124" spans="1:109" x14ac:dyDescent="0.25">
      <c r="A124" t="s">
        <v>1378</v>
      </c>
      <c r="B124">
        <v>1</v>
      </c>
      <c r="C124" s="56">
        <v>42640</v>
      </c>
      <c r="D124" t="s">
        <v>1449</v>
      </c>
      <c r="E124" t="s">
        <v>1453</v>
      </c>
      <c r="G124" t="s">
        <v>1144</v>
      </c>
      <c r="H124" t="s">
        <v>1144</v>
      </c>
      <c r="I124" t="s">
        <v>1144</v>
      </c>
      <c r="J124" t="s">
        <v>1144</v>
      </c>
      <c r="K124" t="s">
        <v>1144</v>
      </c>
      <c r="L124">
        <v>165.07</v>
      </c>
      <c r="M124">
        <v>361.16</v>
      </c>
      <c r="N124">
        <v>0</v>
      </c>
      <c r="O124" s="56"/>
      <c r="P124" s="56"/>
      <c r="Q124">
        <v>13718</v>
      </c>
      <c r="R124">
        <v>9</v>
      </c>
      <c r="S124">
        <v>4</v>
      </c>
      <c r="T124">
        <v>2</v>
      </c>
      <c r="U124">
        <v>2</v>
      </c>
      <c r="V124">
        <v>1</v>
      </c>
      <c r="X124" t="s">
        <v>2385</v>
      </c>
      <c r="AA124">
        <v>0.04</v>
      </c>
      <c r="AB124">
        <v>1</v>
      </c>
      <c r="AC124">
        <v>18.75</v>
      </c>
      <c r="AD124">
        <v>31.25</v>
      </c>
      <c r="AE124">
        <v>0</v>
      </c>
      <c r="AF124">
        <v>0</v>
      </c>
      <c r="AG124">
        <v>0</v>
      </c>
      <c r="AJ124" s="56">
        <v>42666</v>
      </c>
      <c r="AK124" s="56"/>
      <c r="AL124" s="56"/>
      <c r="AM124">
        <v>5</v>
      </c>
      <c r="AP124" t="s">
        <v>1450</v>
      </c>
      <c r="AS124" t="s">
        <v>1152</v>
      </c>
      <c r="AT124">
        <v>1</v>
      </c>
      <c r="AV124">
        <v>3</v>
      </c>
      <c r="AW124">
        <v>2</v>
      </c>
      <c r="AX124">
        <v>1</v>
      </c>
      <c r="AY124" t="s">
        <v>1147</v>
      </c>
      <c r="AZ124" t="s">
        <v>1147</v>
      </c>
      <c r="BA124">
        <v>5</v>
      </c>
      <c r="BD124">
        <v>1000000000</v>
      </c>
      <c r="BE124">
        <v>5</v>
      </c>
      <c r="BF124">
        <v>-0.67</v>
      </c>
      <c r="BG124">
        <v>0</v>
      </c>
      <c r="BH124">
        <v>0</v>
      </c>
      <c r="BI124">
        <v>0</v>
      </c>
      <c r="BJ124">
        <v>0</v>
      </c>
      <c r="BK124">
        <v>0</v>
      </c>
      <c r="BL124">
        <v>0</v>
      </c>
      <c r="BM124">
        <v>5</v>
      </c>
      <c r="BN124">
        <v>-0.67</v>
      </c>
      <c r="BO124">
        <v>0</v>
      </c>
      <c r="BP124">
        <v>0</v>
      </c>
      <c r="BR124">
        <v>0</v>
      </c>
      <c r="BS124">
        <v>2</v>
      </c>
      <c r="BX124">
        <v>0</v>
      </c>
      <c r="BY124">
        <v>330.14</v>
      </c>
      <c r="BZ124">
        <v>0</v>
      </c>
      <c r="CA124">
        <v>14.26</v>
      </c>
      <c r="CC124">
        <v>1</v>
      </c>
      <c r="CD124" s="56">
        <v>42619</v>
      </c>
      <c r="CE124" s="56">
        <v>42619</v>
      </c>
      <c r="CF124" s="56">
        <v>42619</v>
      </c>
      <c r="CG124" s="56">
        <v>42647</v>
      </c>
      <c r="CH124" s="56"/>
      <c r="CI124" s="56"/>
      <c r="CJ124">
        <v>0</v>
      </c>
      <c r="CK124">
        <v>0</v>
      </c>
      <c r="CL124">
        <v>0</v>
      </c>
      <c r="CM124">
        <v>0</v>
      </c>
      <c r="CN124">
        <v>0</v>
      </c>
      <c r="CO124">
        <v>0</v>
      </c>
      <c r="CP124">
        <v>0.65</v>
      </c>
      <c r="CQ124" t="s">
        <v>1378</v>
      </c>
      <c r="CR124" t="s">
        <v>1377</v>
      </c>
      <c r="CS124" t="s">
        <v>1451</v>
      </c>
      <c r="CT124" t="s">
        <v>1724</v>
      </c>
      <c r="CU124" t="s">
        <v>1742</v>
      </c>
      <c r="CV124" t="s">
        <v>1761</v>
      </c>
      <c r="DB124" t="s">
        <v>1762</v>
      </c>
      <c r="DE124" t="s">
        <v>1724</v>
      </c>
    </row>
    <row r="125" spans="1:109" x14ac:dyDescent="0.25">
      <c r="A125" t="s">
        <v>1378</v>
      </c>
      <c r="B125">
        <v>1</v>
      </c>
      <c r="C125" s="56">
        <v>42640</v>
      </c>
      <c r="D125" t="s">
        <v>1449</v>
      </c>
      <c r="E125" t="s">
        <v>2124</v>
      </c>
      <c r="G125" t="s">
        <v>1144</v>
      </c>
      <c r="H125" t="s">
        <v>1144</v>
      </c>
      <c r="I125" t="s">
        <v>1144</v>
      </c>
      <c r="J125" t="s">
        <v>1144</v>
      </c>
      <c r="K125" t="s">
        <v>1144</v>
      </c>
      <c r="L125">
        <v>1215.31</v>
      </c>
      <c r="M125">
        <v>2568.5100000000002</v>
      </c>
      <c r="N125">
        <v>0</v>
      </c>
      <c r="O125" s="56"/>
      <c r="P125" s="56"/>
      <c r="Q125">
        <v>13718</v>
      </c>
      <c r="R125">
        <v>9</v>
      </c>
      <c r="S125">
        <v>4</v>
      </c>
      <c r="T125">
        <v>2</v>
      </c>
      <c r="U125">
        <v>2</v>
      </c>
      <c r="V125">
        <v>1</v>
      </c>
      <c r="W125" t="s">
        <v>1376</v>
      </c>
      <c r="X125" t="s">
        <v>2385</v>
      </c>
      <c r="AA125">
        <v>0.16</v>
      </c>
      <c r="AB125">
        <v>1</v>
      </c>
      <c r="AC125">
        <v>4.6900000000000004</v>
      </c>
      <c r="AD125">
        <v>4.6900000000000004</v>
      </c>
      <c r="AE125">
        <v>0</v>
      </c>
      <c r="AF125">
        <v>0</v>
      </c>
      <c r="AG125">
        <v>0</v>
      </c>
      <c r="AJ125" s="56"/>
      <c r="AK125" s="56"/>
      <c r="AL125" s="56"/>
      <c r="AM125">
        <v>6</v>
      </c>
      <c r="AP125" t="s">
        <v>1450</v>
      </c>
      <c r="AS125" t="s">
        <v>1152</v>
      </c>
      <c r="AT125">
        <v>1</v>
      </c>
      <c r="AV125">
        <v>3</v>
      </c>
      <c r="AW125">
        <v>2</v>
      </c>
      <c r="AX125">
        <v>1</v>
      </c>
      <c r="AY125" t="s">
        <v>1148</v>
      </c>
      <c r="AZ125" t="s">
        <v>1148</v>
      </c>
      <c r="BA125">
        <v>6</v>
      </c>
      <c r="BD125">
        <v>1000000000</v>
      </c>
      <c r="BE125">
        <v>3</v>
      </c>
      <c r="BF125">
        <v>0</v>
      </c>
      <c r="BG125">
        <v>0</v>
      </c>
      <c r="BH125">
        <v>0</v>
      </c>
      <c r="BI125">
        <v>0</v>
      </c>
      <c r="BJ125">
        <v>0</v>
      </c>
      <c r="BK125">
        <v>0</v>
      </c>
      <c r="BL125">
        <v>0</v>
      </c>
      <c r="BM125">
        <v>3</v>
      </c>
      <c r="BN125">
        <v>0</v>
      </c>
      <c r="BO125">
        <v>0</v>
      </c>
      <c r="BP125">
        <v>0</v>
      </c>
      <c r="BR125">
        <v>0</v>
      </c>
      <c r="BS125">
        <v>2</v>
      </c>
      <c r="BX125">
        <v>0</v>
      </c>
      <c r="BY125">
        <v>0</v>
      </c>
      <c r="BZ125">
        <v>0</v>
      </c>
      <c r="CA125">
        <v>13.36</v>
      </c>
      <c r="CC125">
        <v>1</v>
      </c>
      <c r="CD125" s="56">
        <v>42619</v>
      </c>
      <c r="CE125" s="56">
        <v>42619</v>
      </c>
      <c r="CF125" s="56">
        <v>42619</v>
      </c>
      <c r="CG125" s="56">
        <v>42647</v>
      </c>
      <c r="CH125" s="56"/>
      <c r="CI125" s="56"/>
      <c r="CJ125">
        <v>0</v>
      </c>
      <c r="CK125">
        <v>0</v>
      </c>
      <c r="CL125">
        <v>0</v>
      </c>
      <c r="CM125">
        <v>0</v>
      </c>
      <c r="CN125">
        <v>0</v>
      </c>
      <c r="CO125">
        <v>0.65</v>
      </c>
      <c r="CP125">
        <v>0</v>
      </c>
      <c r="CQ125" t="s">
        <v>1378</v>
      </c>
      <c r="CR125" t="s">
        <v>1377</v>
      </c>
      <c r="CS125" t="s">
        <v>1451</v>
      </c>
      <c r="CT125" t="s">
        <v>1724</v>
      </c>
      <c r="CU125" t="s">
        <v>1742</v>
      </c>
      <c r="CV125" t="s">
        <v>2125</v>
      </c>
      <c r="DB125" t="s">
        <v>2111</v>
      </c>
      <c r="DE125" t="s">
        <v>1724</v>
      </c>
    </row>
    <row r="126" spans="1:109" x14ac:dyDescent="0.25">
      <c r="A126" t="s">
        <v>1378</v>
      </c>
      <c r="B126">
        <v>1</v>
      </c>
      <c r="C126" s="56">
        <v>42640</v>
      </c>
      <c r="D126" t="s">
        <v>1449</v>
      </c>
      <c r="E126" t="s">
        <v>1814</v>
      </c>
      <c r="G126" t="s">
        <v>1144</v>
      </c>
      <c r="H126" t="s">
        <v>1144</v>
      </c>
      <c r="I126" t="s">
        <v>1144</v>
      </c>
      <c r="J126" t="s">
        <v>1144</v>
      </c>
      <c r="K126" t="s">
        <v>1144</v>
      </c>
      <c r="L126">
        <v>754.3</v>
      </c>
      <c r="M126">
        <v>1637.27</v>
      </c>
      <c r="N126">
        <v>0</v>
      </c>
      <c r="O126" s="56"/>
      <c r="P126" s="56"/>
      <c r="Q126">
        <v>13718</v>
      </c>
      <c r="R126">
        <v>9</v>
      </c>
      <c r="S126">
        <v>4</v>
      </c>
      <c r="T126">
        <v>2</v>
      </c>
      <c r="U126">
        <v>2</v>
      </c>
      <c r="V126">
        <v>1</v>
      </c>
      <c r="W126" t="s">
        <v>1376</v>
      </c>
      <c r="X126" t="s">
        <v>2385</v>
      </c>
      <c r="AA126">
        <v>0.04</v>
      </c>
      <c r="AB126">
        <v>1</v>
      </c>
      <c r="AC126">
        <v>18.75</v>
      </c>
      <c r="AD126">
        <v>18.75</v>
      </c>
      <c r="AE126">
        <v>0</v>
      </c>
      <c r="AF126">
        <v>0</v>
      </c>
      <c r="AG126">
        <v>0</v>
      </c>
      <c r="AJ126" s="56">
        <v>42666</v>
      </c>
      <c r="AK126" s="56"/>
      <c r="AL126" s="56"/>
      <c r="AM126">
        <v>5</v>
      </c>
      <c r="AP126" t="s">
        <v>1450</v>
      </c>
      <c r="AS126" t="s">
        <v>1152</v>
      </c>
      <c r="AT126">
        <v>1</v>
      </c>
      <c r="AV126">
        <v>3</v>
      </c>
      <c r="AW126">
        <v>2</v>
      </c>
      <c r="AX126">
        <v>1</v>
      </c>
      <c r="AY126" t="s">
        <v>1148</v>
      </c>
      <c r="AZ126" t="s">
        <v>1148</v>
      </c>
      <c r="BA126">
        <v>5</v>
      </c>
      <c r="BD126">
        <v>1000000000</v>
      </c>
      <c r="BE126">
        <v>3</v>
      </c>
      <c r="BF126">
        <v>0</v>
      </c>
      <c r="BG126">
        <v>0</v>
      </c>
      <c r="BH126">
        <v>0</v>
      </c>
      <c r="BI126">
        <v>0</v>
      </c>
      <c r="BJ126">
        <v>0</v>
      </c>
      <c r="BK126">
        <v>0</v>
      </c>
      <c r="BL126">
        <v>0</v>
      </c>
      <c r="BM126">
        <v>3</v>
      </c>
      <c r="BN126">
        <v>0</v>
      </c>
      <c r="BO126">
        <v>0</v>
      </c>
      <c r="BP126">
        <v>0</v>
      </c>
      <c r="BR126">
        <v>0</v>
      </c>
      <c r="BS126">
        <v>2</v>
      </c>
      <c r="BX126">
        <v>0</v>
      </c>
      <c r="BY126">
        <v>0</v>
      </c>
      <c r="BZ126">
        <v>0</v>
      </c>
      <c r="CA126">
        <v>14.05</v>
      </c>
      <c r="CC126">
        <v>1</v>
      </c>
      <c r="CD126" s="56">
        <v>42619</v>
      </c>
      <c r="CE126" s="56">
        <v>42619</v>
      </c>
      <c r="CF126" s="56">
        <v>42619</v>
      </c>
      <c r="CG126" s="56">
        <v>42647</v>
      </c>
      <c r="CH126" s="56"/>
      <c r="CI126" s="56"/>
      <c r="CJ126">
        <v>0</v>
      </c>
      <c r="CK126">
        <v>0</v>
      </c>
      <c r="CL126">
        <v>0</v>
      </c>
      <c r="CM126">
        <v>0</v>
      </c>
      <c r="CN126">
        <v>0</v>
      </c>
      <c r="CO126">
        <v>0.65</v>
      </c>
      <c r="CP126">
        <v>0</v>
      </c>
      <c r="CQ126" t="s">
        <v>1378</v>
      </c>
      <c r="CR126" t="s">
        <v>1377</v>
      </c>
      <c r="CS126" t="s">
        <v>1451</v>
      </c>
      <c r="CT126" t="s">
        <v>1724</v>
      </c>
      <c r="CU126" t="s">
        <v>1742</v>
      </c>
      <c r="CV126" t="s">
        <v>1815</v>
      </c>
      <c r="DB126" t="s">
        <v>1783</v>
      </c>
      <c r="DE126" t="s">
        <v>1724</v>
      </c>
    </row>
    <row r="127" spans="1:109" x14ac:dyDescent="0.25">
      <c r="A127" t="s">
        <v>1378</v>
      </c>
      <c r="B127">
        <v>1</v>
      </c>
      <c r="C127" s="56">
        <v>42640</v>
      </c>
      <c r="D127" t="s">
        <v>1449</v>
      </c>
      <c r="E127" t="s">
        <v>2167</v>
      </c>
      <c r="G127" t="s">
        <v>1144</v>
      </c>
      <c r="H127" t="s">
        <v>1144</v>
      </c>
      <c r="I127" t="s">
        <v>1144</v>
      </c>
      <c r="J127" t="s">
        <v>1144</v>
      </c>
      <c r="K127" t="s">
        <v>1144</v>
      </c>
      <c r="L127">
        <v>317.64</v>
      </c>
      <c r="M127">
        <v>2</v>
      </c>
      <c r="N127">
        <v>0</v>
      </c>
      <c r="O127" s="56"/>
      <c r="P127" s="56"/>
      <c r="Q127">
        <v>13718</v>
      </c>
      <c r="R127">
        <v>9</v>
      </c>
      <c r="S127">
        <v>4</v>
      </c>
      <c r="T127">
        <v>2</v>
      </c>
      <c r="U127">
        <v>2</v>
      </c>
      <c r="V127">
        <v>1</v>
      </c>
      <c r="X127" t="s">
        <v>2385</v>
      </c>
      <c r="AA127">
        <v>0</v>
      </c>
      <c r="AB127">
        <v>0</v>
      </c>
      <c r="AC127">
        <v>0</v>
      </c>
      <c r="AD127">
        <v>0</v>
      </c>
      <c r="AE127">
        <v>0</v>
      </c>
      <c r="AF127">
        <v>0</v>
      </c>
      <c r="AG127">
        <v>0</v>
      </c>
      <c r="AJ127" s="56"/>
      <c r="AK127" s="56"/>
      <c r="AL127" s="56"/>
      <c r="AM127">
        <v>1</v>
      </c>
      <c r="AP127" t="s">
        <v>1450</v>
      </c>
      <c r="AS127" t="s">
        <v>1152</v>
      </c>
      <c r="AT127">
        <v>1</v>
      </c>
      <c r="AV127">
        <v>1</v>
      </c>
      <c r="AW127">
        <v>1</v>
      </c>
      <c r="AX127">
        <v>0.5</v>
      </c>
      <c r="AY127" t="s">
        <v>1147</v>
      </c>
      <c r="AZ127" t="s">
        <v>1147</v>
      </c>
      <c r="BA127">
        <v>2</v>
      </c>
      <c r="BD127">
        <v>1000000000</v>
      </c>
      <c r="BE127">
        <v>2</v>
      </c>
      <c r="BF127">
        <v>-1</v>
      </c>
      <c r="BG127">
        <v>0</v>
      </c>
      <c r="BH127">
        <v>0</v>
      </c>
      <c r="BI127">
        <v>0</v>
      </c>
      <c r="BJ127">
        <v>0</v>
      </c>
      <c r="BK127">
        <v>0</v>
      </c>
      <c r="BL127">
        <v>0</v>
      </c>
      <c r="BM127">
        <v>2</v>
      </c>
      <c r="BN127">
        <v>-1</v>
      </c>
      <c r="BO127">
        <v>0</v>
      </c>
      <c r="BP127">
        <v>0</v>
      </c>
      <c r="BR127">
        <v>0</v>
      </c>
      <c r="BS127">
        <v>1</v>
      </c>
      <c r="BX127">
        <v>0</v>
      </c>
      <c r="BY127">
        <v>317.64</v>
      </c>
      <c r="BZ127">
        <v>0</v>
      </c>
      <c r="CA127">
        <v>-11.92</v>
      </c>
      <c r="CC127">
        <v>1</v>
      </c>
      <c r="CD127" s="56">
        <v>42619</v>
      </c>
      <c r="CE127" s="56">
        <v>42619</v>
      </c>
      <c r="CF127" s="56">
        <v>42619</v>
      </c>
      <c r="CG127" s="56">
        <v>42647</v>
      </c>
      <c r="CH127" s="56"/>
      <c r="CI127" s="56"/>
      <c r="CJ127">
        <v>0</v>
      </c>
      <c r="CK127">
        <v>0</v>
      </c>
      <c r="CL127">
        <v>0</v>
      </c>
      <c r="CM127">
        <v>0</v>
      </c>
      <c r="CN127">
        <v>0</v>
      </c>
      <c r="CO127">
        <v>0</v>
      </c>
      <c r="CP127">
        <v>0.65</v>
      </c>
      <c r="CQ127" t="s">
        <v>1378</v>
      </c>
      <c r="CR127" t="s">
        <v>1377</v>
      </c>
      <c r="CS127" t="s">
        <v>1451</v>
      </c>
      <c r="CT127" t="s">
        <v>1724</v>
      </c>
      <c r="CU127" t="s">
        <v>1742</v>
      </c>
      <c r="CV127" t="s">
        <v>2159</v>
      </c>
      <c r="DB127" t="s">
        <v>2161</v>
      </c>
      <c r="DE127" t="s">
        <v>1724</v>
      </c>
    </row>
    <row r="128" spans="1:109" x14ac:dyDescent="0.25">
      <c r="A128" t="s">
        <v>1378</v>
      </c>
      <c r="B128">
        <v>1</v>
      </c>
      <c r="C128" s="56">
        <v>42640</v>
      </c>
      <c r="D128" t="s">
        <v>1449</v>
      </c>
      <c r="E128" t="s">
        <v>1733</v>
      </c>
      <c r="G128" t="s">
        <v>1144</v>
      </c>
      <c r="H128" t="s">
        <v>1144</v>
      </c>
      <c r="I128" t="s">
        <v>1144</v>
      </c>
      <c r="J128" t="s">
        <v>1144</v>
      </c>
      <c r="K128" t="s">
        <v>1144</v>
      </c>
      <c r="L128">
        <v>0</v>
      </c>
      <c r="M128">
        <v>1059.4100000000001</v>
      </c>
      <c r="N128">
        <v>0</v>
      </c>
      <c r="O128" s="56"/>
      <c r="P128" s="56"/>
      <c r="Q128">
        <v>13718</v>
      </c>
      <c r="R128">
        <v>9</v>
      </c>
      <c r="S128">
        <v>4</v>
      </c>
      <c r="T128">
        <v>2</v>
      </c>
      <c r="U128">
        <v>2</v>
      </c>
      <c r="V128">
        <v>1</v>
      </c>
      <c r="W128" t="s">
        <v>2379</v>
      </c>
      <c r="X128" t="s">
        <v>2386</v>
      </c>
      <c r="AA128">
        <v>0</v>
      </c>
      <c r="AB128">
        <v>0</v>
      </c>
      <c r="AC128">
        <v>0</v>
      </c>
      <c r="AD128">
        <v>0</v>
      </c>
      <c r="AE128">
        <v>0</v>
      </c>
      <c r="AF128">
        <v>20</v>
      </c>
      <c r="AG128">
        <v>0</v>
      </c>
      <c r="AJ128" s="56"/>
      <c r="AK128" s="56"/>
      <c r="AL128" s="56">
        <v>42656</v>
      </c>
      <c r="AM128">
        <v>3</v>
      </c>
      <c r="AP128" t="s">
        <v>1450</v>
      </c>
      <c r="AS128" t="s">
        <v>1152</v>
      </c>
      <c r="AT128">
        <v>1</v>
      </c>
      <c r="AV128">
        <v>3</v>
      </c>
      <c r="AW128">
        <v>2</v>
      </c>
      <c r="AX128">
        <v>1</v>
      </c>
      <c r="AY128" t="s">
        <v>838</v>
      </c>
      <c r="AZ128" t="s">
        <v>838</v>
      </c>
      <c r="BA128">
        <v>3</v>
      </c>
      <c r="BD128">
        <v>1000000000</v>
      </c>
      <c r="BE128">
        <v>0</v>
      </c>
      <c r="BF128">
        <v>1</v>
      </c>
      <c r="BG128">
        <v>0</v>
      </c>
      <c r="BH128">
        <v>0</v>
      </c>
      <c r="BI128">
        <v>0</v>
      </c>
      <c r="BJ128">
        <v>0</v>
      </c>
      <c r="BK128">
        <v>0</v>
      </c>
      <c r="BL128">
        <v>0</v>
      </c>
      <c r="BM128">
        <v>0</v>
      </c>
      <c r="BN128">
        <v>1</v>
      </c>
      <c r="BO128">
        <v>0</v>
      </c>
      <c r="BP128">
        <v>0</v>
      </c>
      <c r="BR128">
        <v>3</v>
      </c>
      <c r="BS128">
        <v>2</v>
      </c>
      <c r="BX128">
        <v>1059.4100000000001</v>
      </c>
      <c r="BY128">
        <v>0</v>
      </c>
      <c r="BZ128">
        <v>0</v>
      </c>
      <c r="CA128">
        <v>0</v>
      </c>
      <c r="CC128">
        <v>1</v>
      </c>
      <c r="CD128" s="56">
        <v>42593</v>
      </c>
      <c r="CE128" s="56">
        <v>42612</v>
      </c>
      <c r="CF128" s="56">
        <v>42612</v>
      </c>
      <c r="CG128" s="56">
        <v>42640</v>
      </c>
      <c r="CH128" s="56"/>
      <c r="CI128" s="56"/>
      <c r="CJ128">
        <v>1</v>
      </c>
      <c r="CK128">
        <v>1</v>
      </c>
      <c r="CL128">
        <v>0.71</v>
      </c>
      <c r="CM128">
        <v>0</v>
      </c>
      <c r="CN128">
        <v>0</v>
      </c>
      <c r="CO128">
        <v>0</v>
      </c>
      <c r="CP128">
        <v>0</v>
      </c>
      <c r="CQ128" t="s">
        <v>1378</v>
      </c>
      <c r="CR128" t="s">
        <v>1377</v>
      </c>
      <c r="CS128" t="s">
        <v>1451</v>
      </c>
      <c r="CT128" t="s">
        <v>1724</v>
      </c>
      <c r="CU128" t="s">
        <v>1742</v>
      </c>
      <c r="CV128" t="s">
        <v>1860</v>
      </c>
      <c r="DB128" t="s">
        <v>1847</v>
      </c>
      <c r="DE128" t="s">
        <v>1724</v>
      </c>
    </row>
    <row r="129" spans="1:109" x14ac:dyDescent="0.25">
      <c r="A129" t="s">
        <v>1378</v>
      </c>
      <c r="B129">
        <v>1</v>
      </c>
      <c r="C129" s="56">
        <v>42640</v>
      </c>
      <c r="D129" t="s">
        <v>1449</v>
      </c>
      <c r="E129" t="s">
        <v>2211</v>
      </c>
      <c r="G129" t="s">
        <v>1144</v>
      </c>
      <c r="H129" t="s">
        <v>1144</v>
      </c>
      <c r="I129" t="s">
        <v>1144</v>
      </c>
      <c r="J129" t="s">
        <v>1144</v>
      </c>
      <c r="K129" t="s">
        <v>1144</v>
      </c>
      <c r="L129">
        <v>447.47</v>
      </c>
      <c r="M129">
        <v>2</v>
      </c>
      <c r="N129">
        <v>0</v>
      </c>
      <c r="O129" s="56"/>
      <c r="P129" s="56"/>
      <c r="Q129">
        <v>13718</v>
      </c>
      <c r="R129">
        <v>9</v>
      </c>
      <c r="S129">
        <v>4</v>
      </c>
      <c r="T129">
        <v>2</v>
      </c>
      <c r="U129">
        <v>2</v>
      </c>
      <c r="V129">
        <v>1</v>
      </c>
      <c r="X129" t="s">
        <v>2386</v>
      </c>
      <c r="AA129">
        <v>0</v>
      </c>
      <c r="AB129">
        <v>0</v>
      </c>
      <c r="AC129">
        <v>0</v>
      </c>
      <c r="AD129">
        <v>0</v>
      </c>
      <c r="AE129">
        <v>0</v>
      </c>
      <c r="AF129">
        <v>0</v>
      </c>
      <c r="AG129">
        <v>0</v>
      </c>
      <c r="AJ129" s="56"/>
      <c r="AK129" s="56">
        <v>42369</v>
      </c>
      <c r="AL129" s="56"/>
      <c r="AM129">
        <v>1</v>
      </c>
      <c r="AP129" t="s">
        <v>1450</v>
      </c>
      <c r="AS129" t="s">
        <v>1152</v>
      </c>
      <c r="AT129">
        <v>1</v>
      </c>
      <c r="AV129">
        <v>1</v>
      </c>
      <c r="AW129">
        <v>1</v>
      </c>
      <c r="AX129">
        <v>0.5</v>
      </c>
      <c r="AY129" t="s">
        <v>1147</v>
      </c>
      <c r="AZ129" t="s">
        <v>1147</v>
      </c>
      <c r="BA129">
        <v>1</v>
      </c>
      <c r="BD129">
        <v>1000000000</v>
      </c>
      <c r="BE129">
        <v>2</v>
      </c>
      <c r="BF129">
        <v>-1</v>
      </c>
      <c r="BG129">
        <v>0</v>
      </c>
      <c r="BH129">
        <v>0</v>
      </c>
      <c r="BI129">
        <v>0</v>
      </c>
      <c r="BJ129">
        <v>0</v>
      </c>
      <c r="BK129">
        <v>0</v>
      </c>
      <c r="BL129">
        <v>0</v>
      </c>
      <c r="BM129">
        <v>2</v>
      </c>
      <c r="BN129">
        <v>-1</v>
      </c>
      <c r="BO129">
        <v>0</v>
      </c>
      <c r="BP129">
        <v>0</v>
      </c>
      <c r="BR129">
        <v>0</v>
      </c>
      <c r="BS129">
        <v>1</v>
      </c>
      <c r="BX129">
        <v>0</v>
      </c>
      <c r="BY129">
        <v>447.47</v>
      </c>
      <c r="BZ129">
        <v>0</v>
      </c>
      <c r="CA129">
        <v>-11.95</v>
      </c>
      <c r="CC129">
        <v>1</v>
      </c>
      <c r="CD129" s="56">
        <v>42593</v>
      </c>
      <c r="CE129" s="56">
        <v>42612</v>
      </c>
      <c r="CF129" s="56">
        <v>42612</v>
      </c>
      <c r="CG129" s="56">
        <v>42640</v>
      </c>
      <c r="CH129" s="56"/>
      <c r="CI129" s="56"/>
      <c r="CJ129">
        <v>0</v>
      </c>
      <c r="CK129">
        <v>0</v>
      </c>
      <c r="CL129">
        <v>0</v>
      </c>
      <c r="CM129">
        <v>0</v>
      </c>
      <c r="CN129">
        <v>0</v>
      </c>
      <c r="CO129">
        <v>0</v>
      </c>
      <c r="CP129">
        <v>0.71</v>
      </c>
      <c r="CQ129" t="s">
        <v>1378</v>
      </c>
      <c r="CR129" t="s">
        <v>1377</v>
      </c>
      <c r="CS129" t="s">
        <v>1451</v>
      </c>
      <c r="CT129" t="s">
        <v>1724</v>
      </c>
      <c r="CU129" t="s">
        <v>1742</v>
      </c>
      <c r="CV129" t="s">
        <v>2210</v>
      </c>
      <c r="DB129" t="s">
        <v>2161</v>
      </c>
      <c r="DE129" t="s">
        <v>1724</v>
      </c>
    </row>
    <row r="130" spans="1:109" x14ac:dyDescent="0.25">
      <c r="A130" t="s">
        <v>1378</v>
      </c>
      <c r="B130">
        <v>1</v>
      </c>
      <c r="C130" s="56">
        <v>42640</v>
      </c>
      <c r="D130" t="s">
        <v>1449</v>
      </c>
      <c r="E130" t="s">
        <v>1909</v>
      </c>
      <c r="G130" t="s">
        <v>1144</v>
      </c>
      <c r="H130" t="s">
        <v>1144</v>
      </c>
      <c r="I130" t="s">
        <v>1144</v>
      </c>
      <c r="J130" t="s">
        <v>1144</v>
      </c>
      <c r="K130" t="s">
        <v>1144</v>
      </c>
      <c r="L130">
        <v>141.99</v>
      </c>
      <c r="M130">
        <v>230.18</v>
      </c>
      <c r="N130">
        <v>0</v>
      </c>
      <c r="O130" s="56"/>
      <c r="P130" s="56"/>
      <c r="Q130">
        <v>13718</v>
      </c>
      <c r="R130">
        <v>9</v>
      </c>
      <c r="S130">
        <v>4</v>
      </c>
      <c r="T130">
        <v>2</v>
      </c>
      <c r="U130">
        <v>2</v>
      </c>
      <c r="V130">
        <v>1</v>
      </c>
      <c r="X130" t="s">
        <v>2386</v>
      </c>
      <c r="AA130">
        <v>0</v>
      </c>
      <c r="AB130">
        <v>0</v>
      </c>
      <c r="AC130">
        <v>0</v>
      </c>
      <c r="AD130">
        <v>0</v>
      </c>
      <c r="AE130">
        <v>0</v>
      </c>
      <c r="AF130">
        <v>0</v>
      </c>
      <c r="AG130">
        <v>0</v>
      </c>
      <c r="AJ130" s="56"/>
      <c r="AK130" s="56">
        <v>42369</v>
      </c>
      <c r="AL130" s="56"/>
      <c r="AM130">
        <v>2</v>
      </c>
      <c r="AP130" t="s">
        <v>1450</v>
      </c>
      <c r="AS130" t="s">
        <v>1152</v>
      </c>
      <c r="AT130">
        <v>1</v>
      </c>
      <c r="AV130">
        <v>2</v>
      </c>
      <c r="AW130">
        <v>2</v>
      </c>
      <c r="AX130">
        <v>1</v>
      </c>
      <c r="AY130" t="s">
        <v>1147</v>
      </c>
      <c r="AZ130" t="s">
        <v>1147</v>
      </c>
      <c r="BA130">
        <v>2</v>
      </c>
      <c r="BD130">
        <v>1000000000</v>
      </c>
      <c r="BE130">
        <v>3</v>
      </c>
      <c r="BF130">
        <v>-0.5</v>
      </c>
      <c r="BG130">
        <v>0</v>
      </c>
      <c r="BH130">
        <v>0</v>
      </c>
      <c r="BI130">
        <v>0</v>
      </c>
      <c r="BJ130">
        <v>0</v>
      </c>
      <c r="BK130">
        <v>0</v>
      </c>
      <c r="BL130">
        <v>0</v>
      </c>
      <c r="BM130">
        <v>3</v>
      </c>
      <c r="BN130">
        <v>-0.5</v>
      </c>
      <c r="BO130">
        <v>0</v>
      </c>
      <c r="BP130">
        <v>0</v>
      </c>
      <c r="BR130">
        <v>0</v>
      </c>
      <c r="BS130">
        <v>1</v>
      </c>
      <c r="BX130">
        <v>0</v>
      </c>
      <c r="BY130">
        <v>141.99</v>
      </c>
      <c r="BZ130">
        <v>0</v>
      </c>
      <c r="CA130">
        <v>7.45</v>
      </c>
      <c r="CC130">
        <v>1</v>
      </c>
      <c r="CD130" s="56">
        <v>42593</v>
      </c>
      <c r="CE130" s="56">
        <v>42612</v>
      </c>
      <c r="CF130" s="56">
        <v>42612</v>
      </c>
      <c r="CG130" s="56">
        <v>42640</v>
      </c>
      <c r="CH130" s="56"/>
      <c r="CI130" s="56"/>
      <c r="CJ130">
        <v>0</v>
      </c>
      <c r="CK130">
        <v>0</v>
      </c>
      <c r="CL130">
        <v>0</v>
      </c>
      <c r="CM130">
        <v>0</v>
      </c>
      <c r="CN130">
        <v>0</v>
      </c>
      <c r="CO130">
        <v>0</v>
      </c>
      <c r="CP130">
        <v>0.71</v>
      </c>
      <c r="CQ130" t="s">
        <v>1378</v>
      </c>
      <c r="CR130" t="s">
        <v>1377</v>
      </c>
      <c r="CS130" t="s">
        <v>1451</v>
      </c>
      <c r="CT130" t="s">
        <v>1724</v>
      </c>
      <c r="CU130" t="s">
        <v>1742</v>
      </c>
      <c r="CV130" t="s">
        <v>1910</v>
      </c>
      <c r="DB130" t="s">
        <v>1869</v>
      </c>
      <c r="DE130" t="s">
        <v>1724</v>
      </c>
    </row>
    <row r="131" spans="1:109" x14ac:dyDescent="0.25">
      <c r="A131" t="s">
        <v>1378</v>
      </c>
      <c r="B131">
        <v>1</v>
      </c>
      <c r="C131" s="56">
        <v>42640</v>
      </c>
      <c r="D131" t="s">
        <v>1449</v>
      </c>
      <c r="E131" t="s">
        <v>2258</v>
      </c>
      <c r="G131" t="s">
        <v>1144</v>
      </c>
      <c r="H131" t="s">
        <v>1144</v>
      </c>
      <c r="I131" t="s">
        <v>1144</v>
      </c>
      <c r="J131" t="s">
        <v>1144</v>
      </c>
      <c r="K131" t="s">
        <v>1144</v>
      </c>
      <c r="L131">
        <v>411.48</v>
      </c>
      <c r="M131">
        <v>2</v>
      </c>
      <c r="N131">
        <v>0</v>
      </c>
      <c r="O131" s="56"/>
      <c r="P131" s="56"/>
      <c r="Q131">
        <v>13718</v>
      </c>
      <c r="R131">
        <v>9</v>
      </c>
      <c r="S131">
        <v>4</v>
      </c>
      <c r="T131">
        <v>2</v>
      </c>
      <c r="U131">
        <v>2</v>
      </c>
      <c r="V131">
        <v>1</v>
      </c>
      <c r="W131" t="s">
        <v>2379</v>
      </c>
      <c r="X131" t="s">
        <v>2386</v>
      </c>
      <c r="AA131">
        <v>0</v>
      </c>
      <c r="AB131">
        <v>0</v>
      </c>
      <c r="AC131">
        <v>0</v>
      </c>
      <c r="AD131">
        <v>0</v>
      </c>
      <c r="AE131">
        <v>0</v>
      </c>
      <c r="AF131">
        <v>0</v>
      </c>
      <c r="AG131">
        <v>0</v>
      </c>
      <c r="AJ131" s="56"/>
      <c r="AK131" s="56">
        <v>42369</v>
      </c>
      <c r="AL131" s="56"/>
      <c r="AM131">
        <v>1</v>
      </c>
      <c r="AP131" t="s">
        <v>1450</v>
      </c>
      <c r="AS131" t="s">
        <v>1152</v>
      </c>
      <c r="AT131">
        <v>1</v>
      </c>
      <c r="AV131">
        <v>1</v>
      </c>
      <c r="AW131">
        <v>1</v>
      </c>
      <c r="AX131">
        <v>0.5</v>
      </c>
      <c r="AY131" t="s">
        <v>1145</v>
      </c>
      <c r="AZ131" t="s">
        <v>1145</v>
      </c>
      <c r="BA131">
        <v>1</v>
      </c>
      <c r="BD131">
        <v>1000000000</v>
      </c>
      <c r="BE131">
        <v>1</v>
      </c>
      <c r="BF131">
        <v>0</v>
      </c>
      <c r="BG131">
        <v>0</v>
      </c>
      <c r="BH131">
        <v>0</v>
      </c>
      <c r="BI131">
        <v>0</v>
      </c>
      <c r="BJ131">
        <v>0</v>
      </c>
      <c r="BK131">
        <v>0</v>
      </c>
      <c r="BL131">
        <v>0</v>
      </c>
      <c r="BM131">
        <v>1</v>
      </c>
      <c r="BN131">
        <v>0</v>
      </c>
      <c r="BO131">
        <v>0</v>
      </c>
      <c r="BP131">
        <v>0</v>
      </c>
      <c r="BR131">
        <v>0</v>
      </c>
      <c r="BS131">
        <v>1</v>
      </c>
      <c r="BX131">
        <v>0</v>
      </c>
      <c r="BY131">
        <v>0</v>
      </c>
      <c r="BZ131">
        <v>0</v>
      </c>
      <c r="CA131">
        <v>-11.94</v>
      </c>
      <c r="CC131">
        <v>1</v>
      </c>
      <c r="CD131" s="56">
        <v>42593</v>
      </c>
      <c r="CE131" s="56">
        <v>42612</v>
      </c>
      <c r="CF131" s="56">
        <v>42612</v>
      </c>
      <c r="CG131" s="56">
        <v>42640</v>
      </c>
      <c r="CH131" s="56"/>
      <c r="CI131" s="56"/>
      <c r="CJ131">
        <v>0</v>
      </c>
      <c r="CK131">
        <v>0</v>
      </c>
      <c r="CL131">
        <v>0</v>
      </c>
      <c r="CM131">
        <v>0</v>
      </c>
      <c r="CN131">
        <v>0.71</v>
      </c>
      <c r="CO131">
        <v>0</v>
      </c>
      <c r="CP131">
        <v>0</v>
      </c>
      <c r="CQ131" t="s">
        <v>1378</v>
      </c>
      <c r="CR131" t="s">
        <v>1377</v>
      </c>
      <c r="CS131" t="s">
        <v>1451</v>
      </c>
      <c r="CT131" t="s">
        <v>1724</v>
      </c>
      <c r="CU131" t="s">
        <v>1742</v>
      </c>
      <c r="CV131" t="s">
        <v>2259</v>
      </c>
      <c r="DB131" t="s">
        <v>2134</v>
      </c>
      <c r="DE131" t="s">
        <v>1724</v>
      </c>
    </row>
    <row r="132" spans="1:109" x14ac:dyDescent="0.25">
      <c r="A132" t="s">
        <v>1378</v>
      </c>
      <c r="B132">
        <v>1</v>
      </c>
      <c r="C132" s="56">
        <v>42640</v>
      </c>
      <c r="D132" t="s">
        <v>1449</v>
      </c>
      <c r="E132" t="s">
        <v>1970</v>
      </c>
      <c r="G132" t="s">
        <v>1144</v>
      </c>
      <c r="H132" t="s">
        <v>1144</v>
      </c>
      <c r="I132" t="s">
        <v>1144</v>
      </c>
      <c r="J132" t="s">
        <v>1144</v>
      </c>
      <c r="K132" t="s">
        <v>1144</v>
      </c>
      <c r="L132">
        <v>320.68</v>
      </c>
      <c r="M132">
        <v>1020.89</v>
      </c>
      <c r="N132">
        <v>0</v>
      </c>
      <c r="O132" s="56"/>
      <c r="P132" s="56"/>
      <c r="Q132">
        <v>13718</v>
      </c>
      <c r="R132">
        <v>9</v>
      </c>
      <c r="S132">
        <v>4</v>
      </c>
      <c r="T132">
        <v>2</v>
      </c>
      <c r="U132">
        <v>2</v>
      </c>
      <c r="V132">
        <v>1</v>
      </c>
      <c r="W132" t="s">
        <v>2379</v>
      </c>
      <c r="X132" t="s">
        <v>2386</v>
      </c>
      <c r="AA132">
        <v>0</v>
      </c>
      <c r="AB132">
        <v>0</v>
      </c>
      <c r="AC132">
        <v>0</v>
      </c>
      <c r="AD132">
        <v>0</v>
      </c>
      <c r="AE132">
        <v>0</v>
      </c>
      <c r="AF132">
        <v>0</v>
      </c>
      <c r="AG132">
        <v>0</v>
      </c>
      <c r="AJ132" s="56"/>
      <c r="AK132" s="56">
        <v>42369</v>
      </c>
      <c r="AL132" s="56"/>
      <c r="AM132">
        <v>2</v>
      </c>
      <c r="AP132" t="s">
        <v>1450</v>
      </c>
      <c r="AS132" t="s">
        <v>1152</v>
      </c>
      <c r="AT132">
        <v>1</v>
      </c>
      <c r="AV132">
        <v>2</v>
      </c>
      <c r="AW132">
        <v>2</v>
      </c>
      <c r="AX132">
        <v>1</v>
      </c>
      <c r="AY132" t="s">
        <v>1145</v>
      </c>
      <c r="AZ132" t="s">
        <v>1145</v>
      </c>
      <c r="BA132">
        <v>2</v>
      </c>
      <c r="BD132">
        <v>1000000000</v>
      </c>
      <c r="BE132">
        <v>2</v>
      </c>
      <c r="BF132">
        <v>0</v>
      </c>
      <c r="BG132">
        <v>0</v>
      </c>
      <c r="BH132">
        <v>0</v>
      </c>
      <c r="BI132">
        <v>0</v>
      </c>
      <c r="BJ132">
        <v>0</v>
      </c>
      <c r="BK132">
        <v>0</v>
      </c>
      <c r="BL132">
        <v>0</v>
      </c>
      <c r="BM132">
        <v>2</v>
      </c>
      <c r="BN132">
        <v>0</v>
      </c>
      <c r="BO132">
        <v>0</v>
      </c>
      <c r="BP132">
        <v>0</v>
      </c>
      <c r="BR132">
        <v>0</v>
      </c>
      <c r="BS132">
        <v>1</v>
      </c>
      <c r="BX132">
        <v>0</v>
      </c>
      <c r="BY132">
        <v>0</v>
      </c>
      <c r="BZ132">
        <v>0</v>
      </c>
      <c r="CA132">
        <v>26.2</v>
      </c>
      <c r="CC132">
        <v>1</v>
      </c>
      <c r="CD132" s="56">
        <v>42593</v>
      </c>
      <c r="CE132" s="56">
        <v>42612</v>
      </c>
      <c r="CF132" s="56">
        <v>42612</v>
      </c>
      <c r="CG132" s="56">
        <v>42640</v>
      </c>
      <c r="CH132" s="56"/>
      <c r="CI132" s="56"/>
      <c r="CJ132">
        <v>0</v>
      </c>
      <c r="CK132">
        <v>0</v>
      </c>
      <c r="CL132">
        <v>0</v>
      </c>
      <c r="CM132">
        <v>0</v>
      </c>
      <c r="CN132">
        <v>0.71</v>
      </c>
      <c r="CO132">
        <v>0</v>
      </c>
      <c r="CP132">
        <v>0</v>
      </c>
      <c r="CQ132" t="s">
        <v>1378</v>
      </c>
      <c r="CR132" t="s">
        <v>1377</v>
      </c>
      <c r="CS132" t="s">
        <v>1451</v>
      </c>
      <c r="CT132" t="s">
        <v>1724</v>
      </c>
      <c r="CU132" t="s">
        <v>1742</v>
      </c>
      <c r="CV132" t="s">
        <v>1971</v>
      </c>
      <c r="DB132" t="s">
        <v>1962</v>
      </c>
      <c r="DE132" t="s">
        <v>1724</v>
      </c>
    </row>
    <row r="133" spans="1:109" x14ac:dyDescent="0.25">
      <c r="A133" t="s">
        <v>1378</v>
      </c>
      <c r="B133">
        <v>1</v>
      </c>
      <c r="C133" s="56">
        <v>42640</v>
      </c>
      <c r="D133" t="s">
        <v>1449</v>
      </c>
      <c r="E133" t="s">
        <v>2105</v>
      </c>
      <c r="G133" t="s">
        <v>1144</v>
      </c>
      <c r="H133" t="s">
        <v>1144</v>
      </c>
      <c r="I133" t="s">
        <v>1144</v>
      </c>
      <c r="J133" t="s">
        <v>1144</v>
      </c>
      <c r="K133" t="s">
        <v>1144</v>
      </c>
      <c r="L133">
        <v>175.41</v>
      </c>
      <c r="M133">
        <v>2</v>
      </c>
      <c r="N133">
        <v>0</v>
      </c>
      <c r="O133" s="56"/>
      <c r="P133" s="56"/>
      <c r="Q133">
        <v>13718</v>
      </c>
      <c r="R133">
        <v>9</v>
      </c>
      <c r="S133">
        <v>4</v>
      </c>
      <c r="T133">
        <v>2</v>
      </c>
      <c r="U133">
        <v>2</v>
      </c>
      <c r="V133">
        <v>1</v>
      </c>
      <c r="W133" t="s">
        <v>1376</v>
      </c>
      <c r="X133" t="s">
        <v>2385</v>
      </c>
      <c r="AA133">
        <v>0</v>
      </c>
      <c r="AB133">
        <v>0</v>
      </c>
      <c r="AC133">
        <v>0</v>
      </c>
      <c r="AD133">
        <v>0</v>
      </c>
      <c r="AE133">
        <v>0</v>
      </c>
      <c r="AF133">
        <v>0</v>
      </c>
      <c r="AG133">
        <v>0</v>
      </c>
      <c r="AJ133" s="56"/>
      <c r="AK133" s="56">
        <v>42369</v>
      </c>
      <c r="AL133" s="56"/>
      <c r="AM133">
        <v>1</v>
      </c>
      <c r="AP133" t="s">
        <v>1450</v>
      </c>
      <c r="AS133" t="s">
        <v>1152</v>
      </c>
      <c r="AT133">
        <v>1</v>
      </c>
      <c r="AV133">
        <v>1</v>
      </c>
      <c r="AW133">
        <v>1</v>
      </c>
      <c r="AX133">
        <v>0.5</v>
      </c>
      <c r="AY133" t="s">
        <v>1145</v>
      </c>
      <c r="AZ133" t="s">
        <v>1145</v>
      </c>
      <c r="BA133">
        <v>2</v>
      </c>
      <c r="BD133">
        <v>1000000000</v>
      </c>
      <c r="BE133">
        <v>1</v>
      </c>
      <c r="BF133">
        <v>0</v>
      </c>
      <c r="BG133">
        <v>0</v>
      </c>
      <c r="BH133">
        <v>0</v>
      </c>
      <c r="BI133">
        <v>0</v>
      </c>
      <c r="BJ133">
        <v>0</v>
      </c>
      <c r="BK133">
        <v>0</v>
      </c>
      <c r="BL133">
        <v>0</v>
      </c>
      <c r="BM133">
        <v>1</v>
      </c>
      <c r="BN133">
        <v>0</v>
      </c>
      <c r="BO133">
        <v>0</v>
      </c>
      <c r="BP133">
        <v>0</v>
      </c>
      <c r="BR133">
        <v>0</v>
      </c>
      <c r="BS133">
        <v>1</v>
      </c>
      <c r="BX133">
        <v>0</v>
      </c>
      <c r="BY133">
        <v>0</v>
      </c>
      <c r="BZ133">
        <v>0</v>
      </c>
      <c r="CA133">
        <v>-11.86</v>
      </c>
      <c r="CC133">
        <v>1</v>
      </c>
      <c r="CD133" s="56">
        <v>42619</v>
      </c>
      <c r="CE133" s="56">
        <v>42619</v>
      </c>
      <c r="CF133" s="56">
        <v>42619</v>
      </c>
      <c r="CG133" s="56">
        <v>42647</v>
      </c>
      <c r="CH133" s="56"/>
      <c r="CI133" s="56"/>
      <c r="CJ133">
        <v>0</v>
      </c>
      <c r="CK133">
        <v>0</v>
      </c>
      <c r="CL133">
        <v>0</v>
      </c>
      <c r="CM133">
        <v>0</v>
      </c>
      <c r="CN133">
        <v>0.65</v>
      </c>
      <c r="CO133">
        <v>0</v>
      </c>
      <c r="CP133">
        <v>0</v>
      </c>
      <c r="CQ133" t="s">
        <v>1378</v>
      </c>
      <c r="CR133" t="s">
        <v>1377</v>
      </c>
      <c r="CS133" t="s">
        <v>1451</v>
      </c>
      <c r="CT133" t="s">
        <v>1724</v>
      </c>
      <c r="CU133" t="s">
        <v>1742</v>
      </c>
      <c r="CV133" t="s">
        <v>2106</v>
      </c>
      <c r="DB133" t="s">
        <v>2014</v>
      </c>
      <c r="DE133" t="s">
        <v>1724</v>
      </c>
    </row>
    <row r="134" spans="1:109" x14ac:dyDescent="0.25">
      <c r="A134" t="s">
        <v>1378</v>
      </c>
      <c r="B134">
        <v>1</v>
      </c>
      <c r="C134" s="56">
        <v>42640</v>
      </c>
      <c r="D134" t="s">
        <v>1449</v>
      </c>
      <c r="E134" t="s">
        <v>1797</v>
      </c>
      <c r="G134" t="s">
        <v>1144</v>
      </c>
      <c r="H134" t="s">
        <v>1144</v>
      </c>
      <c r="I134" t="s">
        <v>1144</v>
      </c>
      <c r="J134" t="s">
        <v>1144</v>
      </c>
      <c r="K134" t="s">
        <v>1144</v>
      </c>
      <c r="L134">
        <v>842.19</v>
      </c>
      <c r="M134">
        <v>2032.14</v>
      </c>
      <c r="N134">
        <v>0</v>
      </c>
      <c r="O134" s="56"/>
      <c r="P134" s="56"/>
      <c r="Q134">
        <v>13718</v>
      </c>
      <c r="R134">
        <v>9</v>
      </c>
      <c r="S134">
        <v>4</v>
      </c>
      <c r="T134">
        <v>2</v>
      </c>
      <c r="U134">
        <v>2</v>
      </c>
      <c r="V134">
        <v>1</v>
      </c>
      <c r="X134" t="s">
        <v>2385</v>
      </c>
      <c r="AA134">
        <v>0</v>
      </c>
      <c r="AB134">
        <v>0</v>
      </c>
      <c r="AC134">
        <v>0</v>
      </c>
      <c r="AD134">
        <v>0</v>
      </c>
      <c r="AE134">
        <v>0</v>
      </c>
      <c r="AF134">
        <v>0</v>
      </c>
      <c r="AG134">
        <v>0</v>
      </c>
      <c r="AJ134" s="56"/>
      <c r="AK134" s="56">
        <v>42369</v>
      </c>
      <c r="AL134" s="56"/>
      <c r="AM134">
        <v>1</v>
      </c>
      <c r="AP134" t="s">
        <v>1450</v>
      </c>
      <c r="AS134" t="s">
        <v>1152</v>
      </c>
      <c r="AT134">
        <v>1</v>
      </c>
      <c r="AV134">
        <v>0</v>
      </c>
      <c r="AW134">
        <v>0</v>
      </c>
      <c r="AX134">
        <v>0</v>
      </c>
      <c r="AY134" t="s">
        <v>1375</v>
      </c>
      <c r="AZ134" t="s">
        <v>1375</v>
      </c>
      <c r="BA134">
        <v>1</v>
      </c>
      <c r="BD134">
        <v>1000000000</v>
      </c>
      <c r="BE134">
        <v>1</v>
      </c>
      <c r="BF134">
        <v>0</v>
      </c>
      <c r="BG134">
        <v>0</v>
      </c>
      <c r="BH134">
        <v>0</v>
      </c>
      <c r="BI134">
        <v>0</v>
      </c>
      <c r="BJ134">
        <v>0</v>
      </c>
      <c r="BK134">
        <v>0</v>
      </c>
      <c r="BL134">
        <v>0</v>
      </c>
      <c r="BM134">
        <v>1</v>
      </c>
      <c r="BN134">
        <v>0</v>
      </c>
      <c r="BO134">
        <v>0</v>
      </c>
      <c r="BP134">
        <v>0</v>
      </c>
      <c r="BR134">
        <v>0</v>
      </c>
      <c r="BS134">
        <v>0</v>
      </c>
      <c r="BX134">
        <v>0</v>
      </c>
      <c r="BY134">
        <v>0</v>
      </c>
      <c r="BZ134">
        <v>0</v>
      </c>
      <c r="CA134">
        <v>0</v>
      </c>
      <c r="CC134">
        <v>1</v>
      </c>
      <c r="CD134" s="56">
        <v>42619</v>
      </c>
      <c r="CE134" s="56">
        <v>42619</v>
      </c>
      <c r="CF134" s="56">
        <v>42619</v>
      </c>
      <c r="CG134" s="56">
        <v>42647</v>
      </c>
      <c r="CH134" s="56"/>
      <c r="CI134" s="56"/>
      <c r="CJ134">
        <v>0</v>
      </c>
      <c r="CK134">
        <v>0</v>
      </c>
      <c r="CL134">
        <v>0</v>
      </c>
      <c r="CM134">
        <v>0</v>
      </c>
      <c r="CN134">
        <v>0</v>
      </c>
      <c r="CO134">
        <v>0</v>
      </c>
      <c r="CP134">
        <v>0.65</v>
      </c>
      <c r="CQ134" t="s">
        <v>1378</v>
      </c>
      <c r="CR134" t="s">
        <v>1377</v>
      </c>
      <c r="CS134" t="s">
        <v>1451</v>
      </c>
      <c r="CT134" t="s">
        <v>1724</v>
      </c>
      <c r="CU134" t="s">
        <v>1742</v>
      </c>
      <c r="CV134" t="s">
        <v>1798</v>
      </c>
      <c r="DB134" t="s">
        <v>1794</v>
      </c>
      <c r="DE134" t="s">
        <v>1724</v>
      </c>
    </row>
    <row r="135" spans="1:109" x14ac:dyDescent="0.25">
      <c r="A135" t="s">
        <v>1378</v>
      </c>
      <c r="B135">
        <v>1</v>
      </c>
      <c r="C135" s="56">
        <v>42640</v>
      </c>
      <c r="D135" t="s">
        <v>1449</v>
      </c>
      <c r="E135" t="s">
        <v>2156</v>
      </c>
      <c r="G135" t="s">
        <v>1144</v>
      </c>
      <c r="H135" t="s">
        <v>1144</v>
      </c>
      <c r="I135" t="s">
        <v>1144</v>
      </c>
      <c r="J135" t="s">
        <v>1144</v>
      </c>
      <c r="K135" t="s">
        <v>1144</v>
      </c>
      <c r="L135">
        <v>2158.61</v>
      </c>
      <c r="M135">
        <v>2</v>
      </c>
      <c r="N135">
        <v>0</v>
      </c>
      <c r="O135" s="56"/>
      <c r="P135" s="56"/>
      <c r="Q135">
        <v>13718</v>
      </c>
      <c r="R135">
        <v>9</v>
      </c>
      <c r="S135">
        <v>4</v>
      </c>
      <c r="T135">
        <v>2</v>
      </c>
      <c r="U135">
        <v>2</v>
      </c>
      <c r="V135">
        <v>1</v>
      </c>
      <c r="X135" t="s">
        <v>2386</v>
      </c>
      <c r="AA135">
        <v>0</v>
      </c>
      <c r="AB135">
        <v>0</v>
      </c>
      <c r="AC135">
        <v>0</v>
      </c>
      <c r="AD135">
        <v>0</v>
      </c>
      <c r="AE135">
        <v>0</v>
      </c>
      <c r="AF135">
        <v>0</v>
      </c>
      <c r="AG135">
        <v>0</v>
      </c>
      <c r="AJ135" s="56"/>
      <c r="AK135" s="56"/>
      <c r="AL135" s="56"/>
      <c r="AP135" t="s">
        <v>1450</v>
      </c>
      <c r="AS135" t="s">
        <v>1152</v>
      </c>
      <c r="AT135">
        <v>1</v>
      </c>
      <c r="AV135">
        <v>0</v>
      </c>
      <c r="AW135">
        <v>0</v>
      </c>
      <c r="AX135">
        <v>0</v>
      </c>
      <c r="AY135" t="s">
        <v>1375</v>
      </c>
      <c r="AZ135" t="s">
        <v>1375</v>
      </c>
      <c r="BA135">
        <v>0</v>
      </c>
      <c r="BD135">
        <v>1000000000</v>
      </c>
      <c r="BE135">
        <v>2</v>
      </c>
      <c r="BF135">
        <v>0</v>
      </c>
      <c r="BG135">
        <v>0</v>
      </c>
      <c r="BH135">
        <v>0</v>
      </c>
      <c r="BI135">
        <v>0</v>
      </c>
      <c r="BJ135">
        <v>0</v>
      </c>
      <c r="BK135">
        <v>0</v>
      </c>
      <c r="BL135">
        <v>0</v>
      </c>
      <c r="BM135">
        <v>2</v>
      </c>
      <c r="BN135">
        <v>0</v>
      </c>
      <c r="BO135">
        <v>0</v>
      </c>
      <c r="BP135">
        <v>0</v>
      </c>
      <c r="BR135">
        <v>0</v>
      </c>
      <c r="BS135">
        <v>0</v>
      </c>
      <c r="BX135">
        <v>0</v>
      </c>
      <c r="BY135">
        <v>0</v>
      </c>
      <c r="BZ135">
        <v>0</v>
      </c>
      <c r="CA135">
        <v>0</v>
      </c>
      <c r="CC135">
        <v>1</v>
      </c>
      <c r="CD135" s="56">
        <v>42593</v>
      </c>
      <c r="CE135" s="56">
        <v>42612</v>
      </c>
      <c r="CF135" s="56">
        <v>42612</v>
      </c>
      <c r="CG135" s="56">
        <v>42640</v>
      </c>
      <c r="CH135" s="56"/>
      <c r="CI135" s="56"/>
      <c r="CJ135">
        <v>0</v>
      </c>
      <c r="CK135">
        <v>0</v>
      </c>
      <c r="CL135">
        <v>0</v>
      </c>
      <c r="CM135">
        <v>0</v>
      </c>
      <c r="CN135">
        <v>0</v>
      </c>
      <c r="CO135">
        <v>0</v>
      </c>
      <c r="CP135">
        <v>0.71</v>
      </c>
      <c r="CQ135" t="s">
        <v>1378</v>
      </c>
      <c r="CR135" t="s">
        <v>1377</v>
      </c>
      <c r="CS135" t="s">
        <v>1451</v>
      </c>
      <c r="CT135" t="s">
        <v>1724</v>
      </c>
      <c r="CU135" t="s">
        <v>1742</v>
      </c>
      <c r="CV135" t="s">
        <v>2147</v>
      </c>
      <c r="DB135" t="s">
        <v>2145</v>
      </c>
      <c r="DE135" t="s">
        <v>1724</v>
      </c>
    </row>
    <row r="136" spans="1:109" x14ac:dyDescent="0.25">
      <c r="A136" t="s">
        <v>1378</v>
      </c>
      <c r="B136">
        <v>1</v>
      </c>
      <c r="C136" s="56">
        <v>42640</v>
      </c>
      <c r="D136" t="s">
        <v>1449</v>
      </c>
      <c r="E136" t="s">
        <v>1730</v>
      </c>
      <c r="G136" t="s">
        <v>1144</v>
      </c>
      <c r="H136" t="s">
        <v>1144</v>
      </c>
      <c r="I136" t="s">
        <v>1144</v>
      </c>
      <c r="J136" t="s">
        <v>1144</v>
      </c>
      <c r="K136" t="s">
        <v>1144</v>
      </c>
      <c r="L136">
        <v>0</v>
      </c>
      <c r="M136">
        <v>91.5</v>
      </c>
      <c r="N136">
        <v>0</v>
      </c>
      <c r="O136" s="56"/>
      <c r="P136" s="56"/>
      <c r="Q136">
        <v>13718</v>
      </c>
      <c r="R136">
        <v>9</v>
      </c>
      <c r="S136">
        <v>4</v>
      </c>
      <c r="T136">
        <v>2</v>
      </c>
      <c r="U136">
        <v>2</v>
      </c>
      <c r="V136">
        <v>1</v>
      </c>
      <c r="W136" t="s">
        <v>1376</v>
      </c>
      <c r="X136" t="s">
        <v>2385</v>
      </c>
      <c r="AA136">
        <v>0</v>
      </c>
      <c r="AB136">
        <v>0</v>
      </c>
      <c r="AC136">
        <v>0</v>
      </c>
      <c r="AD136">
        <v>0</v>
      </c>
      <c r="AE136">
        <v>0</v>
      </c>
      <c r="AF136">
        <v>20</v>
      </c>
      <c r="AG136">
        <v>0</v>
      </c>
      <c r="AJ136" s="56"/>
      <c r="AK136" s="56"/>
      <c r="AL136" s="56">
        <v>42322</v>
      </c>
      <c r="AM136">
        <v>3</v>
      </c>
      <c r="AP136" t="s">
        <v>1450</v>
      </c>
      <c r="AS136" t="s">
        <v>1152</v>
      </c>
      <c r="AT136">
        <v>1</v>
      </c>
      <c r="AV136">
        <v>2</v>
      </c>
      <c r="AW136">
        <v>2</v>
      </c>
      <c r="AX136">
        <v>1</v>
      </c>
      <c r="AY136" t="s">
        <v>838</v>
      </c>
      <c r="AZ136" t="s">
        <v>838</v>
      </c>
      <c r="BA136">
        <v>3</v>
      </c>
      <c r="BD136">
        <v>1000000000</v>
      </c>
      <c r="BE136">
        <v>0</v>
      </c>
      <c r="BF136">
        <v>1</v>
      </c>
      <c r="BG136">
        <v>0</v>
      </c>
      <c r="BH136">
        <v>0</v>
      </c>
      <c r="BI136">
        <v>0</v>
      </c>
      <c r="BJ136">
        <v>0</v>
      </c>
      <c r="BK136">
        <v>0</v>
      </c>
      <c r="BL136">
        <v>0</v>
      </c>
      <c r="BM136">
        <v>0</v>
      </c>
      <c r="BN136">
        <v>1</v>
      </c>
      <c r="BO136">
        <v>0</v>
      </c>
      <c r="BP136">
        <v>0</v>
      </c>
      <c r="BR136">
        <v>2</v>
      </c>
      <c r="BS136">
        <v>1</v>
      </c>
      <c r="BX136">
        <v>91.5</v>
      </c>
      <c r="BY136">
        <v>0</v>
      </c>
      <c r="BZ136">
        <v>0</v>
      </c>
      <c r="CA136">
        <v>0</v>
      </c>
      <c r="CC136">
        <v>1</v>
      </c>
      <c r="CD136" s="56">
        <v>42619</v>
      </c>
      <c r="CE136" s="56">
        <v>42619</v>
      </c>
      <c r="CF136" s="56">
        <v>42619</v>
      </c>
      <c r="CG136" s="56">
        <v>42647</v>
      </c>
      <c r="CH136" s="56"/>
      <c r="CI136" s="56"/>
      <c r="CJ136">
        <v>1</v>
      </c>
      <c r="CK136">
        <v>0</v>
      </c>
      <c r="CL136">
        <v>0.65</v>
      </c>
      <c r="CM136">
        <v>0</v>
      </c>
      <c r="CN136">
        <v>0</v>
      </c>
      <c r="CO136">
        <v>0</v>
      </c>
      <c r="CP136">
        <v>0</v>
      </c>
      <c r="CQ136" t="s">
        <v>1378</v>
      </c>
      <c r="CR136" t="s">
        <v>1377</v>
      </c>
      <c r="CS136" t="s">
        <v>1451</v>
      </c>
      <c r="CT136" t="s">
        <v>1724</v>
      </c>
      <c r="CU136" t="s">
        <v>1742</v>
      </c>
      <c r="CV136" t="s">
        <v>1845</v>
      </c>
      <c r="DB136" t="s">
        <v>1830</v>
      </c>
      <c r="DE136" t="s">
        <v>1724</v>
      </c>
    </row>
    <row r="137" spans="1:109" x14ac:dyDescent="0.25">
      <c r="A137" t="s">
        <v>1378</v>
      </c>
      <c r="B137">
        <v>1</v>
      </c>
      <c r="C137" s="56">
        <v>42640</v>
      </c>
      <c r="D137" t="s">
        <v>1449</v>
      </c>
      <c r="E137" t="s">
        <v>2198</v>
      </c>
      <c r="G137" t="s">
        <v>1144</v>
      </c>
      <c r="H137" t="s">
        <v>1144</v>
      </c>
      <c r="I137" t="s">
        <v>1144</v>
      </c>
      <c r="J137" t="s">
        <v>1144</v>
      </c>
      <c r="K137" t="s">
        <v>1144</v>
      </c>
      <c r="L137">
        <v>447.47</v>
      </c>
      <c r="M137">
        <v>2</v>
      </c>
      <c r="N137">
        <v>0</v>
      </c>
      <c r="O137" s="56"/>
      <c r="P137" s="56"/>
      <c r="Q137">
        <v>13718</v>
      </c>
      <c r="R137">
        <v>9</v>
      </c>
      <c r="S137">
        <v>4</v>
      </c>
      <c r="T137">
        <v>2</v>
      </c>
      <c r="U137">
        <v>2</v>
      </c>
      <c r="V137">
        <v>1</v>
      </c>
      <c r="X137" t="s">
        <v>2386</v>
      </c>
      <c r="AA137">
        <v>0</v>
      </c>
      <c r="AB137">
        <v>0</v>
      </c>
      <c r="AC137">
        <v>0</v>
      </c>
      <c r="AD137">
        <v>0</v>
      </c>
      <c r="AE137">
        <v>0</v>
      </c>
      <c r="AF137">
        <v>0</v>
      </c>
      <c r="AG137">
        <v>0</v>
      </c>
      <c r="AJ137" s="56"/>
      <c r="AK137" s="56">
        <v>42369</v>
      </c>
      <c r="AL137" s="56"/>
      <c r="AM137">
        <v>1</v>
      </c>
      <c r="AP137" t="s">
        <v>1450</v>
      </c>
      <c r="AS137" t="s">
        <v>1152</v>
      </c>
      <c r="AT137">
        <v>1</v>
      </c>
      <c r="AV137">
        <v>1</v>
      </c>
      <c r="AW137">
        <v>1</v>
      </c>
      <c r="AX137">
        <v>0.5</v>
      </c>
      <c r="AY137" t="s">
        <v>1147</v>
      </c>
      <c r="AZ137" t="s">
        <v>1147</v>
      </c>
      <c r="BA137">
        <v>1</v>
      </c>
      <c r="BD137">
        <v>1000000000</v>
      </c>
      <c r="BE137">
        <v>2</v>
      </c>
      <c r="BF137">
        <v>-1</v>
      </c>
      <c r="BG137">
        <v>0</v>
      </c>
      <c r="BH137">
        <v>0</v>
      </c>
      <c r="BI137">
        <v>0</v>
      </c>
      <c r="BJ137">
        <v>0</v>
      </c>
      <c r="BK137">
        <v>0</v>
      </c>
      <c r="BL137">
        <v>0</v>
      </c>
      <c r="BM137">
        <v>2</v>
      </c>
      <c r="BN137">
        <v>-1</v>
      </c>
      <c r="BO137">
        <v>0</v>
      </c>
      <c r="BP137">
        <v>0</v>
      </c>
      <c r="BR137">
        <v>0</v>
      </c>
      <c r="BS137">
        <v>1</v>
      </c>
      <c r="BX137">
        <v>0</v>
      </c>
      <c r="BY137">
        <v>447.47</v>
      </c>
      <c r="BZ137">
        <v>0</v>
      </c>
      <c r="CA137">
        <v>-11.95</v>
      </c>
      <c r="CC137">
        <v>1</v>
      </c>
      <c r="CD137" s="56">
        <v>42593</v>
      </c>
      <c r="CE137" s="56">
        <v>42612</v>
      </c>
      <c r="CF137" s="56">
        <v>42612</v>
      </c>
      <c r="CG137" s="56">
        <v>42640</v>
      </c>
      <c r="CH137" s="56"/>
      <c r="CI137" s="56"/>
      <c r="CJ137">
        <v>0</v>
      </c>
      <c r="CK137">
        <v>0</v>
      </c>
      <c r="CL137">
        <v>0</v>
      </c>
      <c r="CM137">
        <v>0</v>
      </c>
      <c r="CN137">
        <v>0</v>
      </c>
      <c r="CO137">
        <v>0</v>
      </c>
      <c r="CP137">
        <v>0.71</v>
      </c>
      <c r="CQ137" t="s">
        <v>1378</v>
      </c>
      <c r="CR137" t="s">
        <v>1377</v>
      </c>
      <c r="CS137" t="s">
        <v>1451</v>
      </c>
      <c r="CT137" t="s">
        <v>1724</v>
      </c>
      <c r="CU137" t="s">
        <v>1742</v>
      </c>
      <c r="CV137" t="s">
        <v>2199</v>
      </c>
      <c r="DB137" t="s">
        <v>2161</v>
      </c>
      <c r="DE137" t="s">
        <v>1724</v>
      </c>
    </row>
    <row r="138" spans="1:109" x14ac:dyDescent="0.25">
      <c r="A138" t="s">
        <v>1378</v>
      </c>
      <c r="B138">
        <v>1</v>
      </c>
      <c r="C138" s="56">
        <v>42640</v>
      </c>
      <c r="D138" t="s">
        <v>1449</v>
      </c>
      <c r="E138" t="s">
        <v>1464</v>
      </c>
      <c r="G138" t="s">
        <v>1144</v>
      </c>
      <c r="H138" t="s">
        <v>1144</v>
      </c>
      <c r="I138" t="s">
        <v>1144</v>
      </c>
      <c r="J138" t="s">
        <v>1144</v>
      </c>
      <c r="K138" t="s">
        <v>1144</v>
      </c>
      <c r="L138">
        <v>372.38</v>
      </c>
      <c r="M138">
        <v>717.51</v>
      </c>
      <c r="N138">
        <v>0</v>
      </c>
      <c r="O138" s="56"/>
      <c r="P138" s="56"/>
      <c r="Q138">
        <v>13718</v>
      </c>
      <c r="R138">
        <v>9</v>
      </c>
      <c r="S138">
        <v>4</v>
      </c>
      <c r="T138">
        <v>2</v>
      </c>
      <c r="U138">
        <v>2</v>
      </c>
      <c r="V138">
        <v>1</v>
      </c>
      <c r="X138" t="s">
        <v>2385</v>
      </c>
      <c r="AA138">
        <v>0.31</v>
      </c>
      <c r="AB138">
        <v>2</v>
      </c>
      <c r="AC138">
        <v>2.42</v>
      </c>
      <c r="AD138">
        <v>5.65</v>
      </c>
      <c r="AE138">
        <v>0</v>
      </c>
      <c r="AF138">
        <v>0</v>
      </c>
      <c r="AG138">
        <v>0</v>
      </c>
      <c r="AJ138" s="56"/>
      <c r="AK138" s="56"/>
      <c r="AL138" s="56"/>
      <c r="AM138">
        <v>6</v>
      </c>
      <c r="AP138" t="s">
        <v>1450</v>
      </c>
      <c r="AS138" t="s">
        <v>1152</v>
      </c>
      <c r="AT138">
        <v>1</v>
      </c>
      <c r="AV138">
        <v>3</v>
      </c>
      <c r="AW138">
        <v>2</v>
      </c>
      <c r="AX138">
        <v>1</v>
      </c>
      <c r="AY138" t="s">
        <v>1147</v>
      </c>
      <c r="AZ138" t="s">
        <v>1147</v>
      </c>
      <c r="BA138">
        <v>6</v>
      </c>
      <c r="BD138">
        <v>1000000000</v>
      </c>
      <c r="BE138">
        <v>7</v>
      </c>
      <c r="BF138">
        <v>-1.33</v>
      </c>
      <c r="BG138">
        <v>0</v>
      </c>
      <c r="BH138">
        <v>0</v>
      </c>
      <c r="BI138">
        <v>0</v>
      </c>
      <c r="BJ138">
        <v>0</v>
      </c>
      <c r="BK138">
        <v>0</v>
      </c>
      <c r="BL138">
        <v>0</v>
      </c>
      <c r="BM138">
        <v>7</v>
      </c>
      <c r="BN138">
        <v>-1.33</v>
      </c>
      <c r="BO138">
        <v>0</v>
      </c>
      <c r="BP138">
        <v>0</v>
      </c>
      <c r="BR138">
        <v>0</v>
      </c>
      <c r="BS138">
        <v>2</v>
      </c>
      <c r="BX138">
        <v>0</v>
      </c>
      <c r="BY138">
        <v>1489.52</v>
      </c>
      <c r="BZ138">
        <v>0</v>
      </c>
      <c r="CA138">
        <v>11.12</v>
      </c>
      <c r="CC138">
        <v>1</v>
      </c>
      <c r="CD138" s="56">
        <v>42619</v>
      </c>
      <c r="CE138" s="56">
        <v>42619</v>
      </c>
      <c r="CF138" s="56">
        <v>42619</v>
      </c>
      <c r="CG138" s="56">
        <v>42647</v>
      </c>
      <c r="CH138" s="56"/>
      <c r="CI138" s="56"/>
      <c r="CJ138">
        <v>0</v>
      </c>
      <c r="CK138">
        <v>0</v>
      </c>
      <c r="CL138">
        <v>0</v>
      </c>
      <c r="CM138">
        <v>0</v>
      </c>
      <c r="CN138">
        <v>0</v>
      </c>
      <c r="CO138">
        <v>0</v>
      </c>
      <c r="CP138">
        <v>0.65</v>
      </c>
      <c r="CQ138" t="s">
        <v>1378</v>
      </c>
      <c r="CR138" t="s">
        <v>1377</v>
      </c>
      <c r="CS138" t="s">
        <v>1451</v>
      </c>
      <c r="CT138" t="s">
        <v>1724</v>
      </c>
      <c r="CU138" t="s">
        <v>1742</v>
      </c>
      <c r="CV138" t="s">
        <v>1895</v>
      </c>
      <c r="DB138" t="s">
        <v>1888</v>
      </c>
      <c r="DE138" t="s">
        <v>1724</v>
      </c>
    </row>
    <row r="139" spans="1:109" x14ac:dyDescent="0.25">
      <c r="A139" t="s">
        <v>1378</v>
      </c>
      <c r="B139">
        <v>1</v>
      </c>
      <c r="C139" s="56">
        <v>42640</v>
      </c>
      <c r="D139" t="s">
        <v>1449</v>
      </c>
      <c r="E139" t="s">
        <v>2244</v>
      </c>
      <c r="G139" t="s">
        <v>1144</v>
      </c>
      <c r="H139" t="s">
        <v>1144</v>
      </c>
      <c r="I139" t="s">
        <v>1144</v>
      </c>
      <c r="J139" t="s">
        <v>1144</v>
      </c>
      <c r="K139" t="s">
        <v>1144</v>
      </c>
      <c r="L139">
        <v>391.59</v>
      </c>
      <c r="M139">
        <v>2</v>
      </c>
      <c r="N139">
        <v>0</v>
      </c>
      <c r="O139" s="56"/>
      <c r="P139" s="56"/>
      <c r="Q139">
        <v>13718</v>
      </c>
      <c r="R139">
        <v>9</v>
      </c>
      <c r="S139">
        <v>4</v>
      </c>
      <c r="T139">
        <v>2</v>
      </c>
      <c r="U139">
        <v>2</v>
      </c>
      <c r="V139">
        <v>1</v>
      </c>
      <c r="W139" t="s">
        <v>2379</v>
      </c>
      <c r="X139" t="s">
        <v>2386</v>
      </c>
      <c r="AA139">
        <v>0</v>
      </c>
      <c r="AB139">
        <v>0</v>
      </c>
      <c r="AC139">
        <v>0</v>
      </c>
      <c r="AD139">
        <v>0</v>
      </c>
      <c r="AE139">
        <v>0</v>
      </c>
      <c r="AF139">
        <v>0</v>
      </c>
      <c r="AG139">
        <v>0</v>
      </c>
      <c r="AJ139" s="56"/>
      <c r="AK139" s="56">
        <v>42369</v>
      </c>
      <c r="AL139" s="56"/>
      <c r="AM139">
        <v>1</v>
      </c>
      <c r="AP139" t="s">
        <v>1450</v>
      </c>
      <c r="AS139" t="s">
        <v>1152</v>
      </c>
      <c r="AT139">
        <v>1</v>
      </c>
      <c r="AV139">
        <v>1</v>
      </c>
      <c r="AW139">
        <v>1</v>
      </c>
      <c r="AX139">
        <v>0.5</v>
      </c>
      <c r="AY139" t="s">
        <v>1145</v>
      </c>
      <c r="AZ139" t="s">
        <v>1145</v>
      </c>
      <c r="BA139">
        <v>1</v>
      </c>
      <c r="BD139">
        <v>1000000000</v>
      </c>
      <c r="BE139">
        <v>1</v>
      </c>
      <c r="BF139">
        <v>0</v>
      </c>
      <c r="BG139">
        <v>0</v>
      </c>
      <c r="BH139">
        <v>0</v>
      </c>
      <c r="BI139">
        <v>0</v>
      </c>
      <c r="BJ139">
        <v>0</v>
      </c>
      <c r="BK139">
        <v>0</v>
      </c>
      <c r="BL139">
        <v>0</v>
      </c>
      <c r="BM139">
        <v>1</v>
      </c>
      <c r="BN139">
        <v>0</v>
      </c>
      <c r="BO139">
        <v>0</v>
      </c>
      <c r="BP139">
        <v>0</v>
      </c>
      <c r="BR139">
        <v>0</v>
      </c>
      <c r="BS139">
        <v>1</v>
      </c>
      <c r="BX139">
        <v>0</v>
      </c>
      <c r="BY139">
        <v>0</v>
      </c>
      <c r="BZ139">
        <v>0</v>
      </c>
      <c r="CA139">
        <v>-11.94</v>
      </c>
      <c r="CC139">
        <v>1</v>
      </c>
      <c r="CD139" s="56">
        <v>42593</v>
      </c>
      <c r="CE139" s="56">
        <v>42612</v>
      </c>
      <c r="CF139" s="56">
        <v>42612</v>
      </c>
      <c r="CG139" s="56">
        <v>42640</v>
      </c>
      <c r="CH139" s="56"/>
      <c r="CI139" s="56"/>
      <c r="CJ139">
        <v>0</v>
      </c>
      <c r="CK139">
        <v>0</v>
      </c>
      <c r="CL139">
        <v>0</v>
      </c>
      <c r="CM139">
        <v>0</v>
      </c>
      <c r="CN139">
        <v>0.71</v>
      </c>
      <c r="CO139">
        <v>0</v>
      </c>
      <c r="CP139">
        <v>0</v>
      </c>
      <c r="CQ139" t="s">
        <v>1378</v>
      </c>
      <c r="CR139" t="s">
        <v>1377</v>
      </c>
      <c r="CS139" t="s">
        <v>1451</v>
      </c>
      <c r="CT139" t="s">
        <v>1724</v>
      </c>
      <c r="CU139" t="s">
        <v>1742</v>
      </c>
      <c r="CV139" t="s">
        <v>2236</v>
      </c>
      <c r="DB139" t="s">
        <v>2134</v>
      </c>
      <c r="DE139" t="s">
        <v>1724</v>
      </c>
    </row>
    <row r="140" spans="1:109" x14ac:dyDescent="0.25">
      <c r="A140" t="s">
        <v>1378</v>
      </c>
      <c r="B140">
        <v>1</v>
      </c>
      <c r="C140" s="56">
        <v>42640</v>
      </c>
      <c r="D140" t="s">
        <v>1449</v>
      </c>
      <c r="E140" t="s">
        <v>1960</v>
      </c>
      <c r="G140" t="s">
        <v>1144</v>
      </c>
      <c r="H140" t="s">
        <v>1144</v>
      </c>
      <c r="I140" t="s">
        <v>1144</v>
      </c>
      <c r="J140" t="s">
        <v>1144</v>
      </c>
      <c r="K140" t="s">
        <v>1144</v>
      </c>
      <c r="L140">
        <v>0</v>
      </c>
      <c r="M140">
        <v>230.18</v>
      </c>
      <c r="N140">
        <v>0</v>
      </c>
      <c r="O140" s="56"/>
      <c r="P140" s="56"/>
      <c r="Q140">
        <v>13718</v>
      </c>
      <c r="R140">
        <v>9</v>
      </c>
      <c r="S140">
        <v>4</v>
      </c>
      <c r="T140">
        <v>2</v>
      </c>
      <c r="U140">
        <v>2</v>
      </c>
      <c r="V140">
        <v>1</v>
      </c>
      <c r="X140" t="s">
        <v>2386</v>
      </c>
      <c r="AA140">
        <v>0</v>
      </c>
      <c r="AB140">
        <v>0</v>
      </c>
      <c r="AC140">
        <v>0</v>
      </c>
      <c r="AD140">
        <v>0</v>
      </c>
      <c r="AE140">
        <v>0</v>
      </c>
      <c r="AF140">
        <v>0</v>
      </c>
      <c r="AG140">
        <v>0</v>
      </c>
      <c r="AJ140" s="56"/>
      <c r="AK140" s="56"/>
      <c r="AL140" s="56"/>
      <c r="AP140" t="s">
        <v>1450</v>
      </c>
      <c r="AS140" t="s">
        <v>1152</v>
      </c>
      <c r="AT140">
        <v>1</v>
      </c>
      <c r="AV140">
        <v>0</v>
      </c>
      <c r="AW140">
        <v>0</v>
      </c>
      <c r="AX140">
        <v>0</v>
      </c>
      <c r="AY140" t="s">
        <v>1375</v>
      </c>
      <c r="AZ140" t="s">
        <v>1375</v>
      </c>
      <c r="BA140">
        <v>0</v>
      </c>
      <c r="BD140">
        <v>1000000000</v>
      </c>
      <c r="BE140">
        <v>0</v>
      </c>
      <c r="BF140">
        <v>0</v>
      </c>
      <c r="BG140">
        <v>0</v>
      </c>
      <c r="BH140">
        <v>0</v>
      </c>
      <c r="BI140">
        <v>0</v>
      </c>
      <c r="BJ140">
        <v>0</v>
      </c>
      <c r="BK140">
        <v>0</v>
      </c>
      <c r="BL140">
        <v>0</v>
      </c>
      <c r="BM140">
        <v>0</v>
      </c>
      <c r="BN140">
        <v>0</v>
      </c>
      <c r="BO140">
        <v>0</v>
      </c>
      <c r="BP140">
        <v>0</v>
      </c>
      <c r="BR140">
        <v>0</v>
      </c>
      <c r="BS140">
        <v>0</v>
      </c>
      <c r="BX140">
        <v>0</v>
      </c>
      <c r="BY140">
        <v>0</v>
      </c>
      <c r="BZ140">
        <v>0</v>
      </c>
      <c r="CA140">
        <v>0</v>
      </c>
      <c r="CC140">
        <v>1</v>
      </c>
      <c r="CD140" s="56">
        <v>42593</v>
      </c>
      <c r="CE140" s="56">
        <v>42612</v>
      </c>
      <c r="CF140" s="56">
        <v>42612</v>
      </c>
      <c r="CG140" s="56">
        <v>42640</v>
      </c>
      <c r="CH140" s="56"/>
      <c r="CI140" s="56"/>
      <c r="CJ140">
        <v>1</v>
      </c>
      <c r="CK140">
        <v>0</v>
      </c>
      <c r="CL140">
        <v>0.71</v>
      </c>
      <c r="CM140">
        <v>0</v>
      </c>
      <c r="CN140">
        <v>0</v>
      </c>
      <c r="CO140">
        <v>0</v>
      </c>
      <c r="CP140">
        <v>0</v>
      </c>
      <c r="CQ140" t="s">
        <v>1378</v>
      </c>
      <c r="CR140" t="s">
        <v>1377</v>
      </c>
      <c r="CS140" t="s">
        <v>1451</v>
      </c>
      <c r="CT140" t="s">
        <v>1724</v>
      </c>
      <c r="CU140" t="s">
        <v>1742</v>
      </c>
      <c r="CV140" t="s">
        <v>1954</v>
      </c>
      <c r="DB140" t="s">
        <v>1869</v>
      </c>
      <c r="DE140" t="s">
        <v>1724</v>
      </c>
    </row>
    <row r="141" spans="1:109" x14ac:dyDescent="0.25">
      <c r="A141" t="s">
        <v>1378</v>
      </c>
      <c r="B141">
        <v>1</v>
      </c>
      <c r="C141" s="56">
        <v>42640</v>
      </c>
      <c r="D141" t="s">
        <v>1449</v>
      </c>
      <c r="E141" t="s">
        <v>2298</v>
      </c>
      <c r="G141" t="s">
        <v>1144</v>
      </c>
      <c r="H141" t="s">
        <v>1144</v>
      </c>
      <c r="I141" t="s">
        <v>1144</v>
      </c>
      <c r="J141" t="s">
        <v>1144</v>
      </c>
      <c r="K141" t="s">
        <v>1144</v>
      </c>
      <c r="L141">
        <v>590.29999999999995</v>
      </c>
      <c r="M141">
        <v>2</v>
      </c>
      <c r="N141">
        <v>0</v>
      </c>
      <c r="O141" s="56"/>
      <c r="P141" s="56"/>
      <c r="Q141">
        <v>13718</v>
      </c>
      <c r="R141">
        <v>9</v>
      </c>
      <c r="S141">
        <v>4</v>
      </c>
      <c r="T141">
        <v>2</v>
      </c>
      <c r="U141">
        <v>2</v>
      </c>
      <c r="V141">
        <v>1</v>
      </c>
      <c r="W141" t="s">
        <v>2379</v>
      </c>
      <c r="X141" t="s">
        <v>2387</v>
      </c>
      <c r="AA141">
        <v>0</v>
      </c>
      <c r="AB141">
        <v>0</v>
      </c>
      <c r="AC141">
        <v>0</v>
      </c>
      <c r="AD141">
        <v>0</v>
      </c>
      <c r="AE141">
        <v>0</v>
      </c>
      <c r="AF141">
        <v>0</v>
      </c>
      <c r="AG141">
        <v>0</v>
      </c>
      <c r="AJ141" s="56"/>
      <c r="AK141" s="56"/>
      <c r="AL141" s="56"/>
      <c r="AM141">
        <v>1</v>
      </c>
      <c r="AP141" t="s">
        <v>1450</v>
      </c>
      <c r="AS141" t="s">
        <v>1152</v>
      </c>
      <c r="AT141">
        <v>1</v>
      </c>
      <c r="AV141">
        <v>2</v>
      </c>
      <c r="AW141">
        <v>2</v>
      </c>
      <c r="AX141">
        <v>1</v>
      </c>
      <c r="AY141" t="s">
        <v>1145</v>
      </c>
      <c r="AZ141" t="s">
        <v>1145</v>
      </c>
      <c r="BA141">
        <v>1</v>
      </c>
      <c r="BD141">
        <v>1000000000</v>
      </c>
      <c r="BE141">
        <v>2</v>
      </c>
      <c r="BF141">
        <v>0</v>
      </c>
      <c r="BG141">
        <v>0</v>
      </c>
      <c r="BH141">
        <v>0</v>
      </c>
      <c r="BI141">
        <v>0</v>
      </c>
      <c r="BJ141">
        <v>0</v>
      </c>
      <c r="BK141">
        <v>0</v>
      </c>
      <c r="BL141">
        <v>0</v>
      </c>
      <c r="BM141">
        <v>2</v>
      </c>
      <c r="BN141">
        <v>0</v>
      </c>
      <c r="BO141">
        <v>0</v>
      </c>
      <c r="BP141">
        <v>0</v>
      </c>
      <c r="BR141">
        <v>0</v>
      </c>
      <c r="BS141">
        <v>1</v>
      </c>
      <c r="BX141">
        <v>0</v>
      </c>
      <c r="BY141">
        <v>0</v>
      </c>
      <c r="BZ141">
        <v>0</v>
      </c>
      <c r="CA141">
        <v>-11.96</v>
      </c>
      <c r="CC141">
        <v>1</v>
      </c>
      <c r="CD141" s="56">
        <v>42592</v>
      </c>
      <c r="CE141" s="56">
        <v>42612</v>
      </c>
      <c r="CF141" s="56">
        <v>42612</v>
      </c>
      <c r="CG141" s="56">
        <v>42640</v>
      </c>
      <c r="CH141" s="56"/>
      <c r="CI141" s="56"/>
      <c r="CJ141">
        <v>0</v>
      </c>
      <c r="CK141">
        <v>0</v>
      </c>
      <c r="CL141">
        <v>0</v>
      </c>
      <c r="CM141">
        <v>0</v>
      </c>
      <c r="CN141">
        <v>0.71</v>
      </c>
      <c r="CO141">
        <v>0</v>
      </c>
      <c r="CP141">
        <v>0</v>
      </c>
      <c r="CQ141" t="s">
        <v>1378</v>
      </c>
      <c r="CR141" t="s">
        <v>1377</v>
      </c>
      <c r="CS141" t="s">
        <v>1451</v>
      </c>
      <c r="CT141" t="s">
        <v>1724</v>
      </c>
      <c r="CU141" t="s">
        <v>1742</v>
      </c>
      <c r="CV141" t="s">
        <v>2299</v>
      </c>
      <c r="DB141" t="s">
        <v>2286</v>
      </c>
      <c r="DE141" t="s">
        <v>1724</v>
      </c>
    </row>
    <row r="142" spans="1:109" x14ac:dyDescent="0.25">
      <c r="A142" t="s">
        <v>1378</v>
      </c>
      <c r="B142">
        <v>1</v>
      </c>
      <c r="C142" s="56">
        <v>42640</v>
      </c>
      <c r="D142" t="s">
        <v>1449</v>
      </c>
      <c r="E142" t="s">
        <v>1470</v>
      </c>
      <c r="G142" t="s">
        <v>1144</v>
      </c>
      <c r="H142" t="s">
        <v>1144</v>
      </c>
      <c r="I142" t="s">
        <v>1144</v>
      </c>
      <c r="J142" t="s">
        <v>1144</v>
      </c>
      <c r="K142" t="s">
        <v>1144</v>
      </c>
      <c r="L142">
        <v>280.3</v>
      </c>
      <c r="M142">
        <v>732.52</v>
      </c>
      <c r="N142">
        <v>0</v>
      </c>
      <c r="O142" s="56"/>
      <c r="P142" s="56"/>
      <c r="Q142">
        <v>13718</v>
      </c>
      <c r="R142">
        <v>9</v>
      </c>
      <c r="S142">
        <v>4</v>
      </c>
      <c r="T142">
        <v>2</v>
      </c>
      <c r="U142">
        <v>2</v>
      </c>
      <c r="V142">
        <v>1</v>
      </c>
      <c r="W142" t="s">
        <v>1376</v>
      </c>
      <c r="X142" t="s">
        <v>2385</v>
      </c>
      <c r="AA142">
        <v>0.63</v>
      </c>
      <c r="AB142">
        <v>4</v>
      </c>
      <c r="AC142">
        <v>1.98</v>
      </c>
      <c r="AD142">
        <v>1.98</v>
      </c>
      <c r="AE142">
        <v>0</v>
      </c>
      <c r="AF142">
        <v>0</v>
      </c>
      <c r="AG142">
        <v>0</v>
      </c>
      <c r="AJ142" s="56"/>
      <c r="AK142" s="56">
        <v>42369</v>
      </c>
      <c r="AL142" s="56"/>
      <c r="AM142">
        <v>6</v>
      </c>
      <c r="AP142" t="s">
        <v>1450</v>
      </c>
      <c r="AS142" t="s">
        <v>1152</v>
      </c>
      <c r="AT142">
        <v>1</v>
      </c>
      <c r="AV142">
        <v>5</v>
      </c>
      <c r="AW142">
        <v>3</v>
      </c>
      <c r="AX142">
        <v>2</v>
      </c>
      <c r="AY142" t="s">
        <v>1148</v>
      </c>
      <c r="AZ142" t="s">
        <v>1148</v>
      </c>
      <c r="BA142">
        <v>6</v>
      </c>
      <c r="BD142">
        <v>1000000000</v>
      </c>
      <c r="BE142">
        <v>5</v>
      </c>
      <c r="BF142">
        <v>0</v>
      </c>
      <c r="BG142">
        <v>0</v>
      </c>
      <c r="BH142">
        <v>0</v>
      </c>
      <c r="BI142">
        <v>0</v>
      </c>
      <c r="BJ142">
        <v>0</v>
      </c>
      <c r="BK142">
        <v>0</v>
      </c>
      <c r="BL142">
        <v>0</v>
      </c>
      <c r="BM142">
        <v>5</v>
      </c>
      <c r="BN142">
        <v>0</v>
      </c>
      <c r="BO142">
        <v>0</v>
      </c>
      <c r="BP142">
        <v>0</v>
      </c>
      <c r="BR142">
        <v>0</v>
      </c>
      <c r="BS142">
        <v>3</v>
      </c>
      <c r="BX142">
        <v>0</v>
      </c>
      <c r="BY142">
        <v>0</v>
      </c>
      <c r="BZ142">
        <v>0</v>
      </c>
      <c r="CA142">
        <v>19.36</v>
      </c>
      <c r="CC142">
        <v>1</v>
      </c>
      <c r="CD142" s="56">
        <v>42619</v>
      </c>
      <c r="CE142" s="56">
        <v>42619</v>
      </c>
      <c r="CF142" s="56">
        <v>42619</v>
      </c>
      <c r="CG142" s="56">
        <v>42647</v>
      </c>
      <c r="CH142" s="56"/>
      <c r="CI142" s="56"/>
      <c r="CJ142">
        <v>0.11</v>
      </c>
      <c r="CK142">
        <v>0</v>
      </c>
      <c r="CL142">
        <v>0</v>
      </c>
      <c r="CM142">
        <v>0</v>
      </c>
      <c r="CN142">
        <v>0</v>
      </c>
      <c r="CO142">
        <v>0.5</v>
      </c>
      <c r="CP142">
        <v>0.15</v>
      </c>
      <c r="CQ142" t="s">
        <v>1378</v>
      </c>
      <c r="CR142" t="s">
        <v>1377</v>
      </c>
      <c r="CS142" t="s">
        <v>1451</v>
      </c>
      <c r="CT142" t="s">
        <v>1724</v>
      </c>
      <c r="CU142" t="s">
        <v>1742</v>
      </c>
      <c r="CV142" t="s">
        <v>2003</v>
      </c>
      <c r="DB142" t="s">
        <v>1997</v>
      </c>
      <c r="DE142" t="s">
        <v>1724</v>
      </c>
    </row>
    <row r="143" spans="1:109" x14ac:dyDescent="0.25">
      <c r="A143" t="s">
        <v>1378</v>
      </c>
      <c r="B143">
        <v>1</v>
      </c>
      <c r="C143" s="56">
        <v>42640</v>
      </c>
      <c r="D143" t="s">
        <v>1449</v>
      </c>
      <c r="E143" t="s">
        <v>2355</v>
      </c>
      <c r="G143" t="s">
        <v>1144</v>
      </c>
      <c r="H143" t="s">
        <v>1144</v>
      </c>
      <c r="I143" t="s">
        <v>1144</v>
      </c>
      <c r="J143" t="s">
        <v>1144</v>
      </c>
      <c r="K143" t="s">
        <v>1144</v>
      </c>
      <c r="L143">
        <v>193.26</v>
      </c>
      <c r="M143">
        <v>878.08</v>
      </c>
      <c r="N143">
        <v>0</v>
      </c>
      <c r="O143" s="56"/>
      <c r="P143" s="56"/>
      <c r="Q143">
        <v>13718</v>
      </c>
      <c r="R143">
        <v>9</v>
      </c>
      <c r="S143">
        <v>4</v>
      </c>
      <c r="T143">
        <v>2</v>
      </c>
      <c r="U143">
        <v>2</v>
      </c>
      <c r="V143">
        <v>1</v>
      </c>
      <c r="X143" t="s">
        <v>2385</v>
      </c>
      <c r="AA143">
        <v>0.08</v>
      </c>
      <c r="AB143">
        <v>1</v>
      </c>
      <c r="AC143">
        <v>6.25</v>
      </c>
      <c r="AD143">
        <v>12.5</v>
      </c>
      <c r="AE143">
        <v>0</v>
      </c>
      <c r="AF143">
        <v>0</v>
      </c>
      <c r="AG143">
        <v>0</v>
      </c>
      <c r="AJ143" s="56">
        <v>42666</v>
      </c>
      <c r="AK143" s="56"/>
      <c r="AL143" s="56"/>
      <c r="AM143">
        <v>4</v>
      </c>
      <c r="AP143" t="s">
        <v>1450</v>
      </c>
      <c r="AS143" t="s">
        <v>1152</v>
      </c>
      <c r="AT143">
        <v>1</v>
      </c>
      <c r="AV143">
        <v>2</v>
      </c>
      <c r="AW143">
        <v>2</v>
      </c>
      <c r="AX143">
        <v>1</v>
      </c>
      <c r="AY143" t="s">
        <v>1147</v>
      </c>
      <c r="AZ143" t="s">
        <v>1147</v>
      </c>
      <c r="BA143">
        <v>4</v>
      </c>
      <c r="BD143">
        <v>1000000000</v>
      </c>
      <c r="BE143">
        <v>4</v>
      </c>
      <c r="BF143">
        <v>-1</v>
      </c>
      <c r="BG143">
        <v>0</v>
      </c>
      <c r="BH143">
        <v>0</v>
      </c>
      <c r="BI143">
        <v>0</v>
      </c>
      <c r="BJ143">
        <v>0</v>
      </c>
      <c r="BK143">
        <v>0</v>
      </c>
      <c r="BL143">
        <v>0</v>
      </c>
      <c r="BM143">
        <v>4</v>
      </c>
      <c r="BN143">
        <v>-1</v>
      </c>
      <c r="BO143">
        <v>0</v>
      </c>
      <c r="BP143">
        <v>0</v>
      </c>
      <c r="BR143">
        <v>0</v>
      </c>
      <c r="BS143">
        <v>1</v>
      </c>
      <c r="BX143">
        <v>0</v>
      </c>
      <c r="BY143">
        <v>386.52</v>
      </c>
      <c r="BZ143">
        <v>0</v>
      </c>
      <c r="CA143">
        <v>42.52</v>
      </c>
      <c r="CC143">
        <v>1</v>
      </c>
      <c r="CD143" s="56">
        <v>42619</v>
      </c>
      <c r="CE143" s="56">
        <v>42619</v>
      </c>
      <c r="CF143" s="56">
        <v>42619</v>
      </c>
      <c r="CG143" s="56">
        <v>42647</v>
      </c>
      <c r="CH143" s="56"/>
      <c r="CI143" s="56"/>
      <c r="CJ143">
        <v>0</v>
      </c>
      <c r="CK143">
        <v>0</v>
      </c>
      <c r="CL143">
        <v>0</v>
      </c>
      <c r="CM143">
        <v>0</v>
      </c>
      <c r="CN143">
        <v>0</v>
      </c>
      <c r="CO143">
        <v>0</v>
      </c>
      <c r="CP143">
        <v>0.65</v>
      </c>
      <c r="CQ143" t="s">
        <v>1378</v>
      </c>
      <c r="CR143" t="s">
        <v>1377</v>
      </c>
      <c r="CS143" t="s">
        <v>1451</v>
      </c>
      <c r="CT143" t="s">
        <v>1724</v>
      </c>
      <c r="CU143" t="s">
        <v>1742</v>
      </c>
      <c r="CV143" t="s">
        <v>2356</v>
      </c>
      <c r="DB143" t="s">
        <v>2351</v>
      </c>
      <c r="DE143" t="s">
        <v>1724</v>
      </c>
    </row>
    <row r="144" spans="1:109" x14ac:dyDescent="0.25">
      <c r="A144" t="s">
        <v>1378</v>
      </c>
      <c r="B144">
        <v>1</v>
      </c>
      <c r="C144" s="56">
        <v>42640</v>
      </c>
      <c r="D144" t="s">
        <v>1449</v>
      </c>
      <c r="E144" t="s">
        <v>1477</v>
      </c>
      <c r="G144" t="s">
        <v>1144</v>
      </c>
      <c r="H144" t="s">
        <v>1144</v>
      </c>
      <c r="I144" t="s">
        <v>1144</v>
      </c>
      <c r="J144" t="s">
        <v>1144</v>
      </c>
      <c r="K144" t="s">
        <v>1144</v>
      </c>
      <c r="L144">
        <v>57.95</v>
      </c>
      <c r="M144">
        <v>99.55</v>
      </c>
      <c r="N144">
        <v>0</v>
      </c>
      <c r="O144" s="56"/>
      <c r="P144" s="56"/>
      <c r="Q144">
        <v>13718</v>
      </c>
      <c r="R144">
        <v>9</v>
      </c>
      <c r="S144">
        <v>4</v>
      </c>
      <c r="T144">
        <v>2</v>
      </c>
      <c r="U144">
        <v>2</v>
      </c>
      <c r="V144">
        <v>1</v>
      </c>
      <c r="W144" t="s">
        <v>2379</v>
      </c>
      <c r="X144" t="s">
        <v>2386</v>
      </c>
      <c r="AA144">
        <v>1.25</v>
      </c>
      <c r="AB144">
        <v>8</v>
      </c>
      <c r="AC144">
        <v>0.8</v>
      </c>
      <c r="AD144">
        <v>0.4</v>
      </c>
      <c r="AE144">
        <v>0</v>
      </c>
      <c r="AF144">
        <v>0</v>
      </c>
      <c r="AG144">
        <v>0</v>
      </c>
      <c r="AJ144" s="56">
        <v>42666</v>
      </c>
      <c r="AK144" s="56"/>
      <c r="AL144" s="56"/>
      <c r="AM144">
        <v>4</v>
      </c>
      <c r="AP144" t="s">
        <v>1450</v>
      </c>
      <c r="AS144" t="s">
        <v>1152</v>
      </c>
      <c r="AT144">
        <v>1</v>
      </c>
      <c r="AV144">
        <v>4</v>
      </c>
      <c r="AW144">
        <v>3</v>
      </c>
      <c r="AX144">
        <v>1</v>
      </c>
      <c r="AY144" t="s">
        <v>1145</v>
      </c>
      <c r="AZ144" t="s">
        <v>1145</v>
      </c>
      <c r="BA144">
        <v>4</v>
      </c>
      <c r="BD144">
        <v>1000000000</v>
      </c>
      <c r="BE144">
        <v>2</v>
      </c>
      <c r="BF144">
        <v>0.5</v>
      </c>
      <c r="BG144">
        <v>0</v>
      </c>
      <c r="BH144">
        <v>0</v>
      </c>
      <c r="BI144">
        <v>0</v>
      </c>
      <c r="BJ144">
        <v>0</v>
      </c>
      <c r="BK144">
        <v>0</v>
      </c>
      <c r="BL144">
        <v>0</v>
      </c>
      <c r="BM144">
        <v>2</v>
      </c>
      <c r="BN144">
        <v>0.5</v>
      </c>
      <c r="BO144">
        <v>0</v>
      </c>
      <c r="BP144">
        <v>0</v>
      </c>
      <c r="BR144">
        <v>2</v>
      </c>
      <c r="BS144">
        <v>2</v>
      </c>
      <c r="BX144">
        <v>0</v>
      </c>
      <c r="BY144">
        <v>0</v>
      </c>
      <c r="BZ144">
        <v>0</v>
      </c>
      <c r="CA144">
        <v>8.61</v>
      </c>
      <c r="CC144">
        <v>1</v>
      </c>
      <c r="CD144" s="56">
        <v>42593</v>
      </c>
      <c r="CE144" s="56">
        <v>42612</v>
      </c>
      <c r="CF144" s="56">
        <v>42612</v>
      </c>
      <c r="CG144" s="56">
        <v>42640</v>
      </c>
      <c r="CH144" s="56"/>
      <c r="CI144" s="56"/>
      <c r="CJ144">
        <v>0.17</v>
      </c>
      <c r="CK144">
        <v>0</v>
      </c>
      <c r="CL144">
        <v>0</v>
      </c>
      <c r="CM144">
        <v>0</v>
      </c>
      <c r="CN144">
        <v>0.71</v>
      </c>
      <c r="CO144">
        <v>0</v>
      </c>
      <c r="CP144">
        <v>0</v>
      </c>
      <c r="CQ144" t="s">
        <v>1378</v>
      </c>
      <c r="CR144" t="s">
        <v>1377</v>
      </c>
      <c r="CS144" t="s">
        <v>1451</v>
      </c>
      <c r="CT144" t="s">
        <v>1724</v>
      </c>
      <c r="CU144" t="s">
        <v>1742</v>
      </c>
      <c r="CV144" t="s">
        <v>2056</v>
      </c>
      <c r="DB144" t="s">
        <v>2054</v>
      </c>
      <c r="DE144" t="s">
        <v>1724</v>
      </c>
    </row>
    <row r="145" spans="1:109" x14ac:dyDescent="0.25">
      <c r="A145" t="s">
        <v>1378</v>
      </c>
      <c r="B145">
        <v>1</v>
      </c>
      <c r="C145" s="56">
        <v>42640</v>
      </c>
      <c r="D145" t="s">
        <v>1449</v>
      </c>
      <c r="E145" t="s">
        <v>1826</v>
      </c>
      <c r="G145" t="s">
        <v>1144</v>
      </c>
      <c r="H145" t="s">
        <v>1144</v>
      </c>
      <c r="I145" t="s">
        <v>1144</v>
      </c>
      <c r="J145" t="s">
        <v>1144</v>
      </c>
      <c r="K145" t="s">
        <v>1144</v>
      </c>
      <c r="L145">
        <v>1102.1600000000001</v>
      </c>
      <c r="M145">
        <v>2032.14</v>
      </c>
      <c r="N145">
        <v>0</v>
      </c>
      <c r="O145" s="56"/>
      <c r="P145" s="56"/>
      <c r="Q145">
        <v>13718</v>
      </c>
      <c r="R145">
        <v>9</v>
      </c>
      <c r="S145">
        <v>4</v>
      </c>
      <c r="T145">
        <v>2</v>
      </c>
      <c r="U145">
        <v>2</v>
      </c>
      <c r="V145">
        <v>1</v>
      </c>
      <c r="W145" t="s">
        <v>1376</v>
      </c>
      <c r="X145" t="s">
        <v>2385</v>
      </c>
      <c r="AA145">
        <v>0</v>
      </c>
      <c r="AB145">
        <v>0</v>
      </c>
      <c r="AC145">
        <v>0</v>
      </c>
      <c r="AD145">
        <v>0</v>
      </c>
      <c r="AE145">
        <v>0</v>
      </c>
      <c r="AF145">
        <v>0</v>
      </c>
      <c r="AG145">
        <v>0</v>
      </c>
      <c r="AJ145" s="56"/>
      <c r="AK145" s="56">
        <v>42369</v>
      </c>
      <c r="AL145" s="56"/>
      <c r="AM145">
        <v>4</v>
      </c>
      <c r="AP145" t="s">
        <v>1450</v>
      </c>
      <c r="AS145" t="s">
        <v>1152</v>
      </c>
      <c r="AT145">
        <v>1</v>
      </c>
      <c r="AV145">
        <v>3</v>
      </c>
      <c r="AW145">
        <v>2</v>
      </c>
      <c r="AX145">
        <v>1</v>
      </c>
      <c r="AY145" t="s">
        <v>1148</v>
      </c>
      <c r="AZ145" t="s">
        <v>1148</v>
      </c>
      <c r="BA145">
        <v>4</v>
      </c>
      <c r="BD145">
        <v>1000000000</v>
      </c>
      <c r="BE145">
        <v>3</v>
      </c>
      <c r="BF145">
        <v>0</v>
      </c>
      <c r="BG145">
        <v>0</v>
      </c>
      <c r="BH145">
        <v>0</v>
      </c>
      <c r="BI145">
        <v>0</v>
      </c>
      <c r="BJ145">
        <v>0</v>
      </c>
      <c r="BK145">
        <v>0</v>
      </c>
      <c r="BL145">
        <v>0</v>
      </c>
      <c r="BM145">
        <v>3</v>
      </c>
      <c r="BN145">
        <v>0</v>
      </c>
      <c r="BO145">
        <v>0</v>
      </c>
      <c r="BP145">
        <v>0</v>
      </c>
      <c r="BR145">
        <v>0</v>
      </c>
      <c r="BS145">
        <v>2</v>
      </c>
      <c r="BX145">
        <v>0</v>
      </c>
      <c r="BY145">
        <v>0</v>
      </c>
      <c r="BZ145">
        <v>0</v>
      </c>
      <c r="CA145">
        <v>10.130000000000001</v>
      </c>
      <c r="CC145">
        <v>1</v>
      </c>
      <c r="CD145" s="56">
        <v>42619</v>
      </c>
      <c r="CE145" s="56">
        <v>42619</v>
      </c>
      <c r="CF145" s="56">
        <v>42619</v>
      </c>
      <c r="CG145" s="56">
        <v>42647</v>
      </c>
      <c r="CH145" s="56"/>
      <c r="CI145" s="56"/>
      <c r="CJ145">
        <v>0</v>
      </c>
      <c r="CK145">
        <v>0</v>
      </c>
      <c r="CL145">
        <v>0</v>
      </c>
      <c r="CM145">
        <v>0</v>
      </c>
      <c r="CN145">
        <v>0</v>
      </c>
      <c r="CO145">
        <v>0.65</v>
      </c>
      <c r="CP145">
        <v>0</v>
      </c>
      <c r="CQ145" t="s">
        <v>1378</v>
      </c>
      <c r="CR145" t="s">
        <v>1377</v>
      </c>
      <c r="CS145" t="s">
        <v>1451</v>
      </c>
      <c r="CT145" t="s">
        <v>1724</v>
      </c>
      <c r="CU145" t="s">
        <v>1742</v>
      </c>
      <c r="CV145" t="s">
        <v>1827</v>
      </c>
      <c r="DB145" t="s">
        <v>1794</v>
      </c>
      <c r="DE145" t="s">
        <v>1724</v>
      </c>
    </row>
    <row r="146" spans="1:109" x14ac:dyDescent="0.25">
      <c r="A146" t="s">
        <v>1378</v>
      </c>
      <c r="B146">
        <v>1</v>
      </c>
      <c r="C146" s="56">
        <v>42640</v>
      </c>
      <c r="D146" t="s">
        <v>1449</v>
      </c>
      <c r="E146" t="s">
        <v>2186</v>
      </c>
      <c r="G146" t="s">
        <v>1144</v>
      </c>
      <c r="H146" t="s">
        <v>1144</v>
      </c>
      <c r="I146" t="s">
        <v>1144</v>
      </c>
      <c r="J146" t="s">
        <v>1144</v>
      </c>
      <c r="K146" t="s">
        <v>1144</v>
      </c>
      <c r="L146">
        <v>458.57</v>
      </c>
      <c r="M146">
        <v>2</v>
      </c>
      <c r="N146">
        <v>0</v>
      </c>
      <c r="O146" s="56"/>
      <c r="P146" s="56"/>
      <c r="Q146">
        <v>13718</v>
      </c>
      <c r="R146">
        <v>9</v>
      </c>
      <c r="S146">
        <v>4</v>
      </c>
      <c r="T146">
        <v>2</v>
      </c>
      <c r="U146">
        <v>2</v>
      </c>
      <c r="V146">
        <v>1</v>
      </c>
      <c r="X146" t="s">
        <v>2386</v>
      </c>
      <c r="AA146">
        <v>0</v>
      </c>
      <c r="AB146">
        <v>0</v>
      </c>
      <c r="AC146">
        <v>0</v>
      </c>
      <c r="AD146">
        <v>0</v>
      </c>
      <c r="AE146">
        <v>0</v>
      </c>
      <c r="AF146">
        <v>0</v>
      </c>
      <c r="AG146">
        <v>0</v>
      </c>
      <c r="AJ146" s="56"/>
      <c r="AK146" s="56">
        <v>42369</v>
      </c>
      <c r="AL146" s="56"/>
      <c r="AM146">
        <v>1</v>
      </c>
      <c r="AP146" t="s">
        <v>1450</v>
      </c>
      <c r="AS146" t="s">
        <v>1152</v>
      </c>
      <c r="AT146">
        <v>1</v>
      </c>
      <c r="AV146">
        <v>1</v>
      </c>
      <c r="AW146">
        <v>1</v>
      </c>
      <c r="AX146">
        <v>0.5</v>
      </c>
      <c r="AY146" t="s">
        <v>1147</v>
      </c>
      <c r="AZ146" t="s">
        <v>1147</v>
      </c>
      <c r="BA146">
        <v>1</v>
      </c>
      <c r="BD146">
        <v>1000000000</v>
      </c>
      <c r="BE146">
        <v>2</v>
      </c>
      <c r="BF146">
        <v>-1</v>
      </c>
      <c r="BG146">
        <v>0</v>
      </c>
      <c r="BH146">
        <v>0</v>
      </c>
      <c r="BI146">
        <v>0</v>
      </c>
      <c r="BJ146">
        <v>0</v>
      </c>
      <c r="BK146">
        <v>0</v>
      </c>
      <c r="BL146">
        <v>0</v>
      </c>
      <c r="BM146">
        <v>2</v>
      </c>
      <c r="BN146">
        <v>-1</v>
      </c>
      <c r="BO146">
        <v>0</v>
      </c>
      <c r="BP146">
        <v>0</v>
      </c>
      <c r="BR146">
        <v>0</v>
      </c>
      <c r="BS146">
        <v>1</v>
      </c>
      <c r="BX146">
        <v>0</v>
      </c>
      <c r="BY146">
        <v>458.57</v>
      </c>
      <c r="BZ146">
        <v>0</v>
      </c>
      <c r="CA146">
        <v>-11.95</v>
      </c>
      <c r="CC146">
        <v>1</v>
      </c>
      <c r="CD146" s="56">
        <v>42593</v>
      </c>
      <c r="CE146" s="56">
        <v>42612</v>
      </c>
      <c r="CF146" s="56">
        <v>42612</v>
      </c>
      <c r="CG146" s="56">
        <v>42640</v>
      </c>
      <c r="CH146" s="56"/>
      <c r="CI146" s="56"/>
      <c r="CJ146">
        <v>0</v>
      </c>
      <c r="CK146">
        <v>0</v>
      </c>
      <c r="CL146">
        <v>0</v>
      </c>
      <c r="CM146">
        <v>0</v>
      </c>
      <c r="CN146">
        <v>0</v>
      </c>
      <c r="CO146">
        <v>0</v>
      </c>
      <c r="CP146">
        <v>0.71</v>
      </c>
      <c r="CQ146" t="s">
        <v>1378</v>
      </c>
      <c r="CR146" t="s">
        <v>1377</v>
      </c>
      <c r="CS146" t="s">
        <v>1451</v>
      </c>
      <c r="CT146" t="s">
        <v>1724</v>
      </c>
      <c r="CU146" t="s">
        <v>1742</v>
      </c>
      <c r="CV146" t="s">
        <v>2185</v>
      </c>
      <c r="DB146" t="s">
        <v>2161</v>
      </c>
      <c r="DE146" t="s">
        <v>1724</v>
      </c>
    </row>
    <row r="147" spans="1:109" x14ac:dyDescent="0.25">
      <c r="A147" t="s">
        <v>1378</v>
      </c>
      <c r="B147">
        <v>1</v>
      </c>
      <c r="C147" s="56">
        <v>42640</v>
      </c>
      <c r="D147" t="s">
        <v>1449</v>
      </c>
      <c r="E147" t="s">
        <v>1881</v>
      </c>
      <c r="G147" t="s">
        <v>1144</v>
      </c>
      <c r="H147" t="s">
        <v>1144</v>
      </c>
      <c r="I147" t="s">
        <v>1144</v>
      </c>
      <c r="J147" t="s">
        <v>1144</v>
      </c>
      <c r="K147" t="s">
        <v>1144</v>
      </c>
      <c r="L147">
        <v>93.1</v>
      </c>
      <c r="M147">
        <v>230.18</v>
      </c>
      <c r="N147">
        <v>0</v>
      </c>
      <c r="O147" s="56"/>
      <c r="P147" s="56"/>
      <c r="Q147">
        <v>13718</v>
      </c>
      <c r="R147">
        <v>9</v>
      </c>
      <c r="S147">
        <v>4</v>
      </c>
      <c r="T147">
        <v>2</v>
      </c>
      <c r="U147">
        <v>2</v>
      </c>
      <c r="V147">
        <v>1</v>
      </c>
      <c r="X147" t="s">
        <v>2385</v>
      </c>
      <c r="AA147">
        <v>0.08</v>
      </c>
      <c r="AB147">
        <v>1</v>
      </c>
      <c r="AC147">
        <v>9.3800000000000008</v>
      </c>
      <c r="AD147">
        <v>15.63</v>
      </c>
      <c r="AE147">
        <v>0</v>
      </c>
      <c r="AF147">
        <v>0</v>
      </c>
      <c r="AG147">
        <v>0</v>
      </c>
      <c r="AJ147" s="56">
        <v>42666</v>
      </c>
      <c r="AK147" s="56">
        <v>42369</v>
      </c>
      <c r="AL147" s="56"/>
      <c r="AM147">
        <v>5</v>
      </c>
      <c r="AP147" t="s">
        <v>1450</v>
      </c>
      <c r="AS147" t="s">
        <v>1152</v>
      </c>
      <c r="AT147">
        <v>1</v>
      </c>
      <c r="AV147">
        <v>3</v>
      </c>
      <c r="AW147">
        <v>2</v>
      </c>
      <c r="AX147">
        <v>1</v>
      </c>
      <c r="AY147" t="s">
        <v>1147</v>
      </c>
      <c r="AZ147" t="s">
        <v>1147</v>
      </c>
      <c r="BA147">
        <v>5</v>
      </c>
      <c r="BD147">
        <v>1000000000</v>
      </c>
      <c r="BE147">
        <v>5</v>
      </c>
      <c r="BF147">
        <v>-0.67</v>
      </c>
      <c r="BG147">
        <v>0</v>
      </c>
      <c r="BH147">
        <v>0</v>
      </c>
      <c r="BI147">
        <v>0</v>
      </c>
      <c r="BJ147">
        <v>0</v>
      </c>
      <c r="BK147">
        <v>0</v>
      </c>
      <c r="BL147">
        <v>0</v>
      </c>
      <c r="BM147">
        <v>5</v>
      </c>
      <c r="BN147">
        <v>-0.67</v>
      </c>
      <c r="BO147">
        <v>0</v>
      </c>
      <c r="BP147">
        <v>0</v>
      </c>
      <c r="BR147">
        <v>0</v>
      </c>
      <c r="BS147">
        <v>2</v>
      </c>
      <c r="BX147">
        <v>0</v>
      </c>
      <c r="BY147">
        <v>186.2</v>
      </c>
      <c r="BZ147">
        <v>0</v>
      </c>
      <c r="CA147">
        <v>17.670000000000002</v>
      </c>
      <c r="CC147">
        <v>1</v>
      </c>
      <c r="CD147" s="56">
        <v>42619</v>
      </c>
      <c r="CE147" s="56">
        <v>42619</v>
      </c>
      <c r="CF147" s="56">
        <v>42619</v>
      </c>
      <c r="CG147" s="56">
        <v>42647</v>
      </c>
      <c r="CH147" s="56"/>
      <c r="CI147" s="56"/>
      <c r="CJ147">
        <v>0</v>
      </c>
      <c r="CK147">
        <v>0</v>
      </c>
      <c r="CL147">
        <v>0</v>
      </c>
      <c r="CM147">
        <v>0</v>
      </c>
      <c r="CN147">
        <v>0</v>
      </c>
      <c r="CO147">
        <v>0</v>
      </c>
      <c r="CP147">
        <v>0.65</v>
      </c>
      <c r="CQ147" t="s">
        <v>1378</v>
      </c>
      <c r="CR147" t="s">
        <v>1377</v>
      </c>
      <c r="CS147" t="s">
        <v>1451</v>
      </c>
      <c r="CT147" t="s">
        <v>1724</v>
      </c>
      <c r="CU147" t="s">
        <v>1742</v>
      </c>
      <c r="CV147" t="s">
        <v>1882</v>
      </c>
      <c r="DB147" t="s">
        <v>1869</v>
      </c>
      <c r="DE147" t="s">
        <v>1724</v>
      </c>
    </row>
    <row r="148" spans="1:109" x14ac:dyDescent="0.25">
      <c r="A148" t="s">
        <v>1378</v>
      </c>
      <c r="B148">
        <v>1</v>
      </c>
      <c r="C148" s="56">
        <v>42640</v>
      </c>
      <c r="D148" t="s">
        <v>1449</v>
      </c>
      <c r="E148" t="s">
        <v>2234</v>
      </c>
      <c r="G148" t="s">
        <v>1144</v>
      </c>
      <c r="H148" t="s">
        <v>1144</v>
      </c>
      <c r="I148" t="s">
        <v>1144</v>
      </c>
      <c r="J148" t="s">
        <v>1144</v>
      </c>
      <c r="K148" t="s">
        <v>1144</v>
      </c>
      <c r="L148">
        <v>442.76</v>
      </c>
      <c r="M148">
        <v>2</v>
      </c>
      <c r="N148">
        <v>0</v>
      </c>
      <c r="O148" s="56"/>
      <c r="P148" s="56"/>
      <c r="Q148">
        <v>13718</v>
      </c>
      <c r="R148">
        <v>9</v>
      </c>
      <c r="S148">
        <v>4</v>
      </c>
      <c r="T148">
        <v>2</v>
      </c>
      <c r="U148">
        <v>2</v>
      </c>
      <c r="V148">
        <v>1</v>
      </c>
      <c r="X148" t="s">
        <v>2385</v>
      </c>
      <c r="AA148">
        <v>0</v>
      </c>
      <c r="AB148">
        <v>0</v>
      </c>
      <c r="AC148">
        <v>0</v>
      </c>
      <c r="AD148">
        <v>0</v>
      </c>
      <c r="AE148">
        <v>0</v>
      </c>
      <c r="AF148">
        <v>0</v>
      </c>
      <c r="AG148">
        <v>0</v>
      </c>
      <c r="AJ148" s="56"/>
      <c r="AK148" s="56">
        <v>42369</v>
      </c>
      <c r="AL148" s="56"/>
      <c r="AM148">
        <v>1</v>
      </c>
      <c r="AP148" t="s">
        <v>1450</v>
      </c>
      <c r="AS148" t="s">
        <v>1152</v>
      </c>
      <c r="AT148">
        <v>1</v>
      </c>
      <c r="AV148">
        <v>1</v>
      </c>
      <c r="AW148">
        <v>1</v>
      </c>
      <c r="AX148">
        <v>0.5</v>
      </c>
      <c r="AY148" t="s">
        <v>1147</v>
      </c>
      <c r="AZ148" t="s">
        <v>1147</v>
      </c>
      <c r="BA148">
        <v>2</v>
      </c>
      <c r="BD148">
        <v>1000000000</v>
      </c>
      <c r="BE148">
        <v>2</v>
      </c>
      <c r="BF148">
        <v>-1</v>
      </c>
      <c r="BG148">
        <v>0</v>
      </c>
      <c r="BH148">
        <v>0</v>
      </c>
      <c r="BI148">
        <v>0</v>
      </c>
      <c r="BJ148">
        <v>0</v>
      </c>
      <c r="BK148">
        <v>0</v>
      </c>
      <c r="BL148">
        <v>0</v>
      </c>
      <c r="BM148">
        <v>2</v>
      </c>
      <c r="BN148">
        <v>-1</v>
      </c>
      <c r="BO148">
        <v>0</v>
      </c>
      <c r="BP148">
        <v>0</v>
      </c>
      <c r="BR148">
        <v>0</v>
      </c>
      <c r="BS148">
        <v>1</v>
      </c>
      <c r="BX148">
        <v>0</v>
      </c>
      <c r="BY148">
        <v>442.76</v>
      </c>
      <c r="BZ148">
        <v>0</v>
      </c>
      <c r="CA148">
        <v>-11.95</v>
      </c>
      <c r="CC148">
        <v>1</v>
      </c>
      <c r="CD148" s="56">
        <v>42619</v>
      </c>
      <c r="CE148" s="56">
        <v>42619</v>
      </c>
      <c r="CF148" s="56">
        <v>42619</v>
      </c>
      <c r="CG148" s="56">
        <v>42647</v>
      </c>
      <c r="CH148" s="56"/>
      <c r="CI148" s="56"/>
      <c r="CJ148">
        <v>0</v>
      </c>
      <c r="CK148">
        <v>0</v>
      </c>
      <c r="CL148">
        <v>0</v>
      </c>
      <c r="CM148">
        <v>0</v>
      </c>
      <c r="CN148">
        <v>0</v>
      </c>
      <c r="CO148">
        <v>0</v>
      </c>
      <c r="CP148">
        <v>0.65</v>
      </c>
      <c r="CQ148" t="s">
        <v>1378</v>
      </c>
      <c r="CR148" t="s">
        <v>1377</v>
      </c>
      <c r="CS148" t="s">
        <v>1451</v>
      </c>
      <c r="CT148" t="s">
        <v>1724</v>
      </c>
      <c r="CU148" t="s">
        <v>1742</v>
      </c>
      <c r="CV148" t="s">
        <v>2231</v>
      </c>
      <c r="DB148" t="s">
        <v>2134</v>
      </c>
      <c r="DE148" t="s">
        <v>1724</v>
      </c>
    </row>
    <row r="149" spans="1:109" x14ac:dyDescent="0.25">
      <c r="A149" t="s">
        <v>1378</v>
      </c>
      <c r="B149">
        <v>1</v>
      </c>
      <c r="C149" s="56">
        <v>42640</v>
      </c>
      <c r="D149" t="s">
        <v>1449</v>
      </c>
      <c r="E149" t="s">
        <v>1950</v>
      </c>
      <c r="G149" t="s">
        <v>1144</v>
      </c>
      <c r="H149" t="s">
        <v>1144</v>
      </c>
      <c r="I149" t="s">
        <v>1144</v>
      </c>
      <c r="J149" t="s">
        <v>1144</v>
      </c>
      <c r="K149" t="s">
        <v>1144</v>
      </c>
      <c r="L149">
        <v>110.39</v>
      </c>
      <c r="M149">
        <v>230.18</v>
      </c>
      <c r="N149">
        <v>0</v>
      </c>
      <c r="O149" s="56"/>
      <c r="P149" s="56"/>
      <c r="Q149">
        <v>13718</v>
      </c>
      <c r="R149">
        <v>9</v>
      </c>
      <c r="S149">
        <v>4</v>
      </c>
      <c r="T149">
        <v>2</v>
      </c>
      <c r="U149">
        <v>2</v>
      </c>
      <c r="V149">
        <v>1</v>
      </c>
      <c r="X149" t="s">
        <v>2385</v>
      </c>
      <c r="AA149">
        <v>0</v>
      </c>
      <c r="AB149">
        <v>0</v>
      </c>
      <c r="AC149">
        <v>0</v>
      </c>
      <c r="AD149">
        <v>0</v>
      </c>
      <c r="AE149">
        <v>0</v>
      </c>
      <c r="AF149">
        <v>0</v>
      </c>
      <c r="AG149">
        <v>0</v>
      </c>
      <c r="AJ149" s="56"/>
      <c r="AK149" s="56"/>
      <c r="AL149" s="56"/>
      <c r="AP149" t="s">
        <v>1450</v>
      </c>
      <c r="AS149" t="s">
        <v>1152</v>
      </c>
      <c r="AT149">
        <v>1</v>
      </c>
      <c r="AV149">
        <v>0</v>
      </c>
      <c r="AW149">
        <v>0</v>
      </c>
      <c r="AX149">
        <v>0</v>
      </c>
      <c r="AY149" t="s">
        <v>1375</v>
      </c>
      <c r="AZ149" t="s">
        <v>1375</v>
      </c>
      <c r="BA149">
        <v>2</v>
      </c>
      <c r="BD149">
        <v>1000000000</v>
      </c>
      <c r="BE149">
        <v>3</v>
      </c>
      <c r="BF149">
        <v>0</v>
      </c>
      <c r="BG149">
        <v>0</v>
      </c>
      <c r="BH149">
        <v>0</v>
      </c>
      <c r="BI149">
        <v>0</v>
      </c>
      <c r="BJ149">
        <v>0</v>
      </c>
      <c r="BK149">
        <v>0</v>
      </c>
      <c r="BL149">
        <v>0</v>
      </c>
      <c r="BM149">
        <v>3</v>
      </c>
      <c r="BN149">
        <v>0</v>
      </c>
      <c r="BO149">
        <v>0</v>
      </c>
      <c r="BP149">
        <v>0</v>
      </c>
      <c r="BR149">
        <v>0</v>
      </c>
      <c r="BS149">
        <v>0</v>
      </c>
      <c r="BX149">
        <v>0</v>
      </c>
      <c r="BY149">
        <v>0</v>
      </c>
      <c r="BZ149">
        <v>0</v>
      </c>
      <c r="CA149">
        <v>0</v>
      </c>
      <c r="CC149">
        <v>1</v>
      </c>
      <c r="CD149" s="56">
        <v>42619</v>
      </c>
      <c r="CE149" s="56">
        <v>42619</v>
      </c>
      <c r="CF149" s="56">
        <v>42619</v>
      </c>
      <c r="CG149" s="56">
        <v>42647</v>
      </c>
      <c r="CH149" s="56"/>
      <c r="CI149" s="56"/>
      <c r="CJ149">
        <v>0</v>
      </c>
      <c r="CK149">
        <v>0</v>
      </c>
      <c r="CL149">
        <v>0</v>
      </c>
      <c r="CM149">
        <v>0</v>
      </c>
      <c r="CN149">
        <v>0</v>
      </c>
      <c r="CO149">
        <v>0</v>
      </c>
      <c r="CP149">
        <v>0.65</v>
      </c>
      <c r="CQ149" t="s">
        <v>1378</v>
      </c>
      <c r="CR149" t="s">
        <v>1377</v>
      </c>
      <c r="CS149" t="s">
        <v>1451</v>
      </c>
      <c r="CT149" t="s">
        <v>1724</v>
      </c>
      <c r="CU149" t="s">
        <v>1742</v>
      </c>
      <c r="CV149" t="s">
        <v>1945</v>
      </c>
      <c r="DB149" t="s">
        <v>1869</v>
      </c>
      <c r="DE149" t="s">
        <v>1724</v>
      </c>
    </row>
    <row r="150" spans="1:109" x14ac:dyDescent="0.25">
      <c r="A150" t="s">
        <v>1378</v>
      </c>
      <c r="B150">
        <v>1</v>
      </c>
      <c r="C150" s="56">
        <v>42640</v>
      </c>
      <c r="D150" t="s">
        <v>1449</v>
      </c>
      <c r="E150" t="s">
        <v>1930</v>
      </c>
      <c r="G150" t="s">
        <v>1144</v>
      </c>
      <c r="H150" t="s">
        <v>1144</v>
      </c>
      <c r="I150" t="s">
        <v>1144</v>
      </c>
      <c r="J150" t="s">
        <v>1144</v>
      </c>
      <c r="K150" t="s">
        <v>1144</v>
      </c>
      <c r="L150">
        <v>96.97</v>
      </c>
      <c r="M150">
        <v>230.18</v>
      </c>
      <c r="N150">
        <v>0</v>
      </c>
      <c r="O150" s="56"/>
      <c r="P150" s="56"/>
      <c r="Q150">
        <v>13718</v>
      </c>
      <c r="R150">
        <v>9</v>
      </c>
      <c r="S150">
        <v>4</v>
      </c>
      <c r="T150">
        <v>2</v>
      </c>
      <c r="U150">
        <v>2</v>
      </c>
      <c r="V150">
        <v>1</v>
      </c>
      <c r="W150" t="s">
        <v>1376</v>
      </c>
      <c r="X150" t="s">
        <v>2385</v>
      </c>
      <c r="AA150">
        <v>0</v>
      </c>
      <c r="AB150">
        <v>0</v>
      </c>
      <c r="AC150">
        <v>0</v>
      </c>
      <c r="AD150">
        <v>0</v>
      </c>
      <c r="AE150">
        <v>0</v>
      </c>
      <c r="AF150">
        <v>0</v>
      </c>
      <c r="AG150">
        <v>0</v>
      </c>
      <c r="AJ150" s="56"/>
      <c r="AK150" s="56">
        <v>42369</v>
      </c>
      <c r="AL150" s="56"/>
      <c r="AM150">
        <v>4</v>
      </c>
      <c r="AP150" t="s">
        <v>1450</v>
      </c>
      <c r="AS150" t="s">
        <v>1152</v>
      </c>
      <c r="AT150">
        <v>1</v>
      </c>
      <c r="AV150">
        <v>3</v>
      </c>
      <c r="AW150">
        <v>2</v>
      </c>
      <c r="AX150">
        <v>1</v>
      </c>
      <c r="AY150" t="s">
        <v>1148</v>
      </c>
      <c r="AZ150" t="s">
        <v>1148</v>
      </c>
      <c r="BA150">
        <v>4</v>
      </c>
      <c r="BD150">
        <v>1000000000</v>
      </c>
      <c r="BE150">
        <v>3</v>
      </c>
      <c r="BF150">
        <v>0</v>
      </c>
      <c r="BG150">
        <v>0</v>
      </c>
      <c r="BH150">
        <v>0</v>
      </c>
      <c r="BI150">
        <v>0</v>
      </c>
      <c r="BJ150">
        <v>0</v>
      </c>
      <c r="BK150">
        <v>0</v>
      </c>
      <c r="BL150">
        <v>0</v>
      </c>
      <c r="BM150">
        <v>3</v>
      </c>
      <c r="BN150">
        <v>0</v>
      </c>
      <c r="BO150">
        <v>0</v>
      </c>
      <c r="BP150">
        <v>0</v>
      </c>
      <c r="BR150">
        <v>0</v>
      </c>
      <c r="BS150">
        <v>2</v>
      </c>
      <c r="BX150">
        <v>0</v>
      </c>
      <c r="BY150">
        <v>0</v>
      </c>
      <c r="BZ150">
        <v>0</v>
      </c>
      <c r="CA150">
        <v>16.48</v>
      </c>
      <c r="CC150">
        <v>1</v>
      </c>
      <c r="CD150" s="56">
        <v>42619</v>
      </c>
      <c r="CE150" s="56">
        <v>42619</v>
      </c>
      <c r="CF150" s="56">
        <v>42619</v>
      </c>
      <c r="CG150" s="56">
        <v>42647</v>
      </c>
      <c r="CH150" s="56"/>
      <c r="CI150" s="56"/>
      <c r="CJ150">
        <v>0</v>
      </c>
      <c r="CK150">
        <v>0</v>
      </c>
      <c r="CL150">
        <v>0</v>
      </c>
      <c r="CM150">
        <v>0</v>
      </c>
      <c r="CN150">
        <v>0</v>
      </c>
      <c r="CO150">
        <v>0.65</v>
      </c>
      <c r="CP150">
        <v>0</v>
      </c>
      <c r="CQ150" t="s">
        <v>1378</v>
      </c>
      <c r="CR150" t="s">
        <v>1377</v>
      </c>
      <c r="CS150" t="s">
        <v>1451</v>
      </c>
      <c r="CT150" t="s">
        <v>1724</v>
      </c>
      <c r="CU150" t="s">
        <v>1742</v>
      </c>
      <c r="CV150" t="s">
        <v>1931</v>
      </c>
      <c r="DB150" t="s">
        <v>1869</v>
      </c>
      <c r="DE150" t="s">
        <v>1724</v>
      </c>
    </row>
    <row r="151" spans="1:109" x14ac:dyDescent="0.25">
      <c r="A151" t="s">
        <v>1378</v>
      </c>
      <c r="B151">
        <v>1</v>
      </c>
      <c r="C151" s="56">
        <v>42640</v>
      </c>
      <c r="D151" t="s">
        <v>1449</v>
      </c>
      <c r="E151" t="s">
        <v>2282</v>
      </c>
      <c r="G151" t="s">
        <v>1144</v>
      </c>
      <c r="H151" t="s">
        <v>1144</v>
      </c>
      <c r="I151" t="s">
        <v>1144</v>
      </c>
      <c r="J151" t="s">
        <v>1144</v>
      </c>
      <c r="K151" t="s">
        <v>1144</v>
      </c>
      <c r="L151">
        <v>550.92999999999995</v>
      </c>
      <c r="M151">
        <v>2</v>
      </c>
      <c r="N151">
        <v>0</v>
      </c>
      <c r="O151" s="56"/>
      <c r="P151" s="56"/>
      <c r="Q151">
        <v>13718</v>
      </c>
      <c r="R151">
        <v>9</v>
      </c>
      <c r="S151">
        <v>4</v>
      </c>
      <c r="T151">
        <v>2</v>
      </c>
      <c r="U151">
        <v>2</v>
      </c>
      <c r="V151">
        <v>1</v>
      </c>
      <c r="W151" t="s">
        <v>1376</v>
      </c>
      <c r="X151" t="s">
        <v>2385</v>
      </c>
      <c r="AA151">
        <v>0</v>
      </c>
      <c r="AB151">
        <v>0</v>
      </c>
      <c r="AC151">
        <v>0</v>
      </c>
      <c r="AD151">
        <v>0</v>
      </c>
      <c r="AE151">
        <v>0</v>
      </c>
      <c r="AF151">
        <v>0</v>
      </c>
      <c r="AG151">
        <v>0</v>
      </c>
      <c r="AJ151" s="56"/>
      <c r="AK151" s="56"/>
      <c r="AL151" s="56"/>
      <c r="AM151">
        <v>1</v>
      </c>
      <c r="AP151" t="s">
        <v>1450</v>
      </c>
      <c r="AS151" t="s">
        <v>1152</v>
      </c>
      <c r="AT151">
        <v>1</v>
      </c>
      <c r="AV151">
        <v>2</v>
      </c>
      <c r="AW151">
        <v>2</v>
      </c>
      <c r="AX151">
        <v>1</v>
      </c>
      <c r="AY151" t="s">
        <v>1145</v>
      </c>
      <c r="AZ151" t="s">
        <v>1145</v>
      </c>
      <c r="BA151">
        <v>1</v>
      </c>
      <c r="BD151">
        <v>1000000000</v>
      </c>
      <c r="BE151">
        <v>2</v>
      </c>
      <c r="BF151">
        <v>0</v>
      </c>
      <c r="BG151">
        <v>0</v>
      </c>
      <c r="BH151">
        <v>0</v>
      </c>
      <c r="BI151">
        <v>0</v>
      </c>
      <c r="BJ151">
        <v>0</v>
      </c>
      <c r="BK151">
        <v>0</v>
      </c>
      <c r="BL151">
        <v>0</v>
      </c>
      <c r="BM151">
        <v>2</v>
      </c>
      <c r="BN151">
        <v>0</v>
      </c>
      <c r="BO151">
        <v>0</v>
      </c>
      <c r="BP151">
        <v>0</v>
      </c>
      <c r="BR151">
        <v>0</v>
      </c>
      <c r="BS151">
        <v>1</v>
      </c>
      <c r="BX151">
        <v>0</v>
      </c>
      <c r="BY151">
        <v>0</v>
      </c>
      <c r="BZ151">
        <v>0</v>
      </c>
      <c r="CA151">
        <v>-11.96</v>
      </c>
      <c r="CC151">
        <v>1</v>
      </c>
      <c r="CD151" s="56">
        <v>42619</v>
      </c>
      <c r="CE151" s="56">
        <v>42619</v>
      </c>
      <c r="CF151" s="56">
        <v>42619</v>
      </c>
      <c r="CG151" s="56">
        <v>42647</v>
      </c>
      <c r="CH151" s="56"/>
      <c r="CI151" s="56"/>
      <c r="CJ151">
        <v>0</v>
      </c>
      <c r="CK151">
        <v>0</v>
      </c>
      <c r="CL151">
        <v>0</v>
      </c>
      <c r="CM151">
        <v>0</v>
      </c>
      <c r="CN151">
        <v>0.65</v>
      </c>
      <c r="CO151">
        <v>0</v>
      </c>
      <c r="CP151">
        <v>0</v>
      </c>
      <c r="CQ151" t="s">
        <v>1378</v>
      </c>
      <c r="CR151" t="s">
        <v>1377</v>
      </c>
      <c r="CS151" t="s">
        <v>1451</v>
      </c>
      <c r="CT151" t="s">
        <v>1724</v>
      </c>
      <c r="CU151" t="s">
        <v>1742</v>
      </c>
      <c r="CV151" t="s">
        <v>2283</v>
      </c>
      <c r="DB151" t="s">
        <v>2265</v>
      </c>
      <c r="DE151" t="s">
        <v>1724</v>
      </c>
    </row>
    <row r="152" spans="1:109" x14ac:dyDescent="0.25">
      <c r="A152" t="s">
        <v>1378</v>
      </c>
      <c r="B152">
        <v>1</v>
      </c>
      <c r="C152" s="56">
        <v>42640</v>
      </c>
      <c r="D152" t="s">
        <v>1449</v>
      </c>
      <c r="E152" t="s">
        <v>1421</v>
      </c>
      <c r="G152" t="s">
        <v>1144</v>
      </c>
      <c r="H152" t="s">
        <v>1144</v>
      </c>
      <c r="I152" t="s">
        <v>1144</v>
      </c>
      <c r="J152" t="s">
        <v>1144</v>
      </c>
      <c r="K152" t="s">
        <v>1144</v>
      </c>
      <c r="L152">
        <v>544.11</v>
      </c>
      <c r="M152">
        <v>1056.52</v>
      </c>
      <c r="N152">
        <v>0</v>
      </c>
      <c r="O152" s="56"/>
      <c r="P152" s="56"/>
      <c r="Q152">
        <v>13718</v>
      </c>
      <c r="R152">
        <v>9</v>
      </c>
      <c r="S152">
        <v>4</v>
      </c>
      <c r="T152">
        <v>2</v>
      </c>
      <c r="U152">
        <v>2</v>
      </c>
      <c r="V152">
        <v>1</v>
      </c>
      <c r="X152" t="s">
        <v>2386</v>
      </c>
      <c r="AA152">
        <v>0.35</v>
      </c>
      <c r="AB152">
        <v>3</v>
      </c>
      <c r="AC152">
        <v>4.29</v>
      </c>
      <c r="AD152">
        <v>7.14</v>
      </c>
      <c r="AE152">
        <v>0</v>
      </c>
      <c r="AF152">
        <v>0</v>
      </c>
      <c r="AG152">
        <v>0</v>
      </c>
      <c r="AJ152" s="56"/>
      <c r="AK152" s="56"/>
      <c r="AL152" s="56">
        <v>42322</v>
      </c>
      <c r="AM152">
        <v>6</v>
      </c>
      <c r="AP152" t="s">
        <v>1450</v>
      </c>
      <c r="AS152" t="s">
        <v>1152</v>
      </c>
      <c r="AT152">
        <v>1</v>
      </c>
      <c r="AV152">
        <v>6</v>
      </c>
      <c r="AW152">
        <v>4</v>
      </c>
      <c r="AX152">
        <v>2</v>
      </c>
      <c r="AY152" t="s">
        <v>1147</v>
      </c>
      <c r="AZ152" t="s">
        <v>1147</v>
      </c>
      <c r="BA152">
        <v>6</v>
      </c>
      <c r="BD152">
        <v>1000000000</v>
      </c>
      <c r="BE152">
        <v>10</v>
      </c>
      <c r="BF152">
        <v>-0.67</v>
      </c>
      <c r="BG152">
        <v>0</v>
      </c>
      <c r="BH152">
        <v>0</v>
      </c>
      <c r="BI152">
        <v>0</v>
      </c>
      <c r="BJ152">
        <v>0</v>
      </c>
      <c r="BK152">
        <v>0</v>
      </c>
      <c r="BL152">
        <v>0</v>
      </c>
      <c r="BM152">
        <v>10</v>
      </c>
      <c r="BN152">
        <v>-0.67</v>
      </c>
      <c r="BO152">
        <v>0</v>
      </c>
      <c r="BP152">
        <v>0</v>
      </c>
      <c r="BR152">
        <v>0</v>
      </c>
      <c r="BS152">
        <v>3</v>
      </c>
      <c r="BX152">
        <v>0</v>
      </c>
      <c r="BY152">
        <v>2176.44</v>
      </c>
      <c r="BZ152">
        <v>0</v>
      </c>
      <c r="CA152">
        <v>11.3</v>
      </c>
      <c r="CC152">
        <v>1</v>
      </c>
      <c r="CD152" s="56">
        <v>42593</v>
      </c>
      <c r="CE152" s="56">
        <v>42612</v>
      </c>
      <c r="CF152" s="56">
        <v>42612</v>
      </c>
      <c r="CG152" s="56">
        <v>42640</v>
      </c>
      <c r="CH152" s="56"/>
      <c r="CI152" s="56"/>
      <c r="CJ152">
        <v>0.04</v>
      </c>
      <c r="CK152">
        <v>0</v>
      </c>
      <c r="CL152">
        <v>0</v>
      </c>
      <c r="CM152">
        <v>0</v>
      </c>
      <c r="CN152">
        <v>0</v>
      </c>
      <c r="CO152">
        <v>0</v>
      </c>
      <c r="CP152">
        <v>0.71</v>
      </c>
      <c r="CQ152" t="s">
        <v>1378</v>
      </c>
      <c r="CR152" t="s">
        <v>1377</v>
      </c>
      <c r="CS152" t="s">
        <v>1451</v>
      </c>
      <c r="CT152" t="s">
        <v>1724</v>
      </c>
      <c r="CU152" t="s">
        <v>1742</v>
      </c>
      <c r="CV152" t="s">
        <v>1991</v>
      </c>
      <c r="DB152" t="s">
        <v>1978</v>
      </c>
      <c r="DE152" t="s">
        <v>1724</v>
      </c>
    </row>
    <row r="153" spans="1:109" x14ac:dyDescent="0.25">
      <c r="A153" t="s">
        <v>1378</v>
      </c>
      <c r="B153">
        <v>1</v>
      </c>
      <c r="C153" s="56">
        <v>42640</v>
      </c>
      <c r="D153" t="s">
        <v>1449</v>
      </c>
      <c r="E153" t="s">
        <v>2339</v>
      </c>
      <c r="G153" t="s">
        <v>1144</v>
      </c>
      <c r="H153" t="s">
        <v>1144</v>
      </c>
      <c r="I153" t="s">
        <v>1144</v>
      </c>
      <c r="J153" t="s">
        <v>1144</v>
      </c>
      <c r="K153" t="s">
        <v>1144</v>
      </c>
      <c r="L153">
        <v>1169.31</v>
      </c>
      <c r="M153">
        <v>0</v>
      </c>
      <c r="N153">
        <v>0</v>
      </c>
      <c r="O153" s="56"/>
      <c r="P153" s="56"/>
      <c r="Q153">
        <v>13718</v>
      </c>
      <c r="R153">
        <v>9</v>
      </c>
      <c r="S153">
        <v>4</v>
      </c>
      <c r="T153">
        <v>2</v>
      </c>
      <c r="U153">
        <v>2</v>
      </c>
      <c r="V153">
        <v>1</v>
      </c>
      <c r="W153" t="s">
        <v>1376</v>
      </c>
      <c r="X153" t="s">
        <v>2385</v>
      </c>
      <c r="AA153">
        <v>0</v>
      </c>
      <c r="AB153">
        <v>0</v>
      </c>
      <c r="AC153">
        <v>0</v>
      </c>
      <c r="AD153">
        <v>0</v>
      </c>
      <c r="AE153">
        <v>0</v>
      </c>
      <c r="AF153">
        <v>0</v>
      </c>
      <c r="AG153">
        <v>0</v>
      </c>
      <c r="AJ153" s="56"/>
      <c r="AK153" s="56"/>
      <c r="AL153" s="56"/>
      <c r="AP153" t="s">
        <v>1450</v>
      </c>
      <c r="AS153" t="s">
        <v>1152</v>
      </c>
      <c r="AT153">
        <v>1</v>
      </c>
      <c r="AV153">
        <v>2</v>
      </c>
      <c r="AW153">
        <v>2</v>
      </c>
      <c r="AX153">
        <v>1</v>
      </c>
      <c r="AY153" t="s">
        <v>1145</v>
      </c>
      <c r="AZ153" t="s">
        <v>1145</v>
      </c>
      <c r="BA153">
        <v>0</v>
      </c>
      <c r="BD153">
        <v>1000000000</v>
      </c>
      <c r="BE153">
        <v>2</v>
      </c>
      <c r="BF153">
        <v>0</v>
      </c>
      <c r="BG153">
        <v>0</v>
      </c>
      <c r="BH153">
        <v>0</v>
      </c>
      <c r="BI153">
        <v>0</v>
      </c>
      <c r="BJ153">
        <v>0</v>
      </c>
      <c r="BK153">
        <v>0</v>
      </c>
      <c r="BL153">
        <v>0</v>
      </c>
      <c r="BM153">
        <v>2</v>
      </c>
      <c r="BN153">
        <v>0</v>
      </c>
      <c r="BO153">
        <v>0</v>
      </c>
      <c r="BP153">
        <v>0</v>
      </c>
      <c r="BR153">
        <v>0</v>
      </c>
      <c r="BS153">
        <v>1</v>
      </c>
      <c r="BX153">
        <v>0</v>
      </c>
      <c r="BY153">
        <v>0</v>
      </c>
      <c r="BZ153">
        <v>0</v>
      </c>
      <c r="CA153">
        <v>-12</v>
      </c>
      <c r="CC153">
        <v>1</v>
      </c>
      <c r="CD153" s="56">
        <v>42619</v>
      </c>
      <c r="CE153" s="56">
        <v>42619</v>
      </c>
      <c r="CF153" s="56">
        <v>42619</v>
      </c>
      <c r="CG153" s="56">
        <v>42647</v>
      </c>
      <c r="CH153" s="56"/>
      <c r="CI153" s="56"/>
      <c r="CJ153">
        <v>0</v>
      </c>
      <c r="CK153">
        <v>0</v>
      </c>
      <c r="CL153">
        <v>0</v>
      </c>
      <c r="CM153">
        <v>0</v>
      </c>
      <c r="CN153">
        <v>0.65</v>
      </c>
      <c r="CO153">
        <v>0</v>
      </c>
      <c r="CP153">
        <v>0</v>
      </c>
      <c r="CQ153" t="s">
        <v>1378</v>
      </c>
      <c r="CR153" t="s">
        <v>1377</v>
      </c>
      <c r="CS153" t="s">
        <v>1451</v>
      </c>
      <c r="CT153" t="s">
        <v>1724</v>
      </c>
      <c r="CU153" t="s">
        <v>1742</v>
      </c>
      <c r="CV153" t="s">
        <v>2340</v>
      </c>
      <c r="DB153" t="s">
        <v>2145</v>
      </c>
      <c r="DE153" t="s">
        <v>1724</v>
      </c>
    </row>
    <row r="154" spans="1:109" x14ac:dyDescent="0.25">
      <c r="A154" t="s">
        <v>1378</v>
      </c>
      <c r="B154">
        <v>1</v>
      </c>
      <c r="C154" s="56">
        <v>42640</v>
      </c>
      <c r="D154" t="s">
        <v>1449</v>
      </c>
      <c r="E154" t="s">
        <v>2039</v>
      </c>
      <c r="G154" t="s">
        <v>1144</v>
      </c>
      <c r="H154" t="s">
        <v>1144</v>
      </c>
      <c r="I154" t="s">
        <v>1144</v>
      </c>
      <c r="J154" t="s">
        <v>1144</v>
      </c>
      <c r="K154" t="s">
        <v>1144</v>
      </c>
      <c r="L154">
        <v>214.28</v>
      </c>
      <c r="M154">
        <v>2</v>
      </c>
      <c r="N154">
        <v>0</v>
      </c>
      <c r="O154" s="56"/>
      <c r="P154" s="56"/>
      <c r="Q154">
        <v>13718</v>
      </c>
      <c r="R154">
        <v>9</v>
      </c>
      <c r="S154">
        <v>4</v>
      </c>
      <c r="T154">
        <v>2</v>
      </c>
      <c r="U154">
        <v>2</v>
      </c>
      <c r="V154">
        <v>1</v>
      </c>
      <c r="W154" t="s">
        <v>1376</v>
      </c>
      <c r="X154" t="s">
        <v>2385</v>
      </c>
      <c r="AA154">
        <v>0</v>
      </c>
      <c r="AB154">
        <v>0</v>
      </c>
      <c r="AC154">
        <v>0</v>
      </c>
      <c r="AD154">
        <v>0</v>
      </c>
      <c r="AE154">
        <v>0</v>
      </c>
      <c r="AF154">
        <v>0</v>
      </c>
      <c r="AG154">
        <v>0</v>
      </c>
      <c r="AJ154" s="56"/>
      <c r="AK154" s="56">
        <v>42369</v>
      </c>
      <c r="AL154" s="56"/>
      <c r="AM154">
        <v>1</v>
      </c>
      <c r="AP154" t="s">
        <v>1450</v>
      </c>
      <c r="AS154" t="s">
        <v>1152</v>
      </c>
      <c r="AT154">
        <v>1</v>
      </c>
      <c r="AV154">
        <v>2</v>
      </c>
      <c r="AW154">
        <v>2</v>
      </c>
      <c r="AX154">
        <v>1</v>
      </c>
      <c r="AY154" t="s">
        <v>1145</v>
      </c>
      <c r="AZ154" t="s">
        <v>1145</v>
      </c>
      <c r="BA154">
        <v>1</v>
      </c>
      <c r="BD154">
        <v>1000000000</v>
      </c>
      <c r="BE154">
        <v>2</v>
      </c>
      <c r="BF154">
        <v>0</v>
      </c>
      <c r="BG154">
        <v>0</v>
      </c>
      <c r="BH154">
        <v>0</v>
      </c>
      <c r="BI154">
        <v>0</v>
      </c>
      <c r="BJ154">
        <v>0</v>
      </c>
      <c r="BK154">
        <v>0</v>
      </c>
      <c r="BL154">
        <v>0</v>
      </c>
      <c r="BM154">
        <v>2</v>
      </c>
      <c r="BN154">
        <v>0</v>
      </c>
      <c r="BO154">
        <v>0</v>
      </c>
      <c r="BP154">
        <v>0</v>
      </c>
      <c r="BR154">
        <v>0</v>
      </c>
      <c r="BS154">
        <v>1</v>
      </c>
      <c r="BX154">
        <v>0</v>
      </c>
      <c r="BY154">
        <v>0</v>
      </c>
      <c r="BZ154">
        <v>0</v>
      </c>
      <c r="CA154">
        <v>-11.89</v>
      </c>
      <c r="CC154">
        <v>1</v>
      </c>
      <c r="CD154" s="56">
        <v>42619</v>
      </c>
      <c r="CE154" s="56">
        <v>42619</v>
      </c>
      <c r="CF154" s="56">
        <v>42619</v>
      </c>
      <c r="CG154" s="56">
        <v>42647</v>
      </c>
      <c r="CH154" s="56"/>
      <c r="CI154" s="56"/>
      <c r="CJ154">
        <v>0</v>
      </c>
      <c r="CK154">
        <v>0</v>
      </c>
      <c r="CL154">
        <v>0</v>
      </c>
      <c r="CM154">
        <v>0</v>
      </c>
      <c r="CN154">
        <v>0.65</v>
      </c>
      <c r="CO154">
        <v>0</v>
      </c>
      <c r="CP154">
        <v>0</v>
      </c>
      <c r="CQ154" t="s">
        <v>1378</v>
      </c>
      <c r="CR154" t="s">
        <v>1377</v>
      </c>
      <c r="CS154" t="s">
        <v>1451</v>
      </c>
      <c r="CT154" t="s">
        <v>1724</v>
      </c>
      <c r="CU154" t="s">
        <v>1742</v>
      </c>
      <c r="CV154" t="s">
        <v>2040</v>
      </c>
      <c r="DB154" t="s">
        <v>2014</v>
      </c>
      <c r="DE154" t="s">
        <v>1724</v>
      </c>
    </row>
    <row r="155" spans="1:109" x14ac:dyDescent="0.25">
      <c r="A155" t="s">
        <v>1378</v>
      </c>
      <c r="B155">
        <v>1</v>
      </c>
      <c r="C155" s="56">
        <v>42640</v>
      </c>
      <c r="D155" t="s">
        <v>1449</v>
      </c>
      <c r="E155" t="s">
        <v>1479</v>
      </c>
      <c r="G155" t="s">
        <v>1144</v>
      </c>
      <c r="H155" t="s">
        <v>1144</v>
      </c>
      <c r="I155" t="s">
        <v>1144</v>
      </c>
      <c r="J155" t="s">
        <v>1144</v>
      </c>
      <c r="K155" t="s">
        <v>1144</v>
      </c>
      <c r="L155">
        <v>133.68</v>
      </c>
      <c r="M155">
        <v>293.95</v>
      </c>
      <c r="N155">
        <v>0</v>
      </c>
      <c r="O155" s="56"/>
      <c r="P155" s="56"/>
      <c r="Q155">
        <v>13718</v>
      </c>
      <c r="R155">
        <v>9</v>
      </c>
      <c r="S155">
        <v>4</v>
      </c>
      <c r="T155">
        <v>2</v>
      </c>
      <c r="U155">
        <v>2</v>
      </c>
      <c r="V155">
        <v>1</v>
      </c>
      <c r="X155" t="s">
        <v>2385</v>
      </c>
      <c r="AA155">
        <v>0.16</v>
      </c>
      <c r="AB155">
        <v>1</v>
      </c>
      <c r="AC155">
        <v>7.81</v>
      </c>
      <c r="AD155">
        <v>15.63</v>
      </c>
      <c r="AE155">
        <v>0</v>
      </c>
      <c r="AF155">
        <v>0</v>
      </c>
      <c r="AG155">
        <v>0</v>
      </c>
      <c r="AJ155" s="56">
        <v>42666</v>
      </c>
      <c r="AK155" s="56"/>
      <c r="AL155" s="56"/>
      <c r="AM155">
        <v>4</v>
      </c>
      <c r="AP155" t="s">
        <v>1450</v>
      </c>
      <c r="AS155" t="s">
        <v>1152</v>
      </c>
      <c r="AT155">
        <v>1</v>
      </c>
      <c r="AV155">
        <v>5</v>
      </c>
      <c r="AW155">
        <v>3</v>
      </c>
      <c r="AX155">
        <v>2</v>
      </c>
      <c r="AY155" t="s">
        <v>1147</v>
      </c>
      <c r="AZ155" t="s">
        <v>1147</v>
      </c>
      <c r="BA155">
        <v>4</v>
      </c>
      <c r="BD155">
        <v>1000000000</v>
      </c>
      <c r="BE155">
        <v>10</v>
      </c>
      <c r="BF155">
        <v>-1</v>
      </c>
      <c r="BG155">
        <v>0</v>
      </c>
      <c r="BH155">
        <v>0</v>
      </c>
      <c r="BI155">
        <v>0</v>
      </c>
      <c r="BJ155">
        <v>0</v>
      </c>
      <c r="BK155">
        <v>0</v>
      </c>
      <c r="BL155">
        <v>0</v>
      </c>
      <c r="BM155">
        <v>10</v>
      </c>
      <c r="BN155">
        <v>-1</v>
      </c>
      <c r="BO155">
        <v>0</v>
      </c>
      <c r="BP155">
        <v>0</v>
      </c>
      <c r="BR155">
        <v>0</v>
      </c>
      <c r="BS155">
        <v>3</v>
      </c>
      <c r="BX155">
        <v>0</v>
      </c>
      <c r="BY155">
        <v>668.4</v>
      </c>
      <c r="BZ155">
        <v>0</v>
      </c>
      <c r="CA155">
        <v>14.39</v>
      </c>
      <c r="CC155">
        <v>1</v>
      </c>
      <c r="CD155" s="56">
        <v>42619</v>
      </c>
      <c r="CE155" s="56">
        <v>42619</v>
      </c>
      <c r="CF155" s="56">
        <v>42619</v>
      </c>
      <c r="CG155" s="56">
        <v>42647</v>
      </c>
      <c r="CH155" s="56"/>
      <c r="CI155" s="56"/>
      <c r="CJ155">
        <v>0</v>
      </c>
      <c r="CK155">
        <v>0</v>
      </c>
      <c r="CL155">
        <v>0</v>
      </c>
      <c r="CM155">
        <v>0</v>
      </c>
      <c r="CN155">
        <v>0</v>
      </c>
      <c r="CO155">
        <v>0</v>
      </c>
      <c r="CP155">
        <v>0.65</v>
      </c>
      <c r="CQ155" t="s">
        <v>1378</v>
      </c>
      <c r="CR155" t="s">
        <v>1377</v>
      </c>
      <c r="CS155" t="s">
        <v>1451</v>
      </c>
      <c r="CT155" t="s">
        <v>1724</v>
      </c>
      <c r="CU155" t="s">
        <v>1742</v>
      </c>
      <c r="CV155" t="s">
        <v>2092</v>
      </c>
      <c r="DB155" t="s">
        <v>2059</v>
      </c>
      <c r="DE155" t="s">
        <v>1724</v>
      </c>
    </row>
    <row r="156" spans="1:109" x14ac:dyDescent="0.25">
      <c r="A156" t="s">
        <v>1378</v>
      </c>
      <c r="B156">
        <v>1</v>
      </c>
      <c r="C156" s="56">
        <v>42640</v>
      </c>
      <c r="D156" t="s">
        <v>1449</v>
      </c>
      <c r="E156" t="s">
        <v>1457</v>
      </c>
      <c r="G156" t="s">
        <v>1144</v>
      </c>
      <c r="H156" t="s">
        <v>1144</v>
      </c>
      <c r="I156" t="s">
        <v>1144</v>
      </c>
      <c r="J156" t="s">
        <v>1144</v>
      </c>
      <c r="K156" t="s">
        <v>1144</v>
      </c>
      <c r="L156">
        <v>736.05</v>
      </c>
      <c r="M156">
        <v>1637.27</v>
      </c>
      <c r="N156">
        <v>0</v>
      </c>
      <c r="O156" s="56"/>
      <c r="P156" s="56"/>
      <c r="Q156">
        <v>13718</v>
      </c>
      <c r="R156">
        <v>9</v>
      </c>
      <c r="S156">
        <v>4</v>
      </c>
      <c r="T156">
        <v>2</v>
      </c>
      <c r="U156">
        <v>2</v>
      </c>
      <c r="V156">
        <v>1</v>
      </c>
      <c r="W156" t="s">
        <v>2379</v>
      </c>
      <c r="X156" t="s">
        <v>2387</v>
      </c>
      <c r="AA156">
        <v>0.08</v>
      </c>
      <c r="AB156">
        <v>1</v>
      </c>
      <c r="AC156">
        <v>6.25</v>
      </c>
      <c r="AD156">
        <v>6.25</v>
      </c>
      <c r="AE156">
        <v>0</v>
      </c>
      <c r="AF156">
        <v>0</v>
      </c>
      <c r="AG156">
        <v>0</v>
      </c>
      <c r="AJ156" s="56"/>
      <c r="AK156" s="56"/>
      <c r="AL156" s="56"/>
      <c r="AP156" t="s">
        <v>1450</v>
      </c>
      <c r="AS156" t="s">
        <v>1152</v>
      </c>
      <c r="AT156">
        <v>1</v>
      </c>
      <c r="AV156">
        <v>2</v>
      </c>
      <c r="AW156">
        <v>2</v>
      </c>
      <c r="AX156">
        <v>1</v>
      </c>
      <c r="AY156" t="s">
        <v>1145</v>
      </c>
      <c r="AZ156" t="s">
        <v>1145</v>
      </c>
      <c r="BA156">
        <v>0</v>
      </c>
      <c r="BD156">
        <v>1000000000</v>
      </c>
      <c r="BE156">
        <v>2</v>
      </c>
      <c r="BF156">
        <v>0</v>
      </c>
      <c r="BG156">
        <v>0</v>
      </c>
      <c r="BH156">
        <v>0</v>
      </c>
      <c r="BI156">
        <v>0</v>
      </c>
      <c r="BJ156">
        <v>0</v>
      </c>
      <c r="BK156">
        <v>0</v>
      </c>
      <c r="BL156">
        <v>0</v>
      </c>
      <c r="BM156">
        <v>2</v>
      </c>
      <c r="BN156">
        <v>0</v>
      </c>
      <c r="BO156">
        <v>0</v>
      </c>
      <c r="BP156">
        <v>0</v>
      </c>
      <c r="BR156">
        <v>0</v>
      </c>
      <c r="BS156">
        <v>1</v>
      </c>
      <c r="BX156">
        <v>0</v>
      </c>
      <c r="BY156">
        <v>0</v>
      </c>
      <c r="BZ156">
        <v>0</v>
      </c>
      <c r="CA156">
        <v>14.69</v>
      </c>
      <c r="CC156">
        <v>1</v>
      </c>
      <c r="CD156" s="56">
        <v>42592</v>
      </c>
      <c r="CE156" s="56">
        <v>42612</v>
      </c>
      <c r="CF156" s="56">
        <v>42612</v>
      </c>
      <c r="CG156" s="56">
        <v>42640</v>
      </c>
      <c r="CH156" s="56"/>
      <c r="CI156" s="56"/>
      <c r="CJ156">
        <v>0</v>
      </c>
      <c r="CK156">
        <v>0</v>
      </c>
      <c r="CL156">
        <v>0</v>
      </c>
      <c r="CM156">
        <v>0</v>
      </c>
      <c r="CN156">
        <v>0.71</v>
      </c>
      <c r="CO156">
        <v>0</v>
      </c>
      <c r="CP156">
        <v>0</v>
      </c>
      <c r="CQ156" t="s">
        <v>1378</v>
      </c>
      <c r="CR156" t="s">
        <v>1377</v>
      </c>
      <c r="CS156" t="s">
        <v>1451</v>
      </c>
      <c r="CT156" t="s">
        <v>1724</v>
      </c>
      <c r="CU156" t="s">
        <v>1742</v>
      </c>
      <c r="CV156" t="s">
        <v>1782</v>
      </c>
      <c r="DB156" t="s">
        <v>1783</v>
      </c>
      <c r="DE156" t="s">
        <v>1724</v>
      </c>
    </row>
    <row r="157" spans="1:109" x14ac:dyDescent="0.25">
      <c r="A157" t="s">
        <v>1378</v>
      </c>
      <c r="B157">
        <v>1</v>
      </c>
      <c r="C157" s="56">
        <v>42640</v>
      </c>
      <c r="D157" t="s">
        <v>1449</v>
      </c>
      <c r="E157" t="s">
        <v>2146</v>
      </c>
      <c r="G157" t="s">
        <v>1144</v>
      </c>
      <c r="H157" t="s">
        <v>1144</v>
      </c>
      <c r="I157" t="s">
        <v>1144</v>
      </c>
      <c r="J157" t="s">
        <v>1144</v>
      </c>
      <c r="K157" t="s">
        <v>1144</v>
      </c>
      <c r="L157">
        <v>2246.7800000000002</v>
      </c>
      <c r="M157">
        <v>2</v>
      </c>
      <c r="N157">
        <v>0</v>
      </c>
      <c r="O157" s="56"/>
      <c r="P157" s="56"/>
      <c r="Q157">
        <v>13718</v>
      </c>
      <c r="R157">
        <v>9</v>
      </c>
      <c r="S157">
        <v>4</v>
      </c>
      <c r="T157">
        <v>2</v>
      </c>
      <c r="U157">
        <v>2</v>
      </c>
      <c r="V157">
        <v>1</v>
      </c>
      <c r="X157" t="s">
        <v>2386</v>
      </c>
      <c r="AA157">
        <v>0</v>
      </c>
      <c r="AB157">
        <v>0</v>
      </c>
      <c r="AC157">
        <v>0</v>
      </c>
      <c r="AD157">
        <v>0</v>
      </c>
      <c r="AE157">
        <v>0</v>
      </c>
      <c r="AF157">
        <v>0</v>
      </c>
      <c r="AG157">
        <v>0</v>
      </c>
      <c r="AJ157" s="56"/>
      <c r="AK157" s="56"/>
      <c r="AL157" s="56"/>
      <c r="AP157" t="s">
        <v>1450</v>
      </c>
      <c r="AS157" t="s">
        <v>1152</v>
      </c>
      <c r="AT157">
        <v>1</v>
      </c>
      <c r="AV157">
        <v>0</v>
      </c>
      <c r="AW157">
        <v>0</v>
      </c>
      <c r="AX157">
        <v>0</v>
      </c>
      <c r="AY157" t="s">
        <v>1375</v>
      </c>
      <c r="AZ157" t="s">
        <v>1375</v>
      </c>
      <c r="BA157">
        <v>0</v>
      </c>
      <c r="BD157">
        <v>1000000000</v>
      </c>
      <c r="BE157">
        <v>1</v>
      </c>
      <c r="BF157">
        <v>0</v>
      </c>
      <c r="BG157">
        <v>0</v>
      </c>
      <c r="BH157">
        <v>0</v>
      </c>
      <c r="BI157">
        <v>0</v>
      </c>
      <c r="BJ157">
        <v>0</v>
      </c>
      <c r="BK157">
        <v>0</v>
      </c>
      <c r="BL157">
        <v>0</v>
      </c>
      <c r="BM157">
        <v>1</v>
      </c>
      <c r="BN157">
        <v>0</v>
      </c>
      <c r="BO157">
        <v>0</v>
      </c>
      <c r="BP157">
        <v>0</v>
      </c>
      <c r="BR157">
        <v>0</v>
      </c>
      <c r="BS157">
        <v>0</v>
      </c>
      <c r="BX157">
        <v>0</v>
      </c>
      <c r="BY157">
        <v>0</v>
      </c>
      <c r="BZ157">
        <v>0</v>
      </c>
      <c r="CA157">
        <v>0</v>
      </c>
      <c r="CC157">
        <v>1</v>
      </c>
      <c r="CD157" s="56">
        <v>42593</v>
      </c>
      <c r="CE157" s="56">
        <v>42612</v>
      </c>
      <c r="CF157" s="56">
        <v>42612</v>
      </c>
      <c r="CG157" s="56">
        <v>42640</v>
      </c>
      <c r="CH157" s="56"/>
      <c r="CI157" s="56"/>
      <c r="CJ157">
        <v>0</v>
      </c>
      <c r="CK157">
        <v>0</v>
      </c>
      <c r="CL157">
        <v>0</v>
      </c>
      <c r="CM157">
        <v>0</v>
      </c>
      <c r="CN157">
        <v>0</v>
      </c>
      <c r="CO157">
        <v>0</v>
      </c>
      <c r="CP157">
        <v>0.71</v>
      </c>
      <c r="CQ157" t="s">
        <v>1378</v>
      </c>
      <c r="CR157" t="s">
        <v>1377</v>
      </c>
      <c r="CS157" t="s">
        <v>1451</v>
      </c>
      <c r="CT157" t="s">
        <v>1724</v>
      </c>
      <c r="CU157" t="s">
        <v>1742</v>
      </c>
      <c r="CV157" t="s">
        <v>2147</v>
      </c>
      <c r="DB157" t="s">
        <v>2145</v>
      </c>
      <c r="DE157" t="s">
        <v>1724</v>
      </c>
    </row>
    <row r="158" spans="1:109" x14ac:dyDescent="0.25">
      <c r="A158" t="s">
        <v>1378</v>
      </c>
      <c r="B158">
        <v>1</v>
      </c>
      <c r="C158" s="56">
        <v>42640</v>
      </c>
      <c r="D158" t="s">
        <v>1449</v>
      </c>
      <c r="E158" t="s">
        <v>1940</v>
      </c>
      <c r="G158" t="s">
        <v>1144</v>
      </c>
      <c r="H158" t="s">
        <v>1144</v>
      </c>
      <c r="I158" t="s">
        <v>1144</v>
      </c>
      <c r="J158" t="s">
        <v>1144</v>
      </c>
      <c r="K158" t="s">
        <v>1144</v>
      </c>
      <c r="L158">
        <v>107.23</v>
      </c>
      <c r="M158">
        <v>230.18</v>
      </c>
      <c r="N158">
        <v>0</v>
      </c>
      <c r="O158" s="56"/>
      <c r="P158" s="56"/>
      <c r="Q158">
        <v>13718</v>
      </c>
      <c r="R158">
        <v>9</v>
      </c>
      <c r="S158">
        <v>4</v>
      </c>
      <c r="T158">
        <v>2</v>
      </c>
      <c r="U158">
        <v>2</v>
      </c>
      <c r="V158">
        <v>1</v>
      </c>
      <c r="X158" t="s">
        <v>2385</v>
      </c>
      <c r="AA158">
        <v>0</v>
      </c>
      <c r="AB158">
        <v>0</v>
      </c>
      <c r="AC158">
        <v>0</v>
      </c>
      <c r="AD158">
        <v>0</v>
      </c>
      <c r="AE158">
        <v>0</v>
      </c>
      <c r="AF158">
        <v>0</v>
      </c>
      <c r="AG158">
        <v>0</v>
      </c>
      <c r="AJ158" s="56"/>
      <c r="AK158" s="56"/>
      <c r="AL158" s="56"/>
      <c r="AP158" t="s">
        <v>1450</v>
      </c>
      <c r="AS158" t="s">
        <v>1152</v>
      </c>
      <c r="AT158">
        <v>1</v>
      </c>
      <c r="AV158">
        <v>0</v>
      </c>
      <c r="AW158">
        <v>0</v>
      </c>
      <c r="AX158">
        <v>0</v>
      </c>
      <c r="AY158" t="s">
        <v>1375</v>
      </c>
      <c r="AZ158" t="s">
        <v>1375</v>
      </c>
      <c r="BA158">
        <v>2</v>
      </c>
      <c r="BD158">
        <v>1000000000</v>
      </c>
      <c r="BE158">
        <v>3</v>
      </c>
      <c r="BF158">
        <v>0</v>
      </c>
      <c r="BG158">
        <v>0</v>
      </c>
      <c r="BH158">
        <v>0</v>
      </c>
      <c r="BI158">
        <v>0</v>
      </c>
      <c r="BJ158">
        <v>0</v>
      </c>
      <c r="BK158">
        <v>0</v>
      </c>
      <c r="BL158">
        <v>0</v>
      </c>
      <c r="BM158">
        <v>3</v>
      </c>
      <c r="BN158">
        <v>0</v>
      </c>
      <c r="BO158">
        <v>0</v>
      </c>
      <c r="BP158">
        <v>0</v>
      </c>
      <c r="BR158">
        <v>0</v>
      </c>
      <c r="BS158">
        <v>0</v>
      </c>
      <c r="BX158">
        <v>0</v>
      </c>
      <c r="BY158">
        <v>0</v>
      </c>
      <c r="BZ158">
        <v>0</v>
      </c>
      <c r="CA158">
        <v>0</v>
      </c>
      <c r="CC158">
        <v>1</v>
      </c>
      <c r="CD158" s="56">
        <v>42619</v>
      </c>
      <c r="CE158" s="56">
        <v>42619</v>
      </c>
      <c r="CF158" s="56">
        <v>42619</v>
      </c>
      <c r="CG158" s="56">
        <v>42647</v>
      </c>
      <c r="CH158" s="56"/>
      <c r="CI158" s="56"/>
      <c r="CJ158">
        <v>0</v>
      </c>
      <c r="CK158">
        <v>0</v>
      </c>
      <c r="CL158">
        <v>0</v>
      </c>
      <c r="CM158">
        <v>0</v>
      </c>
      <c r="CN158">
        <v>0</v>
      </c>
      <c r="CO158">
        <v>0</v>
      </c>
      <c r="CP158">
        <v>0.65</v>
      </c>
      <c r="CQ158" t="s">
        <v>1378</v>
      </c>
      <c r="CR158" t="s">
        <v>1377</v>
      </c>
      <c r="CS158" t="s">
        <v>1451</v>
      </c>
      <c r="CT158" t="s">
        <v>1724</v>
      </c>
      <c r="CU158" t="s">
        <v>1742</v>
      </c>
      <c r="CV158" t="s">
        <v>1936</v>
      </c>
      <c r="DB158" t="s">
        <v>1869</v>
      </c>
      <c r="DE158" t="s">
        <v>1724</v>
      </c>
    </row>
    <row r="159" spans="1:109" x14ac:dyDescent="0.25">
      <c r="A159" t="s">
        <v>1378</v>
      </c>
      <c r="B159">
        <v>1</v>
      </c>
      <c r="C159" s="56">
        <v>42640</v>
      </c>
      <c r="D159" t="s">
        <v>1449</v>
      </c>
      <c r="E159" t="s">
        <v>1919</v>
      </c>
      <c r="G159" t="s">
        <v>1144</v>
      </c>
      <c r="H159" t="s">
        <v>1144</v>
      </c>
      <c r="I159" t="s">
        <v>1144</v>
      </c>
      <c r="J159" t="s">
        <v>1144</v>
      </c>
      <c r="K159" t="s">
        <v>1144</v>
      </c>
      <c r="L159">
        <v>33.25</v>
      </c>
      <c r="M159">
        <v>100</v>
      </c>
      <c r="N159">
        <v>0</v>
      </c>
      <c r="O159" s="56"/>
      <c r="P159" s="56"/>
      <c r="Q159">
        <v>13718</v>
      </c>
      <c r="R159">
        <v>9</v>
      </c>
      <c r="S159">
        <v>4</v>
      </c>
      <c r="T159">
        <v>2</v>
      </c>
      <c r="U159">
        <v>2</v>
      </c>
      <c r="V159">
        <v>1</v>
      </c>
      <c r="X159" t="s">
        <v>2385</v>
      </c>
      <c r="AA159">
        <v>0</v>
      </c>
      <c r="AB159">
        <v>0</v>
      </c>
      <c r="AC159">
        <v>0</v>
      </c>
      <c r="AD159">
        <v>0</v>
      </c>
      <c r="AE159">
        <v>0</v>
      </c>
      <c r="AF159">
        <v>0</v>
      </c>
      <c r="AG159">
        <v>0</v>
      </c>
      <c r="AJ159" s="56"/>
      <c r="AK159" s="56"/>
      <c r="AL159" s="56"/>
      <c r="AP159" t="s">
        <v>1450</v>
      </c>
      <c r="AS159" t="s">
        <v>1152</v>
      </c>
      <c r="AT159">
        <v>1</v>
      </c>
      <c r="AV159">
        <v>0</v>
      </c>
      <c r="AW159">
        <v>0</v>
      </c>
      <c r="AX159">
        <v>0</v>
      </c>
      <c r="AY159" t="s">
        <v>1375</v>
      </c>
      <c r="AZ159" t="s">
        <v>1375</v>
      </c>
      <c r="BA159">
        <v>2</v>
      </c>
      <c r="BD159">
        <v>1000000000</v>
      </c>
      <c r="BE159">
        <v>0</v>
      </c>
      <c r="BF159">
        <v>0</v>
      </c>
      <c r="BG159">
        <v>0</v>
      </c>
      <c r="BH159">
        <v>0</v>
      </c>
      <c r="BI159">
        <v>0</v>
      </c>
      <c r="BJ159">
        <v>0</v>
      </c>
      <c r="BK159">
        <v>0</v>
      </c>
      <c r="BL159">
        <v>0</v>
      </c>
      <c r="BM159">
        <v>0</v>
      </c>
      <c r="BN159">
        <v>0</v>
      </c>
      <c r="BO159">
        <v>0</v>
      </c>
      <c r="BP159">
        <v>0</v>
      </c>
      <c r="BR159">
        <v>0</v>
      </c>
      <c r="BS159">
        <v>0</v>
      </c>
      <c r="BX159">
        <v>0</v>
      </c>
      <c r="BY159">
        <v>0</v>
      </c>
      <c r="BZ159">
        <v>0</v>
      </c>
      <c r="CA159">
        <v>0</v>
      </c>
      <c r="CC159">
        <v>1</v>
      </c>
      <c r="CD159" s="56">
        <v>42619</v>
      </c>
      <c r="CE159" s="56">
        <v>42619</v>
      </c>
      <c r="CF159" s="56">
        <v>42619</v>
      </c>
      <c r="CG159" s="56">
        <v>42647</v>
      </c>
      <c r="CH159" s="56"/>
      <c r="CI159" s="56"/>
      <c r="CJ159">
        <v>1</v>
      </c>
      <c r="CK159">
        <v>0</v>
      </c>
      <c r="CL159">
        <v>0.65</v>
      </c>
      <c r="CM159">
        <v>0</v>
      </c>
      <c r="CN159">
        <v>0</v>
      </c>
      <c r="CO159">
        <v>0</v>
      </c>
      <c r="CP159">
        <v>0</v>
      </c>
      <c r="CQ159" t="s">
        <v>1378</v>
      </c>
      <c r="CR159" t="s">
        <v>1377</v>
      </c>
      <c r="CS159" t="s">
        <v>1451</v>
      </c>
      <c r="CT159" t="s">
        <v>1724</v>
      </c>
      <c r="CU159" t="s">
        <v>1742</v>
      </c>
      <c r="CV159" t="s">
        <v>1920</v>
      </c>
      <c r="DB159" t="s">
        <v>1888</v>
      </c>
      <c r="DE159" t="s">
        <v>1724</v>
      </c>
    </row>
    <row r="160" spans="1:109" x14ac:dyDescent="0.25">
      <c r="A160" t="s">
        <v>1378</v>
      </c>
      <c r="B160">
        <v>1</v>
      </c>
      <c r="C160" s="56">
        <v>42640</v>
      </c>
      <c r="D160" t="s">
        <v>1449</v>
      </c>
      <c r="E160" t="s">
        <v>2267</v>
      </c>
      <c r="G160" t="s">
        <v>1144</v>
      </c>
      <c r="H160" t="s">
        <v>1144</v>
      </c>
      <c r="I160" t="s">
        <v>1144</v>
      </c>
      <c r="J160" t="s">
        <v>1144</v>
      </c>
      <c r="K160" t="s">
        <v>1144</v>
      </c>
      <c r="L160">
        <v>575.52</v>
      </c>
      <c r="M160">
        <v>2</v>
      </c>
      <c r="N160">
        <v>0</v>
      </c>
      <c r="O160" s="56"/>
      <c r="P160" s="56"/>
      <c r="Q160">
        <v>13718</v>
      </c>
      <c r="R160">
        <v>9</v>
      </c>
      <c r="S160">
        <v>4</v>
      </c>
      <c r="T160">
        <v>2</v>
      </c>
      <c r="U160">
        <v>2</v>
      </c>
      <c r="V160">
        <v>1</v>
      </c>
      <c r="W160" t="s">
        <v>2379</v>
      </c>
      <c r="X160" t="s">
        <v>2387</v>
      </c>
      <c r="AA160">
        <v>0.04</v>
      </c>
      <c r="AB160">
        <v>1</v>
      </c>
      <c r="AC160">
        <v>12.5</v>
      </c>
      <c r="AD160">
        <v>12.5</v>
      </c>
      <c r="AE160">
        <v>0</v>
      </c>
      <c r="AF160">
        <v>0</v>
      </c>
      <c r="AG160">
        <v>0</v>
      </c>
      <c r="AJ160" s="56"/>
      <c r="AK160" s="56">
        <v>42369</v>
      </c>
      <c r="AL160" s="56"/>
      <c r="AM160">
        <v>1</v>
      </c>
      <c r="AP160" t="s">
        <v>1450</v>
      </c>
      <c r="AS160" t="s">
        <v>1152</v>
      </c>
      <c r="AT160">
        <v>1</v>
      </c>
      <c r="AV160">
        <v>2</v>
      </c>
      <c r="AW160">
        <v>2</v>
      </c>
      <c r="AX160">
        <v>1</v>
      </c>
      <c r="AY160" t="s">
        <v>1145</v>
      </c>
      <c r="AZ160" t="s">
        <v>1145</v>
      </c>
      <c r="BA160">
        <v>1</v>
      </c>
      <c r="BD160">
        <v>1000000000</v>
      </c>
      <c r="BE160">
        <v>2</v>
      </c>
      <c r="BF160">
        <v>0</v>
      </c>
      <c r="BG160">
        <v>0</v>
      </c>
      <c r="BH160">
        <v>0</v>
      </c>
      <c r="BI160">
        <v>0</v>
      </c>
      <c r="BJ160">
        <v>0</v>
      </c>
      <c r="BK160">
        <v>0</v>
      </c>
      <c r="BL160">
        <v>0</v>
      </c>
      <c r="BM160">
        <v>2</v>
      </c>
      <c r="BN160">
        <v>0</v>
      </c>
      <c r="BO160">
        <v>0</v>
      </c>
      <c r="BP160">
        <v>0</v>
      </c>
      <c r="BR160">
        <v>0</v>
      </c>
      <c r="BS160">
        <v>1</v>
      </c>
      <c r="BX160">
        <v>0</v>
      </c>
      <c r="BY160">
        <v>0</v>
      </c>
      <c r="BZ160">
        <v>0</v>
      </c>
      <c r="CA160">
        <v>-11.96</v>
      </c>
      <c r="CC160">
        <v>1</v>
      </c>
      <c r="CD160" s="56">
        <v>42592</v>
      </c>
      <c r="CE160" s="56">
        <v>42612</v>
      </c>
      <c r="CF160" s="56">
        <v>42612</v>
      </c>
      <c r="CG160" s="56">
        <v>42640</v>
      </c>
      <c r="CH160" s="56"/>
      <c r="CI160" s="56"/>
      <c r="CJ160">
        <v>0</v>
      </c>
      <c r="CK160">
        <v>0</v>
      </c>
      <c r="CL160">
        <v>0</v>
      </c>
      <c r="CM160">
        <v>0</v>
      </c>
      <c r="CN160">
        <v>0.71</v>
      </c>
      <c r="CO160">
        <v>0</v>
      </c>
      <c r="CP160">
        <v>0</v>
      </c>
      <c r="CQ160" t="s">
        <v>1378</v>
      </c>
      <c r="CR160" t="s">
        <v>1377</v>
      </c>
      <c r="CS160" t="s">
        <v>1451</v>
      </c>
      <c r="CT160" t="s">
        <v>1724</v>
      </c>
      <c r="CU160" t="s">
        <v>1742</v>
      </c>
      <c r="CV160" t="s">
        <v>2268</v>
      </c>
      <c r="DB160" t="s">
        <v>2265</v>
      </c>
      <c r="DE160" t="s">
        <v>1724</v>
      </c>
    </row>
    <row r="161" spans="1:109" x14ac:dyDescent="0.25">
      <c r="A161" t="s">
        <v>1378</v>
      </c>
      <c r="B161">
        <v>1</v>
      </c>
      <c r="C161" s="56">
        <v>42640</v>
      </c>
      <c r="D161" t="s">
        <v>1449</v>
      </c>
      <c r="E161" t="s">
        <v>1979</v>
      </c>
      <c r="G161" t="s">
        <v>1144</v>
      </c>
      <c r="H161" t="s">
        <v>1144</v>
      </c>
      <c r="I161" t="s">
        <v>1144</v>
      </c>
      <c r="J161" t="s">
        <v>1144</v>
      </c>
      <c r="K161" t="s">
        <v>1144</v>
      </c>
      <c r="L161">
        <v>542.45000000000005</v>
      </c>
      <c r="M161">
        <v>1056.52</v>
      </c>
      <c r="N161">
        <v>0</v>
      </c>
      <c r="O161" s="56"/>
      <c r="P161" s="56"/>
      <c r="Q161">
        <v>13718</v>
      </c>
      <c r="R161">
        <v>9</v>
      </c>
      <c r="S161">
        <v>4</v>
      </c>
      <c r="T161">
        <v>2</v>
      </c>
      <c r="U161">
        <v>2</v>
      </c>
      <c r="V161">
        <v>1</v>
      </c>
      <c r="W161" t="s">
        <v>2379</v>
      </c>
      <c r="X161" t="s">
        <v>2386</v>
      </c>
      <c r="AA161">
        <v>0.55000000000000004</v>
      </c>
      <c r="AB161">
        <v>4</v>
      </c>
      <c r="AC161">
        <v>2.27</v>
      </c>
      <c r="AD161">
        <v>1.82</v>
      </c>
      <c r="AE161">
        <v>0</v>
      </c>
      <c r="AF161">
        <v>0</v>
      </c>
      <c r="AG161">
        <v>0</v>
      </c>
      <c r="AJ161" s="56"/>
      <c r="AK161" s="56"/>
      <c r="AL161" s="56"/>
      <c r="AM161">
        <v>5</v>
      </c>
      <c r="AP161" t="s">
        <v>1450</v>
      </c>
      <c r="AS161" t="s">
        <v>1152</v>
      </c>
      <c r="AT161">
        <v>1</v>
      </c>
      <c r="AV161">
        <v>5</v>
      </c>
      <c r="AW161">
        <v>3</v>
      </c>
      <c r="AX161">
        <v>2</v>
      </c>
      <c r="AY161" t="s">
        <v>1148</v>
      </c>
      <c r="AZ161" t="s">
        <v>1148</v>
      </c>
      <c r="BA161">
        <v>5</v>
      </c>
      <c r="BD161">
        <v>1000000000</v>
      </c>
      <c r="BE161">
        <v>4</v>
      </c>
      <c r="BF161">
        <v>0.2</v>
      </c>
      <c r="BG161">
        <v>0</v>
      </c>
      <c r="BH161">
        <v>0</v>
      </c>
      <c r="BI161">
        <v>0</v>
      </c>
      <c r="BJ161">
        <v>0</v>
      </c>
      <c r="BK161">
        <v>0</v>
      </c>
      <c r="BL161">
        <v>0</v>
      </c>
      <c r="BM161">
        <v>4</v>
      </c>
      <c r="BN161">
        <v>0.2</v>
      </c>
      <c r="BO161">
        <v>0</v>
      </c>
      <c r="BP161">
        <v>0</v>
      </c>
      <c r="BR161">
        <v>1</v>
      </c>
      <c r="BS161">
        <v>3</v>
      </c>
      <c r="BX161">
        <v>0</v>
      </c>
      <c r="BY161">
        <v>0</v>
      </c>
      <c r="BZ161">
        <v>0</v>
      </c>
      <c r="CA161">
        <v>11.37</v>
      </c>
      <c r="CC161">
        <v>1</v>
      </c>
      <c r="CD161" s="56">
        <v>42593</v>
      </c>
      <c r="CE161" s="56">
        <v>42612</v>
      </c>
      <c r="CF161" s="56">
        <v>42612</v>
      </c>
      <c r="CG161" s="56">
        <v>42640</v>
      </c>
      <c r="CH161" s="56"/>
      <c r="CI161" s="56"/>
      <c r="CJ161">
        <v>0</v>
      </c>
      <c r="CK161">
        <v>0</v>
      </c>
      <c r="CL161">
        <v>0</v>
      </c>
      <c r="CM161">
        <v>0</v>
      </c>
      <c r="CN161">
        <v>0</v>
      </c>
      <c r="CO161">
        <v>0.71</v>
      </c>
      <c r="CP161">
        <v>0</v>
      </c>
      <c r="CQ161" t="s">
        <v>1378</v>
      </c>
      <c r="CR161" t="s">
        <v>1377</v>
      </c>
      <c r="CS161" t="s">
        <v>1451</v>
      </c>
      <c r="CT161" t="s">
        <v>1724</v>
      </c>
      <c r="CU161" t="s">
        <v>1742</v>
      </c>
      <c r="CV161" t="s">
        <v>1980</v>
      </c>
      <c r="DB161" t="s">
        <v>1978</v>
      </c>
      <c r="DE161" t="s">
        <v>1724</v>
      </c>
    </row>
    <row r="162" spans="1:109" x14ac:dyDescent="0.25">
      <c r="A162" t="s">
        <v>1378</v>
      </c>
      <c r="B162">
        <v>1</v>
      </c>
      <c r="C162" s="56">
        <v>42640</v>
      </c>
      <c r="D162" t="s">
        <v>1449</v>
      </c>
      <c r="E162" t="s">
        <v>1444</v>
      </c>
      <c r="G162" t="s">
        <v>1144</v>
      </c>
      <c r="H162" t="s">
        <v>1144</v>
      </c>
      <c r="I162" t="s">
        <v>1144</v>
      </c>
      <c r="J162" t="s">
        <v>1144</v>
      </c>
      <c r="K162" t="s">
        <v>1144</v>
      </c>
      <c r="L162">
        <v>467.45</v>
      </c>
      <c r="M162">
        <v>2</v>
      </c>
      <c r="N162">
        <v>0</v>
      </c>
      <c r="O162" s="56"/>
      <c r="P162" s="56"/>
      <c r="Q162">
        <v>13718</v>
      </c>
      <c r="R162">
        <v>9</v>
      </c>
      <c r="S162">
        <v>4</v>
      </c>
      <c r="T162">
        <v>2</v>
      </c>
      <c r="U162">
        <v>2</v>
      </c>
      <c r="V162">
        <v>1</v>
      </c>
      <c r="W162" t="s">
        <v>2379</v>
      </c>
      <c r="X162" t="s">
        <v>2386</v>
      </c>
      <c r="AA162">
        <v>0.2</v>
      </c>
      <c r="AB162">
        <v>2</v>
      </c>
      <c r="AC162">
        <v>3.75</v>
      </c>
      <c r="AD162">
        <v>2.5</v>
      </c>
      <c r="AE162">
        <v>0</v>
      </c>
      <c r="AF162">
        <v>0</v>
      </c>
      <c r="AG162">
        <v>0</v>
      </c>
      <c r="AJ162" s="56"/>
      <c r="AK162" s="56"/>
      <c r="AL162" s="56">
        <v>42656</v>
      </c>
      <c r="AM162">
        <v>3</v>
      </c>
      <c r="AP162" t="s">
        <v>1450</v>
      </c>
      <c r="AS162" t="s">
        <v>1152</v>
      </c>
      <c r="AT162">
        <v>1</v>
      </c>
      <c r="AV162">
        <v>3</v>
      </c>
      <c r="AW162">
        <v>2</v>
      </c>
      <c r="AX162">
        <v>1</v>
      </c>
      <c r="AY162" t="s">
        <v>1145</v>
      </c>
      <c r="AZ162" t="s">
        <v>1145</v>
      </c>
      <c r="BA162">
        <v>3</v>
      </c>
      <c r="BD162">
        <v>1000000000</v>
      </c>
      <c r="BE162">
        <v>2</v>
      </c>
      <c r="BF162">
        <v>0.33</v>
      </c>
      <c r="BG162">
        <v>0</v>
      </c>
      <c r="BH162">
        <v>0</v>
      </c>
      <c r="BI162">
        <v>0</v>
      </c>
      <c r="BJ162">
        <v>0</v>
      </c>
      <c r="BK162">
        <v>0</v>
      </c>
      <c r="BL162">
        <v>0</v>
      </c>
      <c r="BM162">
        <v>2</v>
      </c>
      <c r="BN162">
        <v>0.33</v>
      </c>
      <c r="BO162">
        <v>0</v>
      </c>
      <c r="BP162">
        <v>0</v>
      </c>
      <c r="BR162">
        <v>1</v>
      </c>
      <c r="BS162">
        <v>2</v>
      </c>
      <c r="BX162">
        <v>0</v>
      </c>
      <c r="BY162">
        <v>0</v>
      </c>
      <c r="BZ162">
        <v>0</v>
      </c>
      <c r="CA162">
        <v>-11.95</v>
      </c>
      <c r="CC162">
        <v>1</v>
      </c>
      <c r="CD162" s="56">
        <v>42593</v>
      </c>
      <c r="CE162" s="56">
        <v>42612</v>
      </c>
      <c r="CF162" s="56">
        <v>42612</v>
      </c>
      <c r="CG162" s="56">
        <v>42640</v>
      </c>
      <c r="CH162" s="56"/>
      <c r="CI162" s="56"/>
      <c r="CJ162">
        <v>0.2</v>
      </c>
      <c r="CK162">
        <v>1</v>
      </c>
      <c r="CL162">
        <v>0</v>
      </c>
      <c r="CM162">
        <v>0.11</v>
      </c>
      <c r="CN162">
        <v>0.61</v>
      </c>
      <c r="CO162">
        <v>0</v>
      </c>
      <c r="CP162">
        <v>0</v>
      </c>
      <c r="CQ162" t="s">
        <v>1378</v>
      </c>
      <c r="CR162" t="s">
        <v>1377</v>
      </c>
      <c r="CS162" t="s">
        <v>1451</v>
      </c>
      <c r="CT162" t="s">
        <v>1724</v>
      </c>
      <c r="CU162" t="s">
        <v>1742</v>
      </c>
      <c r="CV162" t="s">
        <v>2323</v>
      </c>
      <c r="DB162" t="s">
        <v>2324</v>
      </c>
      <c r="DE162" t="s">
        <v>1724</v>
      </c>
    </row>
    <row r="163" spans="1:109" x14ac:dyDescent="0.25">
      <c r="A163" t="s">
        <v>1378</v>
      </c>
      <c r="B163">
        <v>1</v>
      </c>
      <c r="C163" s="56">
        <v>42640</v>
      </c>
      <c r="D163" t="s">
        <v>1449</v>
      </c>
      <c r="E163" t="s">
        <v>2023</v>
      </c>
      <c r="G163" t="s">
        <v>1144</v>
      </c>
      <c r="H163" t="s">
        <v>1144</v>
      </c>
      <c r="I163" t="s">
        <v>1144</v>
      </c>
      <c r="J163" t="s">
        <v>1144</v>
      </c>
      <c r="K163" t="s">
        <v>1144</v>
      </c>
      <c r="L163">
        <v>183.99</v>
      </c>
      <c r="M163">
        <v>2</v>
      </c>
      <c r="N163">
        <v>0</v>
      </c>
      <c r="O163" s="56"/>
      <c r="P163" s="56"/>
      <c r="Q163">
        <v>13718</v>
      </c>
      <c r="R163">
        <v>9</v>
      </c>
      <c r="S163">
        <v>4</v>
      </c>
      <c r="T163">
        <v>2</v>
      </c>
      <c r="U163">
        <v>2</v>
      </c>
      <c r="V163">
        <v>1</v>
      </c>
      <c r="W163" t="s">
        <v>1376</v>
      </c>
      <c r="X163" t="s">
        <v>2385</v>
      </c>
      <c r="AA163">
        <v>0</v>
      </c>
      <c r="AB163">
        <v>0</v>
      </c>
      <c r="AC163">
        <v>0</v>
      </c>
      <c r="AD163">
        <v>0</v>
      </c>
      <c r="AE163">
        <v>0</v>
      </c>
      <c r="AF163">
        <v>0</v>
      </c>
      <c r="AG163">
        <v>0</v>
      </c>
      <c r="AJ163" s="56"/>
      <c r="AK163" s="56"/>
      <c r="AL163" s="56">
        <v>42322</v>
      </c>
      <c r="AM163">
        <v>1</v>
      </c>
      <c r="AP163" t="s">
        <v>1450</v>
      </c>
      <c r="AS163" t="s">
        <v>1152</v>
      </c>
      <c r="AT163">
        <v>1</v>
      </c>
      <c r="AV163">
        <v>1</v>
      </c>
      <c r="AW163">
        <v>1</v>
      </c>
      <c r="AX163">
        <v>0.5</v>
      </c>
      <c r="AY163" t="s">
        <v>1145</v>
      </c>
      <c r="AZ163" t="s">
        <v>1145</v>
      </c>
      <c r="BA163">
        <v>2</v>
      </c>
      <c r="BD163">
        <v>1000000000</v>
      </c>
      <c r="BE163">
        <v>1</v>
      </c>
      <c r="BF163">
        <v>0</v>
      </c>
      <c r="BG163">
        <v>0</v>
      </c>
      <c r="BH163">
        <v>0</v>
      </c>
      <c r="BI163">
        <v>0</v>
      </c>
      <c r="BJ163">
        <v>0</v>
      </c>
      <c r="BK163">
        <v>0</v>
      </c>
      <c r="BL163">
        <v>0</v>
      </c>
      <c r="BM163">
        <v>1</v>
      </c>
      <c r="BN163">
        <v>0</v>
      </c>
      <c r="BO163">
        <v>0</v>
      </c>
      <c r="BP163">
        <v>0</v>
      </c>
      <c r="BR163">
        <v>0</v>
      </c>
      <c r="BS163">
        <v>1</v>
      </c>
      <c r="BX163">
        <v>0</v>
      </c>
      <c r="BY163">
        <v>0</v>
      </c>
      <c r="BZ163">
        <v>0</v>
      </c>
      <c r="CA163">
        <v>-11.87</v>
      </c>
      <c r="CC163">
        <v>1</v>
      </c>
      <c r="CD163" s="56">
        <v>42619</v>
      </c>
      <c r="CE163" s="56">
        <v>42619</v>
      </c>
      <c r="CF163" s="56">
        <v>42619</v>
      </c>
      <c r="CG163" s="56">
        <v>42647</v>
      </c>
      <c r="CH163" s="56"/>
      <c r="CI163" s="56"/>
      <c r="CJ163">
        <v>0</v>
      </c>
      <c r="CK163">
        <v>0</v>
      </c>
      <c r="CL163">
        <v>0</v>
      </c>
      <c r="CM163">
        <v>0</v>
      </c>
      <c r="CN163">
        <v>0.65</v>
      </c>
      <c r="CO163">
        <v>0</v>
      </c>
      <c r="CP163">
        <v>0</v>
      </c>
      <c r="CQ163" t="s">
        <v>1378</v>
      </c>
      <c r="CR163" t="s">
        <v>1377</v>
      </c>
      <c r="CS163" t="s">
        <v>1451</v>
      </c>
      <c r="CT163" t="s">
        <v>1724</v>
      </c>
      <c r="CU163" t="s">
        <v>1742</v>
      </c>
      <c r="CV163" t="s">
        <v>2024</v>
      </c>
      <c r="DB163" t="s">
        <v>2014</v>
      </c>
      <c r="DE163" t="s">
        <v>1724</v>
      </c>
    </row>
    <row r="164" spans="1:109" x14ac:dyDescent="0.25">
      <c r="A164" t="s">
        <v>1378</v>
      </c>
      <c r="B164">
        <v>1</v>
      </c>
      <c r="C164" s="56">
        <v>42640</v>
      </c>
      <c r="D164" t="s">
        <v>1449</v>
      </c>
      <c r="E164" t="s">
        <v>2076</v>
      </c>
      <c r="G164" t="s">
        <v>1144</v>
      </c>
      <c r="H164" t="s">
        <v>1144</v>
      </c>
      <c r="I164" t="s">
        <v>1144</v>
      </c>
      <c r="J164" t="s">
        <v>1144</v>
      </c>
      <c r="K164" t="s">
        <v>1144</v>
      </c>
      <c r="L164">
        <v>116.88</v>
      </c>
      <c r="M164">
        <v>293.95</v>
      </c>
      <c r="N164">
        <v>0</v>
      </c>
      <c r="O164" s="56"/>
      <c r="P164" s="56"/>
      <c r="Q164">
        <v>13718</v>
      </c>
      <c r="R164">
        <v>9</v>
      </c>
      <c r="S164">
        <v>4</v>
      </c>
      <c r="T164">
        <v>2</v>
      </c>
      <c r="U164">
        <v>2</v>
      </c>
      <c r="V164">
        <v>1</v>
      </c>
      <c r="W164" t="s">
        <v>2379</v>
      </c>
      <c r="X164" t="s">
        <v>2386</v>
      </c>
      <c r="AA164">
        <v>0</v>
      </c>
      <c r="AB164">
        <v>0</v>
      </c>
      <c r="AC164">
        <v>0</v>
      </c>
      <c r="AD164">
        <v>0</v>
      </c>
      <c r="AE164">
        <v>0</v>
      </c>
      <c r="AF164">
        <v>0</v>
      </c>
      <c r="AG164">
        <v>0</v>
      </c>
      <c r="AJ164" s="56"/>
      <c r="AK164" s="56">
        <v>42369</v>
      </c>
      <c r="AL164" s="56"/>
      <c r="AM164">
        <v>2</v>
      </c>
      <c r="AP164" t="s">
        <v>1450</v>
      </c>
      <c r="AS164" t="s">
        <v>1152</v>
      </c>
      <c r="AT164">
        <v>1</v>
      </c>
      <c r="AV164">
        <v>2</v>
      </c>
      <c r="AW164">
        <v>2</v>
      </c>
      <c r="AX164">
        <v>1</v>
      </c>
      <c r="AY164" t="s">
        <v>1145</v>
      </c>
      <c r="AZ164" t="s">
        <v>1145</v>
      </c>
      <c r="BA164">
        <v>2</v>
      </c>
      <c r="BD164">
        <v>1000000000</v>
      </c>
      <c r="BE164">
        <v>2</v>
      </c>
      <c r="BF164">
        <v>0</v>
      </c>
      <c r="BG164">
        <v>0</v>
      </c>
      <c r="BH164">
        <v>0</v>
      </c>
      <c r="BI164">
        <v>0</v>
      </c>
      <c r="BJ164">
        <v>0</v>
      </c>
      <c r="BK164">
        <v>0</v>
      </c>
      <c r="BL164">
        <v>0</v>
      </c>
      <c r="BM164">
        <v>2</v>
      </c>
      <c r="BN164">
        <v>0</v>
      </c>
      <c r="BO164">
        <v>0</v>
      </c>
      <c r="BP164">
        <v>0</v>
      </c>
      <c r="BR164">
        <v>0</v>
      </c>
      <c r="BS164">
        <v>1</v>
      </c>
      <c r="BX164">
        <v>0</v>
      </c>
      <c r="BY164">
        <v>0</v>
      </c>
      <c r="BZ164">
        <v>0</v>
      </c>
      <c r="CA164">
        <v>18.18</v>
      </c>
      <c r="CC164">
        <v>1</v>
      </c>
      <c r="CD164" s="56">
        <v>42593</v>
      </c>
      <c r="CE164" s="56">
        <v>42612</v>
      </c>
      <c r="CF164" s="56">
        <v>42612</v>
      </c>
      <c r="CG164" s="56">
        <v>42640</v>
      </c>
      <c r="CH164" s="56"/>
      <c r="CI164" s="56"/>
      <c r="CJ164">
        <v>0</v>
      </c>
      <c r="CK164">
        <v>0</v>
      </c>
      <c r="CL164">
        <v>0</v>
      </c>
      <c r="CM164">
        <v>0</v>
      </c>
      <c r="CN164">
        <v>0.71</v>
      </c>
      <c r="CO164">
        <v>0</v>
      </c>
      <c r="CP164">
        <v>0</v>
      </c>
      <c r="CQ164" t="s">
        <v>1378</v>
      </c>
      <c r="CR164" t="s">
        <v>1377</v>
      </c>
      <c r="CS164" t="s">
        <v>1451</v>
      </c>
      <c r="CT164" t="s">
        <v>1724</v>
      </c>
      <c r="CU164" t="s">
        <v>1742</v>
      </c>
      <c r="CV164" t="s">
        <v>2077</v>
      </c>
      <c r="DB164" t="s">
        <v>2059</v>
      </c>
      <c r="DE164" t="s">
        <v>1724</v>
      </c>
    </row>
    <row r="165" spans="1:109" x14ac:dyDescent="0.25">
      <c r="A165" t="s">
        <v>1378</v>
      </c>
      <c r="B165">
        <v>1</v>
      </c>
      <c r="C165" s="56">
        <v>42640</v>
      </c>
      <c r="D165" t="s">
        <v>1449</v>
      </c>
      <c r="E165" t="s">
        <v>1725</v>
      </c>
      <c r="G165" t="s">
        <v>1144</v>
      </c>
      <c r="H165" t="s">
        <v>1144</v>
      </c>
      <c r="I165" t="s">
        <v>1144</v>
      </c>
      <c r="J165" t="s">
        <v>1144</v>
      </c>
      <c r="K165" t="s">
        <v>1144</v>
      </c>
      <c r="L165">
        <v>116.33</v>
      </c>
      <c r="M165">
        <v>361.16</v>
      </c>
      <c r="N165">
        <v>0</v>
      </c>
      <c r="O165" s="56"/>
      <c r="P165" s="56"/>
      <c r="Q165">
        <v>13718</v>
      </c>
      <c r="R165">
        <v>9</v>
      </c>
      <c r="S165">
        <v>4</v>
      </c>
      <c r="T165">
        <v>2</v>
      </c>
      <c r="U165">
        <v>2</v>
      </c>
      <c r="V165">
        <v>1</v>
      </c>
      <c r="W165" t="s">
        <v>1376</v>
      </c>
      <c r="X165" t="s">
        <v>2385</v>
      </c>
      <c r="AA165">
        <v>0</v>
      </c>
      <c r="AB165">
        <v>0</v>
      </c>
      <c r="AC165">
        <v>0</v>
      </c>
      <c r="AD165">
        <v>0</v>
      </c>
      <c r="AE165">
        <v>0</v>
      </c>
      <c r="AF165">
        <v>0</v>
      </c>
      <c r="AG165">
        <v>0</v>
      </c>
      <c r="AJ165" s="56">
        <v>42666</v>
      </c>
      <c r="AK165" s="56">
        <v>42369</v>
      </c>
      <c r="AL165" s="56"/>
      <c r="AM165">
        <v>7</v>
      </c>
      <c r="AP165" t="s">
        <v>1450</v>
      </c>
      <c r="AS165" t="s">
        <v>1152</v>
      </c>
      <c r="AT165">
        <v>1</v>
      </c>
      <c r="AV165">
        <v>5</v>
      </c>
      <c r="AW165">
        <v>3</v>
      </c>
      <c r="AX165">
        <v>2</v>
      </c>
      <c r="AY165" t="s">
        <v>1148</v>
      </c>
      <c r="AZ165" t="s">
        <v>1148</v>
      </c>
      <c r="BA165">
        <v>7</v>
      </c>
      <c r="BD165">
        <v>1000000000</v>
      </c>
      <c r="BE165">
        <v>4</v>
      </c>
      <c r="BF165">
        <v>0.2</v>
      </c>
      <c r="BG165">
        <v>0</v>
      </c>
      <c r="BH165">
        <v>0</v>
      </c>
      <c r="BI165">
        <v>0</v>
      </c>
      <c r="BJ165">
        <v>0</v>
      </c>
      <c r="BK165">
        <v>0</v>
      </c>
      <c r="BL165">
        <v>0</v>
      </c>
      <c r="BM165">
        <v>4</v>
      </c>
      <c r="BN165">
        <v>0.2</v>
      </c>
      <c r="BO165">
        <v>0</v>
      </c>
      <c r="BP165">
        <v>0</v>
      </c>
      <c r="BR165">
        <v>1</v>
      </c>
      <c r="BS165">
        <v>3</v>
      </c>
      <c r="BX165">
        <v>0</v>
      </c>
      <c r="BY165">
        <v>0</v>
      </c>
      <c r="BZ165">
        <v>0</v>
      </c>
      <c r="CA165">
        <v>25.26</v>
      </c>
      <c r="CC165">
        <v>1</v>
      </c>
      <c r="CD165" s="56">
        <v>42619</v>
      </c>
      <c r="CE165" s="56">
        <v>42619</v>
      </c>
      <c r="CF165" s="56">
        <v>42619</v>
      </c>
      <c r="CG165" s="56">
        <v>42647</v>
      </c>
      <c r="CH165" s="56"/>
      <c r="CI165" s="56"/>
      <c r="CJ165">
        <v>0</v>
      </c>
      <c r="CK165">
        <v>0</v>
      </c>
      <c r="CL165">
        <v>0</v>
      </c>
      <c r="CM165">
        <v>0</v>
      </c>
      <c r="CN165">
        <v>0</v>
      </c>
      <c r="CO165">
        <v>0.65</v>
      </c>
      <c r="CP165">
        <v>0</v>
      </c>
      <c r="CQ165" t="s">
        <v>1378</v>
      </c>
      <c r="CR165" t="s">
        <v>1377</v>
      </c>
      <c r="CS165" t="s">
        <v>1451</v>
      </c>
      <c r="CT165" t="s">
        <v>1724</v>
      </c>
      <c r="CU165" t="s">
        <v>1742</v>
      </c>
      <c r="CV165" t="s">
        <v>1769</v>
      </c>
      <c r="DB165" t="s">
        <v>1762</v>
      </c>
      <c r="DE165" t="s">
        <v>1724</v>
      </c>
    </row>
    <row r="166" spans="1:109" x14ac:dyDescent="0.25">
      <c r="A166" t="s">
        <v>1378</v>
      </c>
      <c r="B166">
        <v>1</v>
      </c>
      <c r="C166" s="56">
        <v>42640</v>
      </c>
      <c r="D166" t="s">
        <v>1449</v>
      </c>
      <c r="E166" t="s">
        <v>2132</v>
      </c>
      <c r="G166" t="s">
        <v>1144</v>
      </c>
      <c r="H166" t="s">
        <v>1144</v>
      </c>
      <c r="I166" t="s">
        <v>1144</v>
      </c>
      <c r="J166" t="s">
        <v>1144</v>
      </c>
      <c r="K166" t="s">
        <v>1144</v>
      </c>
      <c r="L166">
        <v>343.15</v>
      </c>
      <c r="M166">
        <v>2</v>
      </c>
      <c r="N166">
        <v>0</v>
      </c>
      <c r="O166" s="56"/>
      <c r="P166" s="56"/>
      <c r="Q166">
        <v>13718</v>
      </c>
      <c r="R166">
        <v>9</v>
      </c>
      <c r="S166">
        <v>4</v>
      </c>
      <c r="T166">
        <v>2</v>
      </c>
      <c r="U166">
        <v>2</v>
      </c>
      <c r="V166">
        <v>1</v>
      </c>
      <c r="X166" t="s">
        <v>2385</v>
      </c>
      <c r="AA166">
        <v>0</v>
      </c>
      <c r="AB166">
        <v>0</v>
      </c>
      <c r="AC166">
        <v>0</v>
      </c>
      <c r="AD166">
        <v>0</v>
      </c>
      <c r="AE166">
        <v>0</v>
      </c>
      <c r="AF166">
        <v>0</v>
      </c>
      <c r="AG166">
        <v>0</v>
      </c>
      <c r="AJ166" s="56"/>
      <c r="AK166" s="56">
        <v>42369</v>
      </c>
      <c r="AL166" s="56">
        <v>42322</v>
      </c>
      <c r="AM166">
        <v>1</v>
      </c>
      <c r="AP166" t="s">
        <v>1450</v>
      </c>
      <c r="AS166" t="s">
        <v>1152</v>
      </c>
      <c r="AT166">
        <v>1</v>
      </c>
      <c r="AV166">
        <v>1</v>
      </c>
      <c r="AW166">
        <v>1</v>
      </c>
      <c r="AX166">
        <v>0.5</v>
      </c>
      <c r="AY166" t="s">
        <v>1147</v>
      </c>
      <c r="AZ166" t="s">
        <v>1147</v>
      </c>
      <c r="BA166">
        <v>2</v>
      </c>
      <c r="BD166">
        <v>1000000000</v>
      </c>
      <c r="BE166">
        <v>2</v>
      </c>
      <c r="BF166">
        <v>-1</v>
      </c>
      <c r="BG166">
        <v>0</v>
      </c>
      <c r="BH166">
        <v>0</v>
      </c>
      <c r="BI166">
        <v>0</v>
      </c>
      <c r="BJ166">
        <v>0</v>
      </c>
      <c r="BK166">
        <v>0</v>
      </c>
      <c r="BL166">
        <v>0</v>
      </c>
      <c r="BM166">
        <v>2</v>
      </c>
      <c r="BN166">
        <v>-1</v>
      </c>
      <c r="BO166">
        <v>0</v>
      </c>
      <c r="BP166">
        <v>0</v>
      </c>
      <c r="BR166">
        <v>0</v>
      </c>
      <c r="BS166">
        <v>1</v>
      </c>
      <c r="BX166">
        <v>0</v>
      </c>
      <c r="BY166">
        <v>343.15</v>
      </c>
      <c r="BZ166">
        <v>0</v>
      </c>
      <c r="CA166">
        <v>-11.93</v>
      </c>
      <c r="CC166">
        <v>1</v>
      </c>
      <c r="CD166" s="56">
        <v>42619</v>
      </c>
      <c r="CE166" s="56">
        <v>42619</v>
      </c>
      <c r="CF166" s="56">
        <v>42619</v>
      </c>
      <c r="CG166" s="56">
        <v>42647</v>
      </c>
      <c r="CH166" s="56"/>
      <c r="CI166" s="56"/>
      <c r="CJ166">
        <v>0</v>
      </c>
      <c r="CK166">
        <v>0</v>
      </c>
      <c r="CL166">
        <v>0</v>
      </c>
      <c r="CM166">
        <v>0</v>
      </c>
      <c r="CN166">
        <v>0</v>
      </c>
      <c r="CO166">
        <v>0</v>
      </c>
      <c r="CP166">
        <v>0.65</v>
      </c>
      <c r="CQ166" t="s">
        <v>1378</v>
      </c>
      <c r="CR166" t="s">
        <v>1377</v>
      </c>
      <c r="CS166" t="s">
        <v>1451</v>
      </c>
      <c r="CT166" t="s">
        <v>1724</v>
      </c>
      <c r="CU166" t="s">
        <v>1742</v>
      </c>
      <c r="CV166" t="s">
        <v>2133</v>
      </c>
      <c r="DB166" t="s">
        <v>2134</v>
      </c>
      <c r="DE166" t="s">
        <v>1724</v>
      </c>
    </row>
    <row r="167" spans="1:109" x14ac:dyDescent="0.25">
      <c r="A167" t="s">
        <v>1378</v>
      </c>
      <c r="B167">
        <v>1</v>
      </c>
      <c r="C167" s="56">
        <v>42640</v>
      </c>
      <c r="D167" t="s">
        <v>1449</v>
      </c>
      <c r="E167" t="s">
        <v>1386</v>
      </c>
      <c r="G167" t="s">
        <v>1144</v>
      </c>
      <c r="H167" t="s">
        <v>1144</v>
      </c>
      <c r="I167" t="s">
        <v>1144</v>
      </c>
      <c r="J167" t="s">
        <v>1144</v>
      </c>
      <c r="K167" t="s">
        <v>1144</v>
      </c>
      <c r="L167">
        <v>756.38</v>
      </c>
      <c r="M167">
        <v>1637.27</v>
      </c>
      <c r="N167">
        <v>0</v>
      </c>
      <c r="O167" s="56"/>
      <c r="P167" s="56"/>
      <c r="Q167">
        <v>13718</v>
      </c>
      <c r="R167">
        <v>9</v>
      </c>
      <c r="S167">
        <v>4</v>
      </c>
      <c r="T167">
        <v>2</v>
      </c>
      <c r="U167">
        <v>2</v>
      </c>
      <c r="V167">
        <v>1</v>
      </c>
      <c r="W167" t="s">
        <v>1376</v>
      </c>
      <c r="X167" t="s">
        <v>2385</v>
      </c>
      <c r="AA167">
        <v>0.04</v>
      </c>
      <c r="AB167">
        <v>1</v>
      </c>
      <c r="AC167">
        <v>18.75</v>
      </c>
      <c r="AD167">
        <v>18.75</v>
      </c>
      <c r="AE167">
        <v>0</v>
      </c>
      <c r="AF167">
        <v>0</v>
      </c>
      <c r="AG167">
        <v>0</v>
      </c>
      <c r="AJ167" s="56">
        <v>42666</v>
      </c>
      <c r="AK167" s="56"/>
      <c r="AL167" s="56"/>
      <c r="AM167">
        <v>5</v>
      </c>
      <c r="AP167" t="s">
        <v>1450</v>
      </c>
      <c r="AS167" t="s">
        <v>1152</v>
      </c>
      <c r="AT167">
        <v>1</v>
      </c>
      <c r="AV167">
        <v>3</v>
      </c>
      <c r="AW167">
        <v>2</v>
      </c>
      <c r="AX167">
        <v>1</v>
      </c>
      <c r="AY167" t="s">
        <v>1148</v>
      </c>
      <c r="AZ167" t="s">
        <v>1148</v>
      </c>
      <c r="BA167">
        <v>5</v>
      </c>
      <c r="BD167">
        <v>1000000000</v>
      </c>
      <c r="BE167">
        <v>3</v>
      </c>
      <c r="BF167">
        <v>0</v>
      </c>
      <c r="BG167">
        <v>0</v>
      </c>
      <c r="BH167">
        <v>0</v>
      </c>
      <c r="BI167">
        <v>0</v>
      </c>
      <c r="BJ167">
        <v>0</v>
      </c>
      <c r="BK167">
        <v>0</v>
      </c>
      <c r="BL167">
        <v>0</v>
      </c>
      <c r="BM167">
        <v>3</v>
      </c>
      <c r="BN167">
        <v>0</v>
      </c>
      <c r="BO167">
        <v>0</v>
      </c>
      <c r="BP167">
        <v>0</v>
      </c>
      <c r="BR167">
        <v>0</v>
      </c>
      <c r="BS167">
        <v>2</v>
      </c>
      <c r="BX167">
        <v>0</v>
      </c>
      <c r="BY167">
        <v>0</v>
      </c>
      <c r="BZ167">
        <v>0</v>
      </c>
      <c r="CA167">
        <v>13.98</v>
      </c>
      <c r="CC167">
        <v>1</v>
      </c>
      <c r="CD167" s="56">
        <v>42619</v>
      </c>
      <c r="CE167" s="56">
        <v>42619</v>
      </c>
      <c r="CF167" s="56">
        <v>42619</v>
      </c>
      <c r="CG167" s="56">
        <v>42647</v>
      </c>
      <c r="CH167" s="56"/>
      <c r="CI167" s="56"/>
      <c r="CJ167">
        <v>0</v>
      </c>
      <c r="CK167">
        <v>0</v>
      </c>
      <c r="CL167">
        <v>0</v>
      </c>
      <c r="CM167">
        <v>0</v>
      </c>
      <c r="CN167">
        <v>0</v>
      </c>
      <c r="CO167">
        <v>0.65</v>
      </c>
      <c r="CP167">
        <v>0</v>
      </c>
      <c r="CQ167" t="s">
        <v>1378</v>
      </c>
      <c r="CR167" t="s">
        <v>1377</v>
      </c>
      <c r="CS167" t="s">
        <v>1451</v>
      </c>
      <c r="CT167" t="s">
        <v>1724</v>
      </c>
      <c r="CU167" t="s">
        <v>1742</v>
      </c>
      <c r="CV167" t="s">
        <v>1821</v>
      </c>
      <c r="DB167" t="s">
        <v>1783</v>
      </c>
      <c r="DE167" t="s">
        <v>1724</v>
      </c>
    </row>
    <row r="168" spans="1:109" x14ac:dyDescent="0.25">
      <c r="A168" t="s">
        <v>1378</v>
      </c>
      <c r="B168">
        <v>1</v>
      </c>
      <c r="C168" s="56">
        <v>42640</v>
      </c>
      <c r="D168" t="s">
        <v>1449</v>
      </c>
      <c r="E168" t="s">
        <v>2172</v>
      </c>
      <c r="G168" t="s">
        <v>1144</v>
      </c>
      <c r="H168" t="s">
        <v>1144</v>
      </c>
      <c r="I168" t="s">
        <v>1144</v>
      </c>
      <c r="J168" t="s">
        <v>1144</v>
      </c>
      <c r="K168" t="s">
        <v>1144</v>
      </c>
      <c r="L168">
        <v>287.72000000000003</v>
      </c>
      <c r="M168">
        <v>2</v>
      </c>
      <c r="N168">
        <v>0</v>
      </c>
      <c r="O168" s="56"/>
      <c r="P168" s="56"/>
      <c r="Q168">
        <v>13718</v>
      </c>
      <c r="R168">
        <v>9</v>
      </c>
      <c r="S168">
        <v>4</v>
      </c>
      <c r="T168">
        <v>2</v>
      </c>
      <c r="U168">
        <v>2</v>
      </c>
      <c r="V168">
        <v>1</v>
      </c>
      <c r="X168" t="s">
        <v>2386</v>
      </c>
      <c r="AA168">
        <v>0</v>
      </c>
      <c r="AB168">
        <v>0</v>
      </c>
      <c r="AC168">
        <v>0</v>
      </c>
      <c r="AD168">
        <v>0</v>
      </c>
      <c r="AE168">
        <v>0</v>
      </c>
      <c r="AF168">
        <v>0</v>
      </c>
      <c r="AG168">
        <v>0</v>
      </c>
      <c r="AJ168" s="56"/>
      <c r="AK168" s="56"/>
      <c r="AL168" s="56"/>
      <c r="AM168">
        <v>1</v>
      </c>
      <c r="AP168" t="s">
        <v>1450</v>
      </c>
      <c r="AS168" t="s">
        <v>1152</v>
      </c>
      <c r="AT168">
        <v>1</v>
      </c>
      <c r="AV168">
        <v>1</v>
      </c>
      <c r="AW168">
        <v>1</v>
      </c>
      <c r="AX168">
        <v>0.5</v>
      </c>
      <c r="AY168" t="s">
        <v>1147</v>
      </c>
      <c r="AZ168" t="s">
        <v>1147</v>
      </c>
      <c r="BA168">
        <v>1</v>
      </c>
      <c r="BD168">
        <v>1000000000</v>
      </c>
      <c r="BE168">
        <v>2</v>
      </c>
      <c r="BF168">
        <v>-1</v>
      </c>
      <c r="BG168">
        <v>0</v>
      </c>
      <c r="BH168">
        <v>0</v>
      </c>
      <c r="BI168">
        <v>0</v>
      </c>
      <c r="BJ168">
        <v>0</v>
      </c>
      <c r="BK168">
        <v>0</v>
      </c>
      <c r="BL168">
        <v>0</v>
      </c>
      <c r="BM168">
        <v>2</v>
      </c>
      <c r="BN168">
        <v>-1</v>
      </c>
      <c r="BO168">
        <v>0</v>
      </c>
      <c r="BP168">
        <v>0</v>
      </c>
      <c r="BR168">
        <v>0</v>
      </c>
      <c r="BS168">
        <v>1</v>
      </c>
      <c r="BX168">
        <v>0</v>
      </c>
      <c r="BY168">
        <v>287.72000000000003</v>
      </c>
      <c r="BZ168">
        <v>0</v>
      </c>
      <c r="CA168">
        <v>-11.92</v>
      </c>
      <c r="CC168">
        <v>1</v>
      </c>
      <c r="CD168" s="56">
        <v>42593</v>
      </c>
      <c r="CE168" s="56">
        <v>42612</v>
      </c>
      <c r="CF168" s="56">
        <v>42612</v>
      </c>
      <c r="CG168" s="56">
        <v>42640</v>
      </c>
      <c r="CH168" s="56"/>
      <c r="CI168" s="56"/>
      <c r="CJ168">
        <v>0</v>
      </c>
      <c r="CK168">
        <v>0</v>
      </c>
      <c r="CL168">
        <v>0</v>
      </c>
      <c r="CM168">
        <v>0</v>
      </c>
      <c r="CN168">
        <v>0</v>
      </c>
      <c r="CO168">
        <v>0</v>
      </c>
      <c r="CP168">
        <v>0.71</v>
      </c>
      <c r="CQ168" t="s">
        <v>1378</v>
      </c>
      <c r="CR168" t="s">
        <v>1377</v>
      </c>
      <c r="CS168" t="s">
        <v>1451</v>
      </c>
      <c r="CT168" t="s">
        <v>1724</v>
      </c>
      <c r="CU168" t="s">
        <v>1742</v>
      </c>
      <c r="CV168" t="s">
        <v>2159</v>
      </c>
      <c r="DB168" t="s">
        <v>2161</v>
      </c>
      <c r="DE168" t="s">
        <v>1724</v>
      </c>
    </row>
    <row r="169" spans="1:109" x14ac:dyDescent="0.25">
      <c r="A169" t="s">
        <v>1378</v>
      </c>
      <c r="B169">
        <v>1</v>
      </c>
      <c r="C169" s="56">
        <v>42640</v>
      </c>
      <c r="D169" t="s">
        <v>1449</v>
      </c>
      <c r="E169" t="s">
        <v>1462</v>
      </c>
      <c r="G169" t="s">
        <v>1144</v>
      </c>
      <c r="H169" t="s">
        <v>1144</v>
      </c>
      <c r="I169" t="s">
        <v>1144</v>
      </c>
      <c r="J169" t="s">
        <v>1144</v>
      </c>
      <c r="K169" t="s">
        <v>1144</v>
      </c>
      <c r="L169">
        <v>58.14</v>
      </c>
      <c r="M169">
        <v>63.08</v>
      </c>
      <c r="N169">
        <v>0</v>
      </c>
      <c r="O169" s="56"/>
      <c r="P169" s="56"/>
      <c r="Q169">
        <v>13718</v>
      </c>
      <c r="R169">
        <v>9</v>
      </c>
      <c r="S169">
        <v>4</v>
      </c>
      <c r="T169">
        <v>2</v>
      </c>
      <c r="U169">
        <v>2</v>
      </c>
      <c r="V169">
        <v>1</v>
      </c>
      <c r="X169" t="s">
        <v>2385</v>
      </c>
      <c r="AA169">
        <v>0.12</v>
      </c>
      <c r="AB169">
        <v>1</v>
      </c>
      <c r="AC169">
        <v>12.5</v>
      </c>
      <c r="AD169">
        <v>25</v>
      </c>
      <c r="AE169">
        <v>0</v>
      </c>
      <c r="AF169">
        <v>0</v>
      </c>
      <c r="AG169">
        <v>0</v>
      </c>
      <c r="AJ169" s="56">
        <v>42666</v>
      </c>
      <c r="AK169" s="56"/>
      <c r="AL169" s="56"/>
      <c r="AP169" t="s">
        <v>1450</v>
      </c>
      <c r="AS169" t="s">
        <v>1152</v>
      </c>
      <c r="AT169">
        <v>1</v>
      </c>
      <c r="AV169">
        <v>6</v>
      </c>
      <c r="AW169">
        <v>4</v>
      </c>
      <c r="AX169">
        <v>2</v>
      </c>
      <c r="AY169" t="s">
        <v>1147</v>
      </c>
      <c r="AZ169" t="s">
        <v>1147</v>
      </c>
      <c r="BA169">
        <v>2</v>
      </c>
      <c r="BD169">
        <v>1000000000</v>
      </c>
      <c r="BE169">
        <v>12</v>
      </c>
      <c r="BF169">
        <v>-1</v>
      </c>
      <c r="BG169">
        <v>0</v>
      </c>
      <c r="BH169">
        <v>0</v>
      </c>
      <c r="BI169">
        <v>0</v>
      </c>
      <c r="BJ169">
        <v>0</v>
      </c>
      <c r="BK169">
        <v>0</v>
      </c>
      <c r="BL169">
        <v>0</v>
      </c>
      <c r="BM169">
        <v>12</v>
      </c>
      <c r="BN169">
        <v>-1</v>
      </c>
      <c r="BO169">
        <v>0</v>
      </c>
      <c r="BP169">
        <v>0</v>
      </c>
      <c r="BR169">
        <v>0</v>
      </c>
      <c r="BS169">
        <v>3</v>
      </c>
      <c r="BX169">
        <v>0</v>
      </c>
      <c r="BY169">
        <v>348.84</v>
      </c>
      <c r="BZ169">
        <v>0</v>
      </c>
      <c r="CA169">
        <v>1.02</v>
      </c>
      <c r="CC169">
        <v>1</v>
      </c>
      <c r="CD169" s="56">
        <v>42619</v>
      </c>
      <c r="CE169" s="56">
        <v>42619</v>
      </c>
      <c r="CF169" s="56">
        <v>42619</v>
      </c>
      <c r="CG169" s="56">
        <v>42647</v>
      </c>
      <c r="CH169" s="56"/>
      <c r="CI169" s="56"/>
      <c r="CJ169">
        <v>0</v>
      </c>
      <c r="CK169">
        <v>0</v>
      </c>
      <c r="CL169">
        <v>0</v>
      </c>
      <c r="CM169">
        <v>0</v>
      </c>
      <c r="CN169">
        <v>0</v>
      </c>
      <c r="CO169">
        <v>0</v>
      </c>
      <c r="CP169">
        <v>0.65</v>
      </c>
      <c r="CQ169" t="s">
        <v>1378</v>
      </c>
      <c r="CR169" t="s">
        <v>1377</v>
      </c>
      <c r="CS169" t="s">
        <v>1451</v>
      </c>
      <c r="CT169" t="s">
        <v>1724</v>
      </c>
      <c r="CU169" t="s">
        <v>1742</v>
      </c>
      <c r="CV169" t="s">
        <v>1867</v>
      </c>
      <c r="DB169" t="s">
        <v>1863</v>
      </c>
      <c r="DE169" t="s">
        <v>1724</v>
      </c>
    </row>
    <row r="170" spans="1:109" x14ac:dyDescent="0.25">
      <c r="A170" t="s">
        <v>1378</v>
      </c>
      <c r="B170">
        <v>1</v>
      </c>
      <c r="C170" s="56">
        <v>42640</v>
      </c>
      <c r="D170" t="s">
        <v>1449</v>
      </c>
      <c r="E170" t="s">
        <v>2218</v>
      </c>
      <c r="G170" t="s">
        <v>1144</v>
      </c>
      <c r="H170" t="s">
        <v>1144</v>
      </c>
      <c r="I170" t="s">
        <v>1144</v>
      </c>
      <c r="J170" t="s">
        <v>1144</v>
      </c>
      <c r="K170" t="s">
        <v>1144</v>
      </c>
      <c r="L170">
        <v>265.02999999999997</v>
      </c>
      <c r="M170">
        <v>2</v>
      </c>
      <c r="N170">
        <v>0</v>
      </c>
      <c r="O170" s="56"/>
      <c r="P170" s="56"/>
      <c r="Q170">
        <v>13718</v>
      </c>
      <c r="R170">
        <v>9</v>
      </c>
      <c r="S170">
        <v>4</v>
      </c>
      <c r="T170">
        <v>2</v>
      </c>
      <c r="U170">
        <v>2</v>
      </c>
      <c r="V170">
        <v>1</v>
      </c>
      <c r="X170" t="s">
        <v>2385</v>
      </c>
      <c r="AA170">
        <v>0.08</v>
      </c>
      <c r="AB170">
        <v>1</v>
      </c>
      <c r="AC170">
        <v>3.13</v>
      </c>
      <c r="AD170">
        <v>6.25</v>
      </c>
      <c r="AE170">
        <v>0</v>
      </c>
      <c r="AF170">
        <v>0</v>
      </c>
      <c r="AG170">
        <v>0</v>
      </c>
      <c r="AJ170" s="56"/>
      <c r="AK170" s="56"/>
      <c r="AL170" s="56"/>
      <c r="AM170">
        <v>1</v>
      </c>
      <c r="AP170" t="s">
        <v>1450</v>
      </c>
      <c r="AS170" t="s">
        <v>1152</v>
      </c>
      <c r="AT170">
        <v>1</v>
      </c>
      <c r="AV170">
        <v>1</v>
      </c>
      <c r="AW170">
        <v>1</v>
      </c>
      <c r="AX170">
        <v>0.5</v>
      </c>
      <c r="AY170" t="s">
        <v>1147</v>
      </c>
      <c r="AZ170" t="s">
        <v>1147</v>
      </c>
      <c r="BA170">
        <v>2</v>
      </c>
      <c r="BD170">
        <v>1000000000</v>
      </c>
      <c r="BE170">
        <v>2</v>
      </c>
      <c r="BF170">
        <v>-1</v>
      </c>
      <c r="BG170">
        <v>0</v>
      </c>
      <c r="BH170">
        <v>0</v>
      </c>
      <c r="BI170">
        <v>0</v>
      </c>
      <c r="BJ170">
        <v>0</v>
      </c>
      <c r="BK170">
        <v>0</v>
      </c>
      <c r="BL170">
        <v>0</v>
      </c>
      <c r="BM170">
        <v>2</v>
      </c>
      <c r="BN170">
        <v>-1</v>
      </c>
      <c r="BO170">
        <v>0</v>
      </c>
      <c r="BP170">
        <v>0</v>
      </c>
      <c r="BR170">
        <v>0</v>
      </c>
      <c r="BS170">
        <v>1</v>
      </c>
      <c r="BX170">
        <v>0</v>
      </c>
      <c r="BY170">
        <v>265.02999999999997</v>
      </c>
      <c r="BZ170">
        <v>0</v>
      </c>
      <c r="CA170">
        <v>-11.91</v>
      </c>
      <c r="CC170">
        <v>1</v>
      </c>
      <c r="CD170" s="56">
        <v>42619</v>
      </c>
      <c r="CE170" s="56">
        <v>42619</v>
      </c>
      <c r="CF170" s="56">
        <v>42619</v>
      </c>
      <c r="CG170" s="56">
        <v>42647</v>
      </c>
      <c r="CH170" s="56"/>
      <c r="CI170" s="56"/>
      <c r="CJ170">
        <v>0</v>
      </c>
      <c r="CK170">
        <v>0</v>
      </c>
      <c r="CL170">
        <v>0</v>
      </c>
      <c r="CM170">
        <v>0</v>
      </c>
      <c r="CN170">
        <v>0</v>
      </c>
      <c r="CO170">
        <v>0</v>
      </c>
      <c r="CP170">
        <v>0.65</v>
      </c>
      <c r="CQ170" t="s">
        <v>1378</v>
      </c>
      <c r="CR170" t="s">
        <v>1377</v>
      </c>
      <c r="CS170" t="s">
        <v>1451</v>
      </c>
      <c r="CT170" t="s">
        <v>1724</v>
      </c>
      <c r="CU170" t="s">
        <v>1742</v>
      </c>
      <c r="CV170" t="s">
        <v>2219</v>
      </c>
      <c r="DB170" t="s">
        <v>2161</v>
      </c>
      <c r="DE170" t="s">
        <v>1724</v>
      </c>
    </row>
    <row r="171" spans="1:109" x14ac:dyDescent="0.25">
      <c r="A171" t="s">
        <v>1378</v>
      </c>
      <c r="B171">
        <v>1</v>
      </c>
      <c r="C171" s="56">
        <v>42640</v>
      </c>
      <c r="D171" t="s">
        <v>1449</v>
      </c>
      <c r="E171" t="s">
        <v>1448</v>
      </c>
      <c r="G171" t="s">
        <v>1144</v>
      </c>
      <c r="H171" t="s">
        <v>1144</v>
      </c>
      <c r="I171" t="s">
        <v>1144</v>
      </c>
      <c r="J171" t="s">
        <v>1144</v>
      </c>
      <c r="K171" t="s">
        <v>1144</v>
      </c>
      <c r="L171">
        <v>266.27</v>
      </c>
      <c r="M171">
        <v>878.08</v>
      </c>
      <c r="N171">
        <v>0</v>
      </c>
      <c r="O171" s="56"/>
      <c r="P171" s="56"/>
      <c r="Q171">
        <v>13718</v>
      </c>
      <c r="R171">
        <v>9</v>
      </c>
      <c r="S171">
        <v>4</v>
      </c>
      <c r="T171">
        <v>2</v>
      </c>
      <c r="U171">
        <v>2</v>
      </c>
      <c r="V171">
        <v>1</v>
      </c>
      <c r="W171" t="s">
        <v>1376</v>
      </c>
      <c r="X171" t="s">
        <v>2385</v>
      </c>
      <c r="AA171">
        <v>0.08</v>
      </c>
      <c r="AB171">
        <v>1</v>
      </c>
      <c r="AC171">
        <v>6.25</v>
      </c>
      <c r="AD171">
        <v>6.25</v>
      </c>
      <c r="AE171">
        <v>0</v>
      </c>
      <c r="AF171">
        <v>0</v>
      </c>
      <c r="AG171">
        <v>0</v>
      </c>
      <c r="AJ171" s="56"/>
      <c r="AK171" s="56"/>
      <c r="AL171" s="56">
        <v>42322</v>
      </c>
      <c r="AM171">
        <v>5</v>
      </c>
      <c r="AP171" t="s">
        <v>1450</v>
      </c>
      <c r="AS171" t="s">
        <v>1152</v>
      </c>
      <c r="AT171">
        <v>1</v>
      </c>
      <c r="AV171">
        <v>2</v>
      </c>
      <c r="AW171">
        <v>2</v>
      </c>
      <c r="AX171">
        <v>1</v>
      </c>
      <c r="AY171" t="s">
        <v>1145</v>
      </c>
      <c r="AZ171" t="s">
        <v>1145</v>
      </c>
      <c r="BA171">
        <v>5</v>
      </c>
      <c r="BD171">
        <v>1000000000</v>
      </c>
      <c r="BE171">
        <v>2</v>
      </c>
      <c r="BF171">
        <v>0</v>
      </c>
      <c r="BG171">
        <v>0</v>
      </c>
      <c r="BH171">
        <v>0</v>
      </c>
      <c r="BI171">
        <v>0</v>
      </c>
      <c r="BJ171">
        <v>0</v>
      </c>
      <c r="BK171">
        <v>0</v>
      </c>
      <c r="BL171">
        <v>0</v>
      </c>
      <c r="BM171">
        <v>2</v>
      </c>
      <c r="BN171">
        <v>0</v>
      </c>
      <c r="BO171">
        <v>0</v>
      </c>
      <c r="BP171">
        <v>0</v>
      </c>
      <c r="BR171">
        <v>0</v>
      </c>
      <c r="BS171">
        <v>1</v>
      </c>
      <c r="BX171">
        <v>0</v>
      </c>
      <c r="BY171">
        <v>0</v>
      </c>
      <c r="BZ171">
        <v>0</v>
      </c>
      <c r="CA171">
        <v>27.57</v>
      </c>
      <c r="CC171">
        <v>1</v>
      </c>
      <c r="CD171" s="56">
        <v>42619</v>
      </c>
      <c r="CE171" s="56">
        <v>42619</v>
      </c>
      <c r="CF171" s="56">
        <v>42619</v>
      </c>
      <c r="CG171" s="56">
        <v>42647</v>
      </c>
      <c r="CH171" s="56"/>
      <c r="CI171" s="56"/>
      <c r="CJ171">
        <v>0</v>
      </c>
      <c r="CK171">
        <v>0</v>
      </c>
      <c r="CL171">
        <v>0</v>
      </c>
      <c r="CM171">
        <v>0</v>
      </c>
      <c r="CN171">
        <v>0.65</v>
      </c>
      <c r="CO171">
        <v>0</v>
      </c>
      <c r="CP171">
        <v>0</v>
      </c>
      <c r="CQ171" t="s">
        <v>1378</v>
      </c>
      <c r="CR171" t="s">
        <v>1377</v>
      </c>
      <c r="CS171" t="s">
        <v>1451</v>
      </c>
      <c r="CT171" t="s">
        <v>1724</v>
      </c>
      <c r="CU171" t="s">
        <v>1742</v>
      </c>
      <c r="CV171" t="s">
        <v>2362</v>
      </c>
      <c r="DB171" t="s">
        <v>2351</v>
      </c>
      <c r="DE171" t="s">
        <v>1724</v>
      </c>
    </row>
    <row r="172" spans="1:109" x14ac:dyDescent="0.25">
      <c r="A172" t="s">
        <v>1378</v>
      </c>
      <c r="B172">
        <v>1</v>
      </c>
      <c r="C172" s="56">
        <v>42640</v>
      </c>
      <c r="D172" t="s">
        <v>1449</v>
      </c>
      <c r="E172" t="s">
        <v>1435</v>
      </c>
      <c r="G172" t="s">
        <v>1144</v>
      </c>
      <c r="H172" t="s">
        <v>1144</v>
      </c>
      <c r="I172" t="s">
        <v>1144</v>
      </c>
      <c r="J172" t="s">
        <v>1144</v>
      </c>
      <c r="K172" t="s">
        <v>1144</v>
      </c>
      <c r="L172">
        <v>113.87</v>
      </c>
      <c r="M172">
        <v>293.95</v>
      </c>
      <c r="N172">
        <v>0</v>
      </c>
      <c r="O172" s="56"/>
      <c r="P172" s="56"/>
      <c r="Q172">
        <v>13718</v>
      </c>
      <c r="R172">
        <v>9</v>
      </c>
      <c r="S172">
        <v>4</v>
      </c>
      <c r="T172">
        <v>2</v>
      </c>
      <c r="U172">
        <v>2</v>
      </c>
      <c r="V172">
        <v>1</v>
      </c>
      <c r="X172" t="s">
        <v>2385</v>
      </c>
      <c r="AA172">
        <v>0.04</v>
      </c>
      <c r="AB172">
        <v>1</v>
      </c>
      <c r="AC172">
        <v>18.75</v>
      </c>
      <c r="AD172">
        <v>37.5</v>
      </c>
      <c r="AE172">
        <v>0</v>
      </c>
      <c r="AF172">
        <v>0</v>
      </c>
      <c r="AG172">
        <v>0</v>
      </c>
      <c r="AJ172" s="56">
        <v>42666</v>
      </c>
      <c r="AK172" s="56">
        <v>42369</v>
      </c>
      <c r="AL172" s="56"/>
      <c r="AM172">
        <v>4</v>
      </c>
      <c r="AP172" t="s">
        <v>1450</v>
      </c>
      <c r="AS172" t="s">
        <v>1152</v>
      </c>
      <c r="AT172">
        <v>1</v>
      </c>
      <c r="AV172">
        <v>3</v>
      </c>
      <c r="AW172">
        <v>2</v>
      </c>
      <c r="AX172">
        <v>1</v>
      </c>
      <c r="AY172" t="s">
        <v>1147</v>
      </c>
      <c r="AZ172" t="s">
        <v>1147</v>
      </c>
      <c r="BA172">
        <v>4</v>
      </c>
      <c r="BD172">
        <v>1000000000</v>
      </c>
      <c r="BE172">
        <v>6</v>
      </c>
      <c r="BF172">
        <v>-1</v>
      </c>
      <c r="BG172">
        <v>0</v>
      </c>
      <c r="BH172">
        <v>0</v>
      </c>
      <c r="BI172">
        <v>0</v>
      </c>
      <c r="BJ172">
        <v>0</v>
      </c>
      <c r="BK172">
        <v>0</v>
      </c>
      <c r="BL172">
        <v>0</v>
      </c>
      <c r="BM172">
        <v>6</v>
      </c>
      <c r="BN172">
        <v>-1</v>
      </c>
      <c r="BO172">
        <v>0</v>
      </c>
      <c r="BP172">
        <v>0</v>
      </c>
      <c r="BR172">
        <v>0</v>
      </c>
      <c r="BS172">
        <v>2</v>
      </c>
      <c r="BX172">
        <v>0</v>
      </c>
      <c r="BY172">
        <v>341.61</v>
      </c>
      <c r="BZ172">
        <v>0</v>
      </c>
      <c r="CA172">
        <v>18.98</v>
      </c>
      <c r="CC172">
        <v>1</v>
      </c>
      <c r="CD172" s="56">
        <v>42619</v>
      </c>
      <c r="CE172" s="56">
        <v>42619</v>
      </c>
      <c r="CF172" s="56">
        <v>42619</v>
      </c>
      <c r="CG172" s="56">
        <v>42647</v>
      </c>
      <c r="CH172" s="56"/>
      <c r="CI172" s="56"/>
      <c r="CJ172">
        <v>0</v>
      </c>
      <c r="CK172">
        <v>0</v>
      </c>
      <c r="CL172">
        <v>0</v>
      </c>
      <c r="CM172">
        <v>0</v>
      </c>
      <c r="CN172">
        <v>0</v>
      </c>
      <c r="CO172">
        <v>0</v>
      </c>
      <c r="CP172">
        <v>0.65</v>
      </c>
      <c r="CQ172" t="s">
        <v>1378</v>
      </c>
      <c r="CR172" t="s">
        <v>1377</v>
      </c>
      <c r="CS172" t="s">
        <v>1451</v>
      </c>
      <c r="CT172" t="s">
        <v>1724</v>
      </c>
      <c r="CU172" t="s">
        <v>1742</v>
      </c>
      <c r="CV172" t="s">
        <v>2063</v>
      </c>
      <c r="DB172" t="s">
        <v>2059</v>
      </c>
      <c r="DE172" t="s">
        <v>1724</v>
      </c>
    </row>
    <row r="173" spans="1:109" x14ac:dyDescent="0.25">
      <c r="A173" t="s">
        <v>1378</v>
      </c>
      <c r="B173">
        <v>1</v>
      </c>
      <c r="C173" s="56">
        <v>42640</v>
      </c>
      <c r="D173" t="s">
        <v>1449</v>
      </c>
      <c r="E173" t="s">
        <v>1753</v>
      </c>
      <c r="G173" t="s">
        <v>1144</v>
      </c>
      <c r="H173" t="s">
        <v>1144</v>
      </c>
      <c r="I173" t="s">
        <v>1144</v>
      </c>
      <c r="J173" t="s">
        <v>1144</v>
      </c>
      <c r="K173" t="s">
        <v>1144</v>
      </c>
      <c r="L173">
        <v>8.2799999999999994</v>
      </c>
      <c r="M173">
        <v>2</v>
      </c>
      <c r="N173">
        <v>0</v>
      </c>
      <c r="O173" s="56"/>
      <c r="P173" s="56"/>
      <c r="Q173">
        <v>13718</v>
      </c>
      <c r="R173">
        <v>9</v>
      </c>
      <c r="S173">
        <v>4</v>
      </c>
      <c r="T173">
        <v>2</v>
      </c>
      <c r="U173">
        <v>2</v>
      </c>
      <c r="V173">
        <v>1</v>
      </c>
      <c r="X173" t="s">
        <v>2386</v>
      </c>
      <c r="AA173">
        <v>0</v>
      </c>
      <c r="AB173">
        <v>0</v>
      </c>
      <c r="AC173">
        <v>0</v>
      </c>
      <c r="AD173">
        <v>0</v>
      </c>
      <c r="AE173">
        <v>0</v>
      </c>
      <c r="AF173">
        <v>0</v>
      </c>
      <c r="AG173">
        <v>0</v>
      </c>
      <c r="AJ173" s="56"/>
      <c r="AK173" s="56"/>
      <c r="AL173" s="56"/>
      <c r="AP173" t="s">
        <v>1450</v>
      </c>
      <c r="AS173" t="s">
        <v>1152</v>
      </c>
      <c r="AT173">
        <v>1</v>
      </c>
      <c r="AV173">
        <v>0</v>
      </c>
      <c r="AW173">
        <v>0</v>
      </c>
      <c r="AX173">
        <v>0</v>
      </c>
      <c r="AY173" t="s">
        <v>1375</v>
      </c>
      <c r="AZ173" t="s">
        <v>1375</v>
      </c>
      <c r="BA173">
        <v>0</v>
      </c>
      <c r="BD173">
        <v>1000000000</v>
      </c>
      <c r="BE173">
        <v>10</v>
      </c>
      <c r="BF173">
        <v>0</v>
      </c>
      <c r="BG173">
        <v>0</v>
      </c>
      <c r="BH173">
        <v>0</v>
      </c>
      <c r="BI173">
        <v>0</v>
      </c>
      <c r="BJ173">
        <v>0</v>
      </c>
      <c r="BK173">
        <v>0</v>
      </c>
      <c r="BL173">
        <v>0</v>
      </c>
      <c r="BM173">
        <v>10</v>
      </c>
      <c r="BN173">
        <v>0</v>
      </c>
      <c r="BO173">
        <v>0</v>
      </c>
      <c r="BP173">
        <v>0</v>
      </c>
      <c r="BR173">
        <v>0</v>
      </c>
      <c r="BS173">
        <v>0</v>
      </c>
      <c r="BX173">
        <v>0</v>
      </c>
      <c r="BY173">
        <v>0</v>
      </c>
      <c r="BZ173">
        <v>0</v>
      </c>
      <c r="CA173">
        <v>0</v>
      </c>
      <c r="CC173">
        <v>1</v>
      </c>
      <c r="CD173" s="56">
        <v>42593</v>
      </c>
      <c r="CE173" s="56">
        <v>42612</v>
      </c>
      <c r="CF173" s="56">
        <v>42612</v>
      </c>
      <c r="CG173" s="56">
        <v>42640</v>
      </c>
      <c r="CH173" s="56"/>
      <c r="CI173" s="56"/>
      <c r="CJ173">
        <v>0</v>
      </c>
      <c r="CK173">
        <v>0</v>
      </c>
      <c r="CL173">
        <v>0</v>
      </c>
      <c r="CM173">
        <v>0</v>
      </c>
      <c r="CN173">
        <v>0</v>
      </c>
      <c r="CO173">
        <v>0</v>
      </c>
      <c r="CP173">
        <v>0.71</v>
      </c>
      <c r="CQ173" t="s">
        <v>1378</v>
      </c>
      <c r="CR173" t="s">
        <v>1377</v>
      </c>
      <c r="CS173" t="s">
        <v>1451</v>
      </c>
      <c r="CT173" t="s">
        <v>1724</v>
      </c>
      <c r="CU173" t="s">
        <v>1742</v>
      </c>
      <c r="CV173" t="s">
        <v>1754</v>
      </c>
      <c r="DB173" t="s">
        <v>1750</v>
      </c>
      <c r="DE173" t="s">
        <v>1724</v>
      </c>
    </row>
    <row r="174" spans="1:109" x14ac:dyDescent="0.25">
      <c r="A174" t="s">
        <v>1378</v>
      </c>
      <c r="B174">
        <v>1</v>
      </c>
      <c r="C174" s="56">
        <v>42640</v>
      </c>
      <c r="D174" t="s">
        <v>1449</v>
      </c>
      <c r="E174" t="s">
        <v>2116</v>
      </c>
      <c r="G174" t="s">
        <v>1144</v>
      </c>
      <c r="H174" t="s">
        <v>1144</v>
      </c>
      <c r="I174" t="s">
        <v>1144</v>
      </c>
      <c r="J174" t="s">
        <v>1144</v>
      </c>
      <c r="K174" t="s">
        <v>1144</v>
      </c>
      <c r="L174">
        <v>1151.92</v>
      </c>
      <c r="M174">
        <v>2568.5100000000002</v>
      </c>
      <c r="N174">
        <v>0</v>
      </c>
      <c r="O174" s="56"/>
      <c r="P174" s="56"/>
      <c r="Q174">
        <v>13718</v>
      </c>
      <c r="R174">
        <v>9</v>
      </c>
      <c r="S174">
        <v>4</v>
      </c>
      <c r="T174">
        <v>2</v>
      </c>
      <c r="U174">
        <v>2</v>
      </c>
      <c r="V174">
        <v>1</v>
      </c>
      <c r="W174" t="s">
        <v>1376</v>
      </c>
      <c r="X174" t="s">
        <v>2385</v>
      </c>
      <c r="AA174">
        <v>0.08</v>
      </c>
      <c r="AB174">
        <v>1</v>
      </c>
      <c r="AC174">
        <v>9.3800000000000008</v>
      </c>
      <c r="AD174">
        <v>9.3800000000000008</v>
      </c>
      <c r="AE174">
        <v>0</v>
      </c>
      <c r="AF174">
        <v>0</v>
      </c>
      <c r="AG174">
        <v>0</v>
      </c>
      <c r="AJ174" s="56">
        <v>42666</v>
      </c>
      <c r="AK174" s="56">
        <v>42369</v>
      </c>
      <c r="AL174" s="56"/>
      <c r="AM174">
        <v>5</v>
      </c>
      <c r="AP174" t="s">
        <v>1450</v>
      </c>
      <c r="AS174" t="s">
        <v>1152</v>
      </c>
      <c r="AT174">
        <v>1</v>
      </c>
      <c r="AV174">
        <v>3</v>
      </c>
      <c r="AW174">
        <v>2</v>
      </c>
      <c r="AX174">
        <v>1</v>
      </c>
      <c r="AY174" t="s">
        <v>1148</v>
      </c>
      <c r="AZ174" t="s">
        <v>1148</v>
      </c>
      <c r="BA174">
        <v>5</v>
      </c>
      <c r="BD174">
        <v>1000000000</v>
      </c>
      <c r="BE174">
        <v>3</v>
      </c>
      <c r="BF174">
        <v>0</v>
      </c>
      <c r="BG174">
        <v>0</v>
      </c>
      <c r="BH174">
        <v>0</v>
      </c>
      <c r="BI174">
        <v>0</v>
      </c>
      <c r="BJ174">
        <v>0</v>
      </c>
      <c r="BK174">
        <v>0</v>
      </c>
      <c r="BL174">
        <v>0</v>
      </c>
      <c r="BM174">
        <v>3</v>
      </c>
      <c r="BN174">
        <v>0</v>
      </c>
      <c r="BO174">
        <v>0</v>
      </c>
      <c r="BP174">
        <v>0</v>
      </c>
      <c r="BR174">
        <v>0</v>
      </c>
      <c r="BS174">
        <v>2</v>
      </c>
      <c r="BX174">
        <v>0</v>
      </c>
      <c r="BY174">
        <v>0</v>
      </c>
      <c r="BZ174">
        <v>0</v>
      </c>
      <c r="CA174">
        <v>14.76</v>
      </c>
      <c r="CC174">
        <v>1</v>
      </c>
      <c r="CD174" s="56">
        <v>42619</v>
      </c>
      <c r="CE174" s="56">
        <v>42619</v>
      </c>
      <c r="CF174" s="56">
        <v>42619</v>
      </c>
      <c r="CG174" s="56">
        <v>42647</v>
      </c>
      <c r="CH174" s="56"/>
      <c r="CI174" s="56"/>
      <c r="CJ174">
        <v>0</v>
      </c>
      <c r="CK174">
        <v>0</v>
      </c>
      <c r="CL174">
        <v>0</v>
      </c>
      <c r="CM174">
        <v>0</v>
      </c>
      <c r="CN174">
        <v>0</v>
      </c>
      <c r="CO174">
        <v>0.65</v>
      </c>
      <c r="CP174">
        <v>0</v>
      </c>
      <c r="CQ174" t="s">
        <v>1378</v>
      </c>
      <c r="CR174" t="s">
        <v>1377</v>
      </c>
      <c r="CS174" t="s">
        <v>1451</v>
      </c>
      <c r="CT174" t="s">
        <v>1724</v>
      </c>
      <c r="CU174" t="s">
        <v>1742</v>
      </c>
      <c r="CV174" t="s">
        <v>2117</v>
      </c>
      <c r="DB174" t="s">
        <v>2111</v>
      </c>
      <c r="DE174" t="s">
        <v>1724</v>
      </c>
    </row>
    <row r="175" spans="1:109" x14ac:dyDescent="0.25">
      <c r="A175" t="s">
        <v>1378</v>
      </c>
      <c r="B175">
        <v>1</v>
      </c>
      <c r="C175" s="56">
        <v>42640</v>
      </c>
      <c r="D175" t="s">
        <v>1449</v>
      </c>
      <c r="E175" t="s">
        <v>1807</v>
      </c>
      <c r="G175" t="s">
        <v>1144</v>
      </c>
      <c r="H175" t="s">
        <v>1144</v>
      </c>
      <c r="I175" t="s">
        <v>1144</v>
      </c>
      <c r="J175" t="s">
        <v>1144</v>
      </c>
      <c r="K175" t="s">
        <v>1144</v>
      </c>
      <c r="L175">
        <v>874.51</v>
      </c>
      <c r="M175">
        <v>2032.14</v>
      </c>
      <c r="N175">
        <v>0</v>
      </c>
      <c r="O175" s="56"/>
      <c r="P175" s="56"/>
      <c r="Q175">
        <v>13718</v>
      </c>
      <c r="R175">
        <v>9</v>
      </c>
      <c r="S175">
        <v>4</v>
      </c>
      <c r="T175">
        <v>2</v>
      </c>
      <c r="U175">
        <v>2</v>
      </c>
      <c r="V175">
        <v>1</v>
      </c>
      <c r="X175" t="s">
        <v>2385</v>
      </c>
      <c r="AA175">
        <v>0</v>
      </c>
      <c r="AB175">
        <v>0</v>
      </c>
      <c r="AC175">
        <v>0</v>
      </c>
      <c r="AD175">
        <v>0</v>
      </c>
      <c r="AE175">
        <v>0</v>
      </c>
      <c r="AF175">
        <v>0</v>
      </c>
      <c r="AG175">
        <v>0</v>
      </c>
      <c r="AJ175" s="56"/>
      <c r="AK175" s="56"/>
      <c r="AL175" s="56">
        <v>42322</v>
      </c>
      <c r="AM175">
        <v>1</v>
      </c>
      <c r="AP175" t="s">
        <v>1450</v>
      </c>
      <c r="AS175" t="s">
        <v>1152</v>
      </c>
      <c r="AT175">
        <v>1</v>
      </c>
      <c r="AV175">
        <v>0</v>
      </c>
      <c r="AW175">
        <v>0</v>
      </c>
      <c r="AX175">
        <v>0</v>
      </c>
      <c r="AY175" t="s">
        <v>1375</v>
      </c>
      <c r="AZ175" t="s">
        <v>1375</v>
      </c>
      <c r="BA175">
        <v>2</v>
      </c>
      <c r="BD175">
        <v>1000000000</v>
      </c>
      <c r="BE175">
        <v>0</v>
      </c>
      <c r="BF175">
        <v>0</v>
      </c>
      <c r="BG175">
        <v>0</v>
      </c>
      <c r="BH175">
        <v>0</v>
      </c>
      <c r="BI175">
        <v>0</v>
      </c>
      <c r="BJ175">
        <v>0</v>
      </c>
      <c r="BK175">
        <v>0</v>
      </c>
      <c r="BL175">
        <v>0</v>
      </c>
      <c r="BM175">
        <v>0</v>
      </c>
      <c r="BN175">
        <v>0</v>
      </c>
      <c r="BO175">
        <v>0</v>
      </c>
      <c r="BP175">
        <v>0</v>
      </c>
      <c r="BR175">
        <v>0</v>
      </c>
      <c r="BS175">
        <v>0</v>
      </c>
      <c r="BX175">
        <v>0</v>
      </c>
      <c r="BY175">
        <v>0</v>
      </c>
      <c r="BZ175">
        <v>0</v>
      </c>
      <c r="CA175">
        <v>0</v>
      </c>
      <c r="CC175">
        <v>1</v>
      </c>
      <c r="CD175" s="56">
        <v>42619</v>
      </c>
      <c r="CE175" s="56">
        <v>42619</v>
      </c>
      <c r="CF175" s="56">
        <v>42619</v>
      </c>
      <c r="CG175" s="56">
        <v>42647</v>
      </c>
      <c r="CH175" s="56"/>
      <c r="CI175" s="56"/>
      <c r="CJ175">
        <v>1</v>
      </c>
      <c r="CK175">
        <v>0</v>
      </c>
      <c r="CL175">
        <v>0.65</v>
      </c>
      <c r="CM175">
        <v>0</v>
      </c>
      <c r="CN175">
        <v>0</v>
      </c>
      <c r="CO175">
        <v>0</v>
      </c>
      <c r="CP175">
        <v>0</v>
      </c>
      <c r="CQ175" t="s">
        <v>1378</v>
      </c>
      <c r="CR175" t="s">
        <v>1377</v>
      </c>
      <c r="CS175" t="s">
        <v>1451</v>
      </c>
      <c r="CT175" t="s">
        <v>1724</v>
      </c>
      <c r="CU175" t="s">
        <v>1742</v>
      </c>
      <c r="CV175" t="s">
        <v>1808</v>
      </c>
      <c r="DB175" t="s">
        <v>1794</v>
      </c>
      <c r="DE175" t="s">
        <v>1724</v>
      </c>
    </row>
    <row r="176" spans="1:109" x14ac:dyDescent="0.25">
      <c r="A176" t="s">
        <v>1378</v>
      </c>
      <c r="B176">
        <v>1</v>
      </c>
      <c r="C176" s="56">
        <v>42640</v>
      </c>
      <c r="D176" t="s">
        <v>1449</v>
      </c>
      <c r="E176" t="s">
        <v>2163</v>
      </c>
      <c r="G176" t="s">
        <v>1144</v>
      </c>
      <c r="H176" t="s">
        <v>1144</v>
      </c>
      <c r="I176" t="s">
        <v>1144</v>
      </c>
      <c r="J176" t="s">
        <v>1144</v>
      </c>
      <c r="K176" t="s">
        <v>1144</v>
      </c>
      <c r="L176">
        <v>289.61</v>
      </c>
      <c r="M176">
        <v>2</v>
      </c>
      <c r="N176">
        <v>0</v>
      </c>
      <c r="O176" s="56"/>
      <c r="P176" s="56"/>
      <c r="Q176">
        <v>13718</v>
      </c>
      <c r="R176">
        <v>9</v>
      </c>
      <c r="S176">
        <v>4</v>
      </c>
      <c r="T176">
        <v>2</v>
      </c>
      <c r="U176">
        <v>2</v>
      </c>
      <c r="V176">
        <v>1</v>
      </c>
      <c r="X176" t="s">
        <v>2385</v>
      </c>
      <c r="AA176">
        <v>0</v>
      </c>
      <c r="AB176">
        <v>0</v>
      </c>
      <c r="AC176">
        <v>0</v>
      </c>
      <c r="AD176">
        <v>0</v>
      </c>
      <c r="AE176">
        <v>0</v>
      </c>
      <c r="AF176">
        <v>0</v>
      </c>
      <c r="AG176">
        <v>0</v>
      </c>
      <c r="AJ176" s="56"/>
      <c r="AK176" s="56"/>
      <c r="AL176" s="56"/>
      <c r="AM176">
        <v>1</v>
      </c>
      <c r="AP176" t="s">
        <v>1450</v>
      </c>
      <c r="AS176" t="s">
        <v>1152</v>
      </c>
      <c r="AT176">
        <v>1</v>
      </c>
      <c r="AV176">
        <v>1</v>
      </c>
      <c r="AW176">
        <v>1</v>
      </c>
      <c r="AX176">
        <v>0.5</v>
      </c>
      <c r="AY176" t="s">
        <v>1147</v>
      </c>
      <c r="AZ176" t="s">
        <v>1147</v>
      </c>
      <c r="BA176">
        <v>2</v>
      </c>
      <c r="BD176">
        <v>1000000000</v>
      </c>
      <c r="BE176">
        <v>2</v>
      </c>
      <c r="BF176">
        <v>-1</v>
      </c>
      <c r="BG176">
        <v>0</v>
      </c>
      <c r="BH176">
        <v>0</v>
      </c>
      <c r="BI176">
        <v>0</v>
      </c>
      <c r="BJ176">
        <v>0</v>
      </c>
      <c r="BK176">
        <v>0</v>
      </c>
      <c r="BL176">
        <v>0</v>
      </c>
      <c r="BM176">
        <v>2</v>
      </c>
      <c r="BN176">
        <v>-1</v>
      </c>
      <c r="BO176">
        <v>0</v>
      </c>
      <c r="BP176">
        <v>0</v>
      </c>
      <c r="BR176">
        <v>0</v>
      </c>
      <c r="BS176">
        <v>1</v>
      </c>
      <c r="BX176">
        <v>0</v>
      </c>
      <c r="BY176">
        <v>289.61</v>
      </c>
      <c r="BZ176">
        <v>0</v>
      </c>
      <c r="CA176">
        <v>-11.92</v>
      </c>
      <c r="CC176">
        <v>1</v>
      </c>
      <c r="CD176" s="56">
        <v>42619</v>
      </c>
      <c r="CE176" s="56">
        <v>42619</v>
      </c>
      <c r="CF176" s="56">
        <v>42619</v>
      </c>
      <c r="CG176" s="56">
        <v>42647</v>
      </c>
      <c r="CH176" s="56"/>
      <c r="CI176" s="56"/>
      <c r="CJ176">
        <v>0</v>
      </c>
      <c r="CK176">
        <v>0</v>
      </c>
      <c r="CL176">
        <v>0</v>
      </c>
      <c r="CM176">
        <v>0</v>
      </c>
      <c r="CN176">
        <v>0</v>
      </c>
      <c r="CO176">
        <v>0</v>
      </c>
      <c r="CP176">
        <v>0.65</v>
      </c>
      <c r="CQ176" t="s">
        <v>1378</v>
      </c>
      <c r="CR176" t="s">
        <v>1377</v>
      </c>
      <c r="CS176" t="s">
        <v>1451</v>
      </c>
      <c r="CT176" t="s">
        <v>1724</v>
      </c>
      <c r="CU176" t="s">
        <v>1742</v>
      </c>
      <c r="CV176" t="s">
        <v>2159</v>
      </c>
      <c r="DB176" t="s">
        <v>2161</v>
      </c>
      <c r="DE176" t="s">
        <v>1724</v>
      </c>
    </row>
    <row r="177" spans="1:109" x14ac:dyDescent="0.25">
      <c r="A177" t="s">
        <v>1378</v>
      </c>
      <c r="B177">
        <v>1</v>
      </c>
      <c r="C177" s="56">
        <v>42640</v>
      </c>
      <c r="D177" t="s">
        <v>1449</v>
      </c>
      <c r="E177" t="s">
        <v>1732</v>
      </c>
      <c r="G177" t="s">
        <v>1144</v>
      </c>
      <c r="H177" t="s">
        <v>1144</v>
      </c>
      <c r="I177" t="s">
        <v>1144</v>
      </c>
      <c r="J177" t="s">
        <v>1144</v>
      </c>
      <c r="K177" t="s">
        <v>1144</v>
      </c>
      <c r="L177">
        <v>674.7</v>
      </c>
      <c r="M177">
        <v>1059.4100000000001</v>
      </c>
      <c r="N177">
        <v>0</v>
      </c>
      <c r="O177" s="56"/>
      <c r="P177" s="56"/>
      <c r="Q177">
        <v>13718</v>
      </c>
      <c r="R177">
        <v>9</v>
      </c>
      <c r="S177">
        <v>4</v>
      </c>
      <c r="T177">
        <v>2</v>
      </c>
      <c r="U177">
        <v>2</v>
      </c>
      <c r="V177">
        <v>1</v>
      </c>
      <c r="W177" t="s">
        <v>2379</v>
      </c>
      <c r="X177" t="s">
        <v>2386</v>
      </c>
      <c r="AA177">
        <v>0</v>
      </c>
      <c r="AB177">
        <v>0</v>
      </c>
      <c r="AC177">
        <v>0</v>
      </c>
      <c r="AD177">
        <v>0</v>
      </c>
      <c r="AE177">
        <v>0</v>
      </c>
      <c r="AF177">
        <v>0</v>
      </c>
      <c r="AG177">
        <v>0</v>
      </c>
      <c r="AJ177" s="56"/>
      <c r="AK177" s="56"/>
      <c r="AL177" s="56"/>
      <c r="AM177">
        <v>3</v>
      </c>
      <c r="AP177" t="s">
        <v>1450</v>
      </c>
      <c r="AS177" t="s">
        <v>1152</v>
      </c>
      <c r="AT177">
        <v>1</v>
      </c>
      <c r="AV177">
        <v>3</v>
      </c>
      <c r="AW177">
        <v>2</v>
      </c>
      <c r="AX177">
        <v>1</v>
      </c>
      <c r="AY177" t="s">
        <v>1145</v>
      </c>
      <c r="AZ177" t="s">
        <v>1145</v>
      </c>
      <c r="BA177">
        <v>3</v>
      </c>
      <c r="BD177">
        <v>1000000000</v>
      </c>
      <c r="BE177">
        <v>2</v>
      </c>
      <c r="BF177">
        <v>0.33</v>
      </c>
      <c r="BG177">
        <v>0</v>
      </c>
      <c r="BH177">
        <v>0</v>
      </c>
      <c r="BI177">
        <v>0</v>
      </c>
      <c r="BJ177">
        <v>0</v>
      </c>
      <c r="BK177">
        <v>0</v>
      </c>
      <c r="BL177">
        <v>0</v>
      </c>
      <c r="BM177">
        <v>2</v>
      </c>
      <c r="BN177">
        <v>0.33</v>
      </c>
      <c r="BO177">
        <v>0</v>
      </c>
      <c r="BP177">
        <v>0</v>
      </c>
      <c r="BR177">
        <v>1</v>
      </c>
      <c r="BS177">
        <v>2</v>
      </c>
      <c r="BX177">
        <v>0</v>
      </c>
      <c r="BY177">
        <v>0</v>
      </c>
      <c r="BZ177">
        <v>0</v>
      </c>
      <c r="CA177">
        <v>6.84</v>
      </c>
      <c r="CC177">
        <v>1</v>
      </c>
      <c r="CD177" s="56">
        <v>42593</v>
      </c>
      <c r="CE177" s="56">
        <v>42612</v>
      </c>
      <c r="CF177" s="56">
        <v>42612</v>
      </c>
      <c r="CG177" s="56">
        <v>42640</v>
      </c>
      <c r="CH177" s="56"/>
      <c r="CI177" s="56"/>
      <c r="CJ177">
        <v>0</v>
      </c>
      <c r="CK177">
        <v>0</v>
      </c>
      <c r="CL177">
        <v>0</v>
      </c>
      <c r="CM177">
        <v>0</v>
      </c>
      <c r="CN177">
        <v>0.71</v>
      </c>
      <c r="CO177">
        <v>0</v>
      </c>
      <c r="CP177">
        <v>0</v>
      </c>
      <c r="CQ177" t="s">
        <v>1378</v>
      </c>
      <c r="CR177" t="s">
        <v>1377</v>
      </c>
      <c r="CS177" t="s">
        <v>1451</v>
      </c>
      <c r="CT177" t="s">
        <v>1724</v>
      </c>
      <c r="CU177" t="s">
        <v>1742</v>
      </c>
      <c r="CV177" t="s">
        <v>1853</v>
      </c>
      <c r="DB177" t="s">
        <v>1847</v>
      </c>
      <c r="DE177" t="s">
        <v>1724</v>
      </c>
    </row>
    <row r="178" spans="1:109" x14ac:dyDescent="0.25">
      <c r="A178" t="s">
        <v>1378</v>
      </c>
      <c r="B178">
        <v>1</v>
      </c>
      <c r="C178" s="56">
        <v>42640</v>
      </c>
      <c r="D178" t="s">
        <v>1449</v>
      </c>
      <c r="E178" t="s">
        <v>2205</v>
      </c>
      <c r="G178" t="s">
        <v>1144</v>
      </c>
      <c r="H178" t="s">
        <v>1144</v>
      </c>
      <c r="I178" t="s">
        <v>1144</v>
      </c>
      <c r="J178" t="s">
        <v>1144</v>
      </c>
      <c r="K178" t="s">
        <v>1144</v>
      </c>
      <c r="L178">
        <v>447.47</v>
      </c>
      <c r="M178">
        <v>2</v>
      </c>
      <c r="N178">
        <v>0</v>
      </c>
      <c r="O178" s="56"/>
      <c r="P178" s="56"/>
      <c r="Q178">
        <v>13718</v>
      </c>
      <c r="R178">
        <v>9</v>
      </c>
      <c r="S178">
        <v>4</v>
      </c>
      <c r="T178">
        <v>2</v>
      </c>
      <c r="U178">
        <v>2</v>
      </c>
      <c r="V178">
        <v>1</v>
      </c>
      <c r="X178" t="s">
        <v>2386</v>
      </c>
      <c r="AA178">
        <v>0</v>
      </c>
      <c r="AB178">
        <v>0</v>
      </c>
      <c r="AC178">
        <v>0</v>
      </c>
      <c r="AD178">
        <v>0</v>
      </c>
      <c r="AE178">
        <v>0</v>
      </c>
      <c r="AF178">
        <v>0</v>
      </c>
      <c r="AG178">
        <v>0</v>
      </c>
      <c r="AJ178" s="56"/>
      <c r="AK178" s="56">
        <v>42369</v>
      </c>
      <c r="AL178" s="56"/>
      <c r="AM178">
        <v>1</v>
      </c>
      <c r="AP178" t="s">
        <v>1450</v>
      </c>
      <c r="AS178" t="s">
        <v>1152</v>
      </c>
      <c r="AT178">
        <v>1</v>
      </c>
      <c r="AV178">
        <v>1</v>
      </c>
      <c r="AW178">
        <v>1</v>
      </c>
      <c r="AX178">
        <v>0.5</v>
      </c>
      <c r="AY178" t="s">
        <v>1147</v>
      </c>
      <c r="AZ178" t="s">
        <v>1147</v>
      </c>
      <c r="BA178">
        <v>1</v>
      </c>
      <c r="BD178">
        <v>1000000000</v>
      </c>
      <c r="BE178">
        <v>2</v>
      </c>
      <c r="BF178">
        <v>-1</v>
      </c>
      <c r="BG178">
        <v>0</v>
      </c>
      <c r="BH178">
        <v>0</v>
      </c>
      <c r="BI178">
        <v>0</v>
      </c>
      <c r="BJ178">
        <v>0</v>
      </c>
      <c r="BK178">
        <v>0</v>
      </c>
      <c r="BL178">
        <v>0</v>
      </c>
      <c r="BM178">
        <v>2</v>
      </c>
      <c r="BN178">
        <v>-1</v>
      </c>
      <c r="BO178">
        <v>0</v>
      </c>
      <c r="BP178">
        <v>0</v>
      </c>
      <c r="BR178">
        <v>0</v>
      </c>
      <c r="BS178">
        <v>1</v>
      </c>
      <c r="BX178">
        <v>0</v>
      </c>
      <c r="BY178">
        <v>447.47</v>
      </c>
      <c r="BZ178">
        <v>0</v>
      </c>
      <c r="CA178">
        <v>-11.95</v>
      </c>
      <c r="CC178">
        <v>1</v>
      </c>
      <c r="CD178" s="56">
        <v>42593</v>
      </c>
      <c r="CE178" s="56">
        <v>42612</v>
      </c>
      <c r="CF178" s="56">
        <v>42612</v>
      </c>
      <c r="CG178" s="56">
        <v>42640</v>
      </c>
      <c r="CH178" s="56"/>
      <c r="CI178" s="56"/>
      <c r="CJ178">
        <v>0</v>
      </c>
      <c r="CK178">
        <v>0</v>
      </c>
      <c r="CL178">
        <v>0</v>
      </c>
      <c r="CM178">
        <v>0</v>
      </c>
      <c r="CN178">
        <v>0</v>
      </c>
      <c r="CO178">
        <v>0</v>
      </c>
      <c r="CP178">
        <v>0.71</v>
      </c>
      <c r="CQ178" t="s">
        <v>1378</v>
      </c>
      <c r="CR178" t="s">
        <v>1377</v>
      </c>
      <c r="CS178" t="s">
        <v>1451</v>
      </c>
      <c r="CT178" t="s">
        <v>1724</v>
      </c>
      <c r="CU178" t="s">
        <v>1742</v>
      </c>
      <c r="CV178" t="s">
        <v>2206</v>
      </c>
      <c r="DB178" t="s">
        <v>2161</v>
      </c>
      <c r="DE178" t="s">
        <v>1724</v>
      </c>
    </row>
    <row r="179" spans="1:109" x14ac:dyDescent="0.25">
      <c r="A179" t="s">
        <v>1378</v>
      </c>
      <c r="B179">
        <v>1</v>
      </c>
      <c r="C179" s="56">
        <v>42640</v>
      </c>
      <c r="D179" t="s">
        <v>1449</v>
      </c>
      <c r="E179" t="s">
        <v>1903</v>
      </c>
      <c r="G179" t="s">
        <v>1144</v>
      </c>
      <c r="H179" t="s">
        <v>1144</v>
      </c>
      <c r="I179" t="s">
        <v>1144</v>
      </c>
      <c r="J179" t="s">
        <v>1144</v>
      </c>
      <c r="K179" t="s">
        <v>1144</v>
      </c>
      <c r="L179">
        <v>0</v>
      </c>
      <c r="M179">
        <v>717.51</v>
      </c>
      <c r="N179">
        <v>0</v>
      </c>
      <c r="O179" s="56"/>
      <c r="P179" s="56"/>
      <c r="Q179">
        <v>13718</v>
      </c>
      <c r="R179">
        <v>9</v>
      </c>
      <c r="S179">
        <v>4</v>
      </c>
      <c r="T179">
        <v>2</v>
      </c>
      <c r="U179">
        <v>2</v>
      </c>
      <c r="V179">
        <v>1</v>
      </c>
      <c r="X179" t="s">
        <v>2386</v>
      </c>
      <c r="AA179">
        <v>0</v>
      </c>
      <c r="AB179">
        <v>0</v>
      </c>
      <c r="AC179">
        <v>0</v>
      </c>
      <c r="AD179">
        <v>0</v>
      </c>
      <c r="AE179">
        <v>0</v>
      </c>
      <c r="AF179">
        <v>0</v>
      </c>
      <c r="AG179">
        <v>0</v>
      </c>
      <c r="AJ179" s="56"/>
      <c r="AK179" s="56"/>
      <c r="AL179" s="56"/>
      <c r="AP179" t="s">
        <v>1450</v>
      </c>
      <c r="AS179" t="s">
        <v>1152</v>
      </c>
      <c r="AT179">
        <v>1</v>
      </c>
      <c r="AV179">
        <v>0</v>
      </c>
      <c r="AW179">
        <v>0</v>
      </c>
      <c r="AX179">
        <v>0</v>
      </c>
      <c r="AY179" t="s">
        <v>1375</v>
      </c>
      <c r="AZ179" t="s">
        <v>1375</v>
      </c>
      <c r="BA179">
        <v>0</v>
      </c>
      <c r="BD179">
        <v>1000000000</v>
      </c>
      <c r="BE179">
        <v>0</v>
      </c>
      <c r="BF179">
        <v>0</v>
      </c>
      <c r="BG179">
        <v>0</v>
      </c>
      <c r="BH179">
        <v>0</v>
      </c>
      <c r="BI179">
        <v>0</v>
      </c>
      <c r="BJ179">
        <v>0</v>
      </c>
      <c r="BK179">
        <v>0</v>
      </c>
      <c r="BL179">
        <v>0</v>
      </c>
      <c r="BM179">
        <v>0</v>
      </c>
      <c r="BN179">
        <v>0</v>
      </c>
      <c r="BO179">
        <v>0</v>
      </c>
      <c r="BP179">
        <v>0</v>
      </c>
      <c r="BR179">
        <v>0</v>
      </c>
      <c r="BS179">
        <v>0</v>
      </c>
      <c r="BX179">
        <v>0</v>
      </c>
      <c r="BY179">
        <v>0</v>
      </c>
      <c r="BZ179">
        <v>0</v>
      </c>
      <c r="CA179">
        <v>0</v>
      </c>
      <c r="CC179">
        <v>1</v>
      </c>
      <c r="CD179" s="56">
        <v>42593</v>
      </c>
      <c r="CE179" s="56">
        <v>42612</v>
      </c>
      <c r="CF179" s="56">
        <v>42612</v>
      </c>
      <c r="CG179" s="56">
        <v>42640</v>
      </c>
      <c r="CH179" s="56"/>
      <c r="CI179" s="56"/>
      <c r="CJ179">
        <v>1</v>
      </c>
      <c r="CK179">
        <v>0</v>
      </c>
      <c r="CL179">
        <v>0.71</v>
      </c>
      <c r="CM179">
        <v>0</v>
      </c>
      <c r="CN179">
        <v>0</v>
      </c>
      <c r="CO179">
        <v>0</v>
      </c>
      <c r="CP179">
        <v>0</v>
      </c>
      <c r="CQ179" t="s">
        <v>1378</v>
      </c>
      <c r="CR179" t="s">
        <v>1377</v>
      </c>
      <c r="CS179" t="s">
        <v>1451</v>
      </c>
      <c r="CT179" t="s">
        <v>1724</v>
      </c>
      <c r="CU179" t="s">
        <v>1742</v>
      </c>
      <c r="CV179" t="s">
        <v>1904</v>
      </c>
      <c r="DB179" t="s">
        <v>1888</v>
      </c>
      <c r="DE179" t="s">
        <v>1724</v>
      </c>
    </row>
    <row r="180" spans="1:109" x14ac:dyDescent="0.25">
      <c r="A180" t="s">
        <v>1378</v>
      </c>
      <c r="B180">
        <v>1</v>
      </c>
      <c r="C180" s="56">
        <v>42640</v>
      </c>
      <c r="D180" t="s">
        <v>1449</v>
      </c>
      <c r="E180" t="s">
        <v>2250</v>
      </c>
      <c r="G180" t="s">
        <v>1144</v>
      </c>
      <c r="H180" t="s">
        <v>1144</v>
      </c>
      <c r="I180" t="s">
        <v>1144</v>
      </c>
      <c r="J180" t="s">
        <v>1144</v>
      </c>
      <c r="K180" t="s">
        <v>1144</v>
      </c>
      <c r="L180">
        <v>429.31</v>
      </c>
      <c r="M180">
        <v>2</v>
      </c>
      <c r="N180">
        <v>0</v>
      </c>
      <c r="O180" s="56"/>
      <c r="P180" s="56"/>
      <c r="Q180">
        <v>13718</v>
      </c>
      <c r="R180">
        <v>9</v>
      </c>
      <c r="S180">
        <v>4</v>
      </c>
      <c r="T180">
        <v>2</v>
      </c>
      <c r="U180">
        <v>2</v>
      </c>
      <c r="V180">
        <v>1</v>
      </c>
      <c r="W180" t="s">
        <v>2379</v>
      </c>
      <c r="X180" t="s">
        <v>2386</v>
      </c>
      <c r="AA180">
        <v>0</v>
      </c>
      <c r="AB180">
        <v>0</v>
      </c>
      <c r="AC180">
        <v>0</v>
      </c>
      <c r="AD180">
        <v>0</v>
      </c>
      <c r="AE180">
        <v>0</v>
      </c>
      <c r="AF180">
        <v>0</v>
      </c>
      <c r="AG180">
        <v>0</v>
      </c>
      <c r="AJ180" s="56"/>
      <c r="AK180" s="56">
        <v>42369</v>
      </c>
      <c r="AL180" s="56"/>
      <c r="AM180">
        <v>1</v>
      </c>
      <c r="AP180" t="s">
        <v>1450</v>
      </c>
      <c r="AS180" t="s">
        <v>1152</v>
      </c>
      <c r="AT180">
        <v>1</v>
      </c>
      <c r="AV180">
        <v>1</v>
      </c>
      <c r="AW180">
        <v>1</v>
      </c>
      <c r="AX180">
        <v>0.5</v>
      </c>
      <c r="AY180" t="s">
        <v>1145</v>
      </c>
      <c r="AZ180" t="s">
        <v>1145</v>
      </c>
      <c r="BA180">
        <v>1</v>
      </c>
      <c r="BD180">
        <v>1000000000</v>
      </c>
      <c r="BE180">
        <v>1</v>
      </c>
      <c r="BF180">
        <v>0</v>
      </c>
      <c r="BG180">
        <v>0</v>
      </c>
      <c r="BH180">
        <v>0</v>
      </c>
      <c r="BI180">
        <v>0</v>
      </c>
      <c r="BJ180">
        <v>0</v>
      </c>
      <c r="BK180">
        <v>0</v>
      </c>
      <c r="BL180">
        <v>0</v>
      </c>
      <c r="BM180">
        <v>1</v>
      </c>
      <c r="BN180">
        <v>0</v>
      </c>
      <c r="BO180">
        <v>0</v>
      </c>
      <c r="BP180">
        <v>0</v>
      </c>
      <c r="BR180">
        <v>0</v>
      </c>
      <c r="BS180">
        <v>1</v>
      </c>
      <c r="BX180">
        <v>0</v>
      </c>
      <c r="BY180">
        <v>0</v>
      </c>
      <c r="BZ180">
        <v>0</v>
      </c>
      <c r="CA180">
        <v>-11.94</v>
      </c>
      <c r="CC180">
        <v>1</v>
      </c>
      <c r="CD180" s="56">
        <v>42593</v>
      </c>
      <c r="CE180" s="56">
        <v>42612</v>
      </c>
      <c r="CF180" s="56">
        <v>42612</v>
      </c>
      <c r="CG180" s="56">
        <v>42640</v>
      </c>
      <c r="CH180" s="56"/>
      <c r="CI180" s="56"/>
      <c r="CJ180">
        <v>0</v>
      </c>
      <c r="CK180">
        <v>0</v>
      </c>
      <c r="CL180">
        <v>0</v>
      </c>
      <c r="CM180">
        <v>0</v>
      </c>
      <c r="CN180">
        <v>0.71</v>
      </c>
      <c r="CO180">
        <v>0</v>
      </c>
      <c r="CP180">
        <v>0</v>
      </c>
      <c r="CQ180" t="s">
        <v>1378</v>
      </c>
      <c r="CR180" t="s">
        <v>1377</v>
      </c>
      <c r="CS180" t="s">
        <v>1451</v>
      </c>
      <c r="CT180" t="s">
        <v>1724</v>
      </c>
      <c r="CU180" t="s">
        <v>1742</v>
      </c>
      <c r="CV180" t="s">
        <v>2251</v>
      </c>
      <c r="DB180" t="s">
        <v>2134</v>
      </c>
      <c r="DE180" t="s">
        <v>1724</v>
      </c>
    </row>
    <row r="181" spans="1:109" x14ac:dyDescent="0.25">
      <c r="A181" t="s">
        <v>1378</v>
      </c>
      <c r="B181">
        <v>1</v>
      </c>
      <c r="C181" s="56">
        <v>42640</v>
      </c>
      <c r="D181" t="s">
        <v>1449</v>
      </c>
      <c r="E181" t="s">
        <v>1411</v>
      </c>
      <c r="G181" t="s">
        <v>1144</v>
      </c>
      <c r="H181" t="s">
        <v>1144</v>
      </c>
      <c r="I181" t="s">
        <v>1144</v>
      </c>
      <c r="J181" t="s">
        <v>1144</v>
      </c>
      <c r="K181" t="s">
        <v>1144</v>
      </c>
      <c r="L181">
        <v>345.42</v>
      </c>
      <c r="M181">
        <v>1020.89</v>
      </c>
      <c r="N181">
        <v>0</v>
      </c>
      <c r="O181" s="56"/>
      <c r="P181" s="56"/>
      <c r="Q181">
        <v>13718</v>
      </c>
      <c r="R181">
        <v>9</v>
      </c>
      <c r="S181">
        <v>4</v>
      </c>
      <c r="T181">
        <v>2</v>
      </c>
      <c r="U181">
        <v>2</v>
      </c>
      <c r="V181">
        <v>1</v>
      </c>
      <c r="W181" t="s">
        <v>1376</v>
      </c>
      <c r="X181" t="s">
        <v>2385</v>
      </c>
      <c r="AA181">
        <v>0.08</v>
      </c>
      <c r="AB181">
        <v>1</v>
      </c>
      <c r="AC181">
        <v>6.25</v>
      </c>
      <c r="AD181">
        <v>6.25</v>
      </c>
      <c r="AE181">
        <v>0</v>
      </c>
      <c r="AF181">
        <v>0</v>
      </c>
      <c r="AG181">
        <v>0</v>
      </c>
      <c r="AJ181" s="56">
        <v>42666</v>
      </c>
      <c r="AK181" s="56"/>
      <c r="AL181" s="56"/>
      <c r="AM181">
        <v>5</v>
      </c>
      <c r="AP181" t="s">
        <v>1450</v>
      </c>
      <c r="AS181" t="s">
        <v>1152</v>
      </c>
      <c r="AT181">
        <v>1</v>
      </c>
      <c r="AV181">
        <v>2</v>
      </c>
      <c r="AW181">
        <v>2</v>
      </c>
      <c r="AX181">
        <v>1</v>
      </c>
      <c r="AY181" t="s">
        <v>1145</v>
      </c>
      <c r="AZ181" t="s">
        <v>1145</v>
      </c>
      <c r="BA181">
        <v>5</v>
      </c>
      <c r="BD181">
        <v>1000000000</v>
      </c>
      <c r="BE181">
        <v>2</v>
      </c>
      <c r="BF181">
        <v>0</v>
      </c>
      <c r="BG181">
        <v>0</v>
      </c>
      <c r="BH181">
        <v>0</v>
      </c>
      <c r="BI181">
        <v>0</v>
      </c>
      <c r="BJ181">
        <v>0</v>
      </c>
      <c r="BK181">
        <v>0</v>
      </c>
      <c r="BL181">
        <v>0</v>
      </c>
      <c r="BM181">
        <v>2</v>
      </c>
      <c r="BN181">
        <v>0</v>
      </c>
      <c r="BO181">
        <v>0</v>
      </c>
      <c r="BP181">
        <v>0</v>
      </c>
      <c r="BR181">
        <v>0</v>
      </c>
      <c r="BS181">
        <v>1</v>
      </c>
      <c r="BX181">
        <v>0</v>
      </c>
      <c r="BY181">
        <v>0</v>
      </c>
      <c r="BZ181">
        <v>0</v>
      </c>
      <c r="CA181">
        <v>23.47</v>
      </c>
      <c r="CC181">
        <v>1</v>
      </c>
      <c r="CD181" s="56">
        <v>42619</v>
      </c>
      <c r="CE181" s="56">
        <v>42619</v>
      </c>
      <c r="CF181" s="56">
        <v>42619</v>
      </c>
      <c r="CG181" s="56">
        <v>42647</v>
      </c>
      <c r="CH181" s="56"/>
      <c r="CI181" s="56"/>
      <c r="CJ181">
        <v>0</v>
      </c>
      <c r="CK181">
        <v>0</v>
      </c>
      <c r="CL181">
        <v>0</v>
      </c>
      <c r="CM181">
        <v>0</v>
      </c>
      <c r="CN181">
        <v>0.65</v>
      </c>
      <c r="CO181">
        <v>0</v>
      </c>
      <c r="CP181">
        <v>0</v>
      </c>
      <c r="CQ181" t="s">
        <v>1378</v>
      </c>
      <c r="CR181" t="s">
        <v>1377</v>
      </c>
      <c r="CS181" t="s">
        <v>1451</v>
      </c>
      <c r="CT181" t="s">
        <v>1724</v>
      </c>
      <c r="CU181" t="s">
        <v>1742</v>
      </c>
      <c r="CV181" t="s">
        <v>1966</v>
      </c>
      <c r="DB181" t="s">
        <v>1962</v>
      </c>
      <c r="DE181" t="s">
        <v>1724</v>
      </c>
    </row>
    <row r="182" spans="1:109" x14ac:dyDescent="0.25">
      <c r="A182" t="s">
        <v>1378</v>
      </c>
      <c r="B182">
        <v>1</v>
      </c>
      <c r="C182" s="56">
        <v>42640</v>
      </c>
      <c r="D182" t="s">
        <v>1449</v>
      </c>
      <c r="E182" t="s">
        <v>2305</v>
      </c>
      <c r="G182" t="s">
        <v>1144</v>
      </c>
      <c r="H182" t="s">
        <v>1144</v>
      </c>
      <c r="I182" t="s">
        <v>1144</v>
      </c>
      <c r="J182" t="s">
        <v>1144</v>
      </c>
      <c r="K182" t="s">
        <v>1144</v>
      </c>
      <c r="L182">
        <v>567.99</v>
      </c>
      <c r="M182">
        <v>2</v>
      </c>
      <c r="N182">
        <v>0</v>
      </c>
      <c r="O182" s="56"/>
      <c r="P182" s="56"/>
      <c r="Q182">
        <v>13718</v>
      </c>
      <c r="R182">
        <v>9</v>
      </c>
      <c r="S182">
        <v>4</v>
      </c>
      <c r="T182">
        <v>2</v>
      </c>
      <c r="U182">
        <v>2</v>
      </c>
      <c r="V182">
        <v>1</v>
      </c>
      <c r="W182" t="s">
        <v>1376</v>
      </c>
      <c r="X182" t="s">
        <v>2385</v>
      </c>
      <c r="AA182">
        <v>0</v>
      </c>
      <c r="AB182">
        <v>0</v>
      </c>
      <c r="AC182">
        <v>0</v>
      </c>
      <c r="AD182">
        <v>0</v>
      </c>
      <c r="AE182">
        <v>0</v>
      </c>
      <c r="AF182">
        <v>0</v>
      </c>
      <c r="AG182">
        <v>0</v>
      </c>
      <c r="AJ182" s="56"/>
      <c r="AK182" s="56"/>
      <c r="AL182" s="56"/>
      <c r="AM182">
        <v>1</v>
      </c>
      <c r="AP182" t="s">
        <v>1450</v>
      </c>
      <c r="AS182" t="s">
        <v>1152</v>
      </c>
      <c r="AT182">
        <v>1</v>
      </c>
      <c r="AV182">
        <v>2</v>
      </c>
      <c r="AW182">
        <v>2</v>
      </c>
      <c r="AX182">
        <v>1</v>
      </c>
      <c r="AY182" t="s">
        <v>1145</v>
      </c>
      <c r="AZ182" t="s">
        <v>1145</v>
      </c>
      <c r="BA182">
        <v>1</v>
      </c>
      <c r="BD182">
        <v>1000000000</v>
      </c>
      <c r="BE182">
        <v>2</v>
      </c>
      <c r="BF182">
        <v>0</v>
      </c>
      <c r="BG182">
        <v>0</v>
      </c>
      <c r="BH182">
        <v>0</v>
      </c>
      <c r="BI182">
        <v>0</v>
      </c>
      <c r="BJ182">
        <v>0</v>
      </c>
      <c r="BK182">
        <v>0</v>
      </c>
      <c r="BL182">
        <v>0</v>
      </c>
      <c r="BM182">
        <v>2</v>
      </c>
      <c r="BN182">
        <v>0</v>
      </c>
      <c r="BO182">
        <v>0</v>
      </c>
      <c r="BP182">
        <v>0</v>
      </c>
      <c r="BR182">
        <v>0</v>
      </c>
      <c r="BS182">
        <v>1</v>
      </c>
      <c r="BX182">
        <v>0</v>
      </c>
      <c r="BY182">
        <v>0</v>
      </c>
      <c r="BZ182">
        <v>0</v>
      </c>
      <c r="CA182">
        <v>-11.96</v>
      </c>
      <c r="CC182">
        <v>1</v>
      </c>
      <c r="CD182" s="56">
        <v>42619</v>
      </c>
      <c r="CE182" s="56">
        <v>42619</v>
      </c>
      <c r="CF182" s="56">
        <v>42619</v>
      </c>
      <c r="CG182" s="56">
        <v>42647</v>
      </c>
      <c r="CH182" s="56"/>
      <c r="CI182" s="56"/>
      <c r="CJ182">
        <v>0</v>
      </c>
      <c r="CK182">
        <v>0</v>
      </c>
      <c r="CL182">
        <v>0</v>
      </c>
      <c r="CM182">
        <v>0</v>
      </c>
      <c r="CN182">
        <v>0.65</v>
      </c>
      <c r="CO182">
        <v>0</v>
      </c>
      <c r="CP182">
        <v>0</v>
      </c>
      <c r="CQ182" t="s">
        <v>1378</v>
      </c>
      <c r="CR182" t="s">
        <v>1377</v>
      </c>
      <c r="CS182" t="s">
        <v>1451</v>
      </c>
      <c r="CT182" t="s">
        <v>1724</v>
      </c>
      <c r="CU182" t="s">
        <v>1742</v>
      </c>
      <c r="CV182" t="s">
        <v>2306</v>
      </c>
      <c r="DB182" t="s">
        <v>2286</v>
      </c>
      <c r="DE182" t="s">
        <v>1724</v>
      </c>
    </row>
    <row r="183" spans="1:109" x14ac:dyDescent="0.25">
      <c r="A183" t="s">
        <v>1378</v>
      </c>
      <c r="B183">
        <v>1</v>
      </c>
      <c r="C183" s="56">
        <v>42640</v>
      </c>
      <c r="D183" t="s">
        <v>1449</v>
      </c>
      <c r="E183" t="s">
        <v>1429</v>
      </c>
      <c r="G183" t="s">
        <v>1144</v>
      </c>
      <c r="H183" t="s">
        <v>1144</v>
      </c>
      <c r="I183" t="s">
        <v>1144</v>
      </c>
      <c r="J183" t="s">
        <v>1144</v>
      </c>
      <c r="K183" t="s">
        <v>1144</v>
      </c>
      <c r="L183">
        <v>280.3</v>
      </c>
      <c r="M183">
        <v>732.52</v>
      </c>
      <c r="N183">
        <v>0</v>
      </c>
      <c r="O183" s="56"/>
      <c r="P183" s="56"/>
      <c r="Q183">
        <v>13718</v>
      </c>
      <c r="R183">
        <v>9</v>
      </c>
      <c r="S183">
        <v>4</v>
      </c>
      <c r="T183">
        <v>2</v>
      </c>
      <c r="U183">
        <v>2</v>
      </c>
      <c r="V183">
        <v>1</v>
      </c>
      <c r="X183" t="s">
        <v>2385</v>
      </c>
      <c r="AA183">
        <v>0.66</v>
      </c>
      <c r="AB183">
        <v>4</v>
      </c>
      <c r="AC183">
        <v>2.27</v>
      </c>
      <c r="AD183">
        <v>3.03</v>
      </c>
      <c r="AE183">
        <v>0</v>
      </c>
      <c r="AF183">
        <v>0</v>
      </c>
      <c r="AG183">
        <v>0</v>
      </c>
      <c r="AJ183" s="56"/>
      <c r="AK183" s="56"/>
      <c r="AL183" s="56"/>
      <c r="AM183">
        <v>7</v>
      </c>
      <c r="AP183" t="s">
        <v>1450</v>
      </c>
      <c r="AS183" t="s">
        <v>1152</v>
      </c>
      <c r="AT183">
        <v>1</v>
      </c>
      <c r="AV183">
        <v>6</v>
      </c>
      <c r="AW183">
        <v>4</v>
      </c>
      <c r="AX183">
        <v>2</v>
      </c>
      <c r="AY183" t="s">
        <v>1147</v>
      </c>
      <c r="AZ183" t="s">
        <v>1147</v>
      </c>
      <c r="BA183">
        <v>7</v>
      </c>
      <c r="BD183">
        <v>1000000000</v>
      </c>
      <c r="BE183">
        <v>8</v>
      </c>
      <c r="BF183">
        <v>-0.33</v>
      </c>
      <c r="BG183">
        <v>0</v>
      </c>
      <c r="BH183">
        <v>0</v>
      </c>
      <c r="BI183">
        <v>0</v>
      </c>
      <c r="BJ183">
        <v>0</v>
      </c>
      <c r="BK183">
        <v>0</v>
      </c>
      <c r="BL183">
        <v>0</v>
      </c>
      <c r="BM183">
        <v>8</v>
      </c>
      <c r="BN183">
        <v>-0.33</v>
      </c>
      <c r="BO183">
        <v>0</v>
      </c>
      <c r="BP183">
        <v>0</v>
      </c>
      <c r="BR183">
        <v>0</v>
      </c>
      <c r="BS183">
        <v>3</v>
      </c>
      <c r="BX183">
        <v>0</v>
      </c>
      <c r="BY183">
        <v>560.6</v>
      </c>
      <c r="BZ183">
        <v>0</v>
      </c>
      <c r="CA183">
        <v>19.36</v>
      </c>
      <c r="CC183">
        <v>1</v>
      </c>
      <c r="CD183" s="56">
        <v>42619</v>
      </c>
      <c r="CE183" s="56">
        <v>42619</v>
      </c>
      <c r="CF183" s="56">
        <v>42619</v>
      </c>
      <c r="CG183" s="56">
        <v>42647</v>
      </c>
      <c r="CH183" s="56"/>
      <c r="CI183" s="56"/>
      <c r="CJ183">
        <v>0.05</v>
      </c>
      <c r="CK183">
        <v>0</v>
      </c>
      <c r="CL183">
        <v>0</v>
      </c>
      <c r="CM183">
        <v>0</v>
      </c>
      <c r="CN183">
        <v>0</v>
      </c>
      <c r="CO183">
        <v>0</v>
      </c>
      <c r="CP183">
        <v>0.65</v>
      </c>
      <c r="CQ183" t="s">
        <v>1378</v>
      </c>
      <c r="CR183" t="s">
        <v>1377</v>
      </c>
      <c r="CS183" t="s">
        <v>1451</v>
      </c>
      <c r="CT183" t="s">
        <v>1724</v>
      </c>
      <c r="CU183" t="s">
        <v>1742</v>
      </c>
      <c r="CV183" t="s">
        <v>2009</v>
      </c>
      <c r="DB183" t="s">
        <v>1997</v>
      </c>
      <c r="DE183" t="s">
        <v>1724</v>
      </c>
    </row>
    <row r="184" spans="1:109" x14ac:dyDescent="0.25">
      <c r="A184" t="s">
        <v>1378</v>
      </c>
      <c r="B184">
        <v>1</v>
      </c>
      <c r="C184" s="56">
        <v>42640</v>
      </c>
      <c r="D184" t="s">
        <v>1449</v>
      </c>
      <c r="E184" t="s">
        <v>1788</v>
      </c>
      <c r="G184" t="s">
        <v>1144</v>
      </c>
      <c r="H184" t="s">
        <v>1144</v>
      </c>
      <c r="I184" t="s">
        <v>1144</v>
      </c>
      <c r="J184" t="s">
        <v>1144</v>
      </c>
      <c r="K184" t="s">
        <v>1144</v>
      </c>
      <c r="L184">
        <v>756.96</v>
      </c>
      <c r="M184">
        <v>1637.27</v>
      </c>
      <c r="N184">
        <v>0</v>
      </c>
      <c r="O184" s="56"/>
      <c r="P184" s="56"/>
      <c r="Q184">
        <v>13718</v>
      </c>
      <c r="R184">
        <v>9</v>
      </c>
      <c r="S184">
        <v>4</v>
      </c>
      <c r="T184">
        <v>2</v>
      </c>
      <c r="U184">
        <v>2</v>
      </c>
      <c r="V184">
        <v>1</v>
      </c>
      <c r="X184" t="s">
        <v>2385</v>
      </c>
      <c r="AA184">
        <v>0</v>
      </c>
      <c r="AB184">
        <v>0</v>
      </c>
      <c r="AC184">
        <v>0</v>
      </c>
      <c r="AD184">
        <v>0</v>
      </c>
      <c r="AE184">
        <v>0</v>
      </c>
      <c r="AF184">
        <v>0</v>
      </c>
      <c r="AG184">
        <v>0</v>
      </c>
      <c r="AJ184" s="56"/>
      <c r="AK184" s="56"/>
      <c r="AL184" s="56"/>
      <c r="AP184" t="s">
        <v>1450</v>
      </c>
      <c r="AS184" t="s">
        <v>1152</v>
      </c>
      <c r="AT184">
        <v>1</v>
      </c>
      <c r="AV184">
        <v>1</v>
      </c>
      <c r="AW184">
        <v>1</v>
      </c>
      <c r="AX184">
        <v>0.5</v>
      </c>
      <c r="AY184" t="s">
        <v>1147</v>
      </c>
      <c r="AZ184" t="s">
        <v>1147</v>
      </c>
      <c r="BA184">
        <v>2</v>
      </c>
      <c r="BD184">
        <v>1000000000</v>
      </c>
      <c r="BE184">
        <v>3</v>
      </c>
      <c r="BF184">
        <v>-2</v>
      </c>
      <c r="BG184">
        <v>0</v>
      </c>
      <c r="BH184">
        <v>0</v>
      </c>
      <c r="BI184">
        <v>0</v>
      </c>
      <c r="BJ184">
        <v>0</v>
      </c>
      <c r="BK184">
        <v>0</v>
      </c>
      <c r="BL184">
        <v>0</v>
      </c>
      <c r="BM184">
        <v>3</v>
      </c>
      <c r="BN184">
        <v>-2</v>
      </c>
      <c r="BO184">
        <v>0</v>
      </c>
      <c r="BP184">
        <v>0</v>
      </c>
      <c r="BR184">
        <v>0</v>
      </c>
      <c r="BS184">
        <v>1</v>
      </c>
      <c r="BX184">
        <v>0</v>
      </c>
      <c r="BY184">
        <v>1513.92</v>
      </c>
      <c r="BZ184">
        <v>0</v>
      </c>
      <c r="CA184">
        <v>13.96</v>
      </c>
      <c r="CC184">
        <v>1</v>
      </c>
      <c r="CD184" s="56">
        <v>42619</v>
      </c>
      <c r="CE184" s="56">
        <v>42619</v>
      </c>
      <c r="CF184" s="56">
        <v>42619</v>
      </c>
      <c r="CG184" s="56">
        <v>42647</v>
      </c>
      <c r="CH184" s="56"/>
      <c r="CI184" s="56"/>
      <c r="CJ184">
        <v>0</v>
      </c>
      <c r="CK184">
        <v>0</v>
      </c>
      <c r="CL184">
        <v>0</v>
      </c>
      <c r="CM184">
        <v>0</v>
      </c>
      <c r="CN184">
        <v>0</v>
      </c>
      <c r="CO184">
        <v>0</v>
      </c>
      <c r="CP184">
        <v>0.65</v>
      </c>
      <c r="CQ184" t="s">
        <v>1378</v>
      </c>
      <c r="CR184" t="s">
        <v>1377</v>
      </c>
      <c r="CS184" t="s">
        <v>1451</v>
      </c>
      <c r="CT184" t="s">
        <v>1724</v>
      </c>
      <c r="CU184" t="s">
        <v>1742</v>
      </c>
      <c r="CV184" t="s">
        <v>1789</v>
      </c>
      <c r="DB184" t="s">
        <v>1783</v>
      </c>
      <c r="DE184" t="s">
        <v>1724</v>
      </c>
    </row>
    <row r="185" spans="1:109" x14ac:dyDescent="0.25">
      <c r="A185" t="s">
        <v>1378</v>
      </c>
      <c r="B185">
        <v>1</v>
      </c>
      <c r="C185" s="56">
        <v>42640</v>
      </c>
      <c r="D185" t="s">
        <v>1449</v>
      </c>
      <c r="E185" t="s">
        <v>2151</v>
      </c>
      <c r="G185" t="s">
        <v>1144</v>
      </c>
      <c r="H185" t="s">
        <v>1144</v>
      </c>
      <c r="I185" t="s">
        <v>1144</v>
      </c>
      <c r="J185" t="s">
        <v>1144</v>
      </c>
      <c r="K185" t="s">
        <v>1144</v>
      </c>
      <c r="L185">
        <v>2047.99</v>
      </c>
      <c r="M185">
        <v>2</v>
      </c>
      <c r="N185">
        <v>0</v>
      </c>
      <c r="O185" s="56"/>
      <c r="P185" s="56"/>
      <c r="Q185">
        <v>13718</v>
      </c>
      <c r="R185">
        <v>9</v>
      </c>
      <c r="S185">
        <v>4</v>
      </c>
      <c r="T185">
        <v>2</v>
      </c>
      <c r="U185">
        <v>2</v>
      </c>
      <c r="V185">
        <v>1</v>
      </c>
      <c r="X185" t="s">
        <v>2386</v>
      </c>
      <c r="AA185">
        <v>0</v>
      </c>
      <c r="AB185">
        <v>0</v>
      </c>
      <c r="AC185">
        <v>0</v>
      </c>
      <c r="AD185">
        <v>0</v>
      </c>
      <c r="AE185">
        <v>0</v>
      </c>
      <c r="AF185">
        <v>0</v>
      </c>
      <c r="AG185">
        <v>0</v>
      </c>
      <c r="AJ185" s="56"/>
      <c r="AK185" s="56"/>
      <c r="AL185" s="56"/>
      <c r="AP185" t="s">
        <v>1450</v>
      </c>
      <c r="AS185" t="s">
        <v>1152</v>
      </c>
      <c r="AT185">
        <v>1</v>
      </c>
      <c r="AV185">
        <v>0</v>
      </c>
      <c r="AW185">
        <v>0</v>
      </c>
      <c r="AX185">
        <v>0</v>
      </c>
      <c r="AY185" t="s">
        <v>1375</v>
      </c>
      <c r="AZ185" t="s">
        <v>1375</v>
      </c>
      <c r="BA185">
        <v>0</v>
      </c>
      <c r="BD185">
        <v>1000000000</v>
      </c>
      <c r="BE185">
        <v>2</v>
      </c>
      <c r="BF185">
        <v>0</v>
      </c>
      <c r="BG185">
        <v>0</v>
      </c>
      <c r="BH185">
        <v>0</v>
      </c>
      <c r="BI185">
        <v>0</v>
      </c>
      <c r="BJ185">
        <v>0</v>
      </c>
      <c r="BK185">
        <v>0</v>
      </c>
      <c r="BL185">
        <v>0</v>
      </c>
      <c r="BM185">
        <v>2</v>
      </c>
      <c r="BN185">
        <v>0</v>
      </c>
      <c r="BO185">
        <v>0</v>
      </c>
      <c r="BP185">
        <v>0</v>
      </c>
      <c r="BR185">
        <v>0</v>
      </c>
      <c r="BS185">
        <v>0</v>
      </c>
      <c r="BX185">
        <v>0</v>
      </c>
      <c r="BY185">
        <v>0</v>
      </c>
      <c r="BZ185">
        <v>0</v>
      </c>
      <c r="CA185">
        <v>0</v>
      </c>
      <c r="CC185">
        <v>1</v>
      </c>
      <c r="CD185" s="56">
        <v>42593</v>
      </c>
      <c r="CE185" s="56">
        <v>42612</v>
      </c>
      <c r="CF185" s="56">
        <v>42612</v>
      </c>
      <c r="CG185" s="56">
        <v>42640</v>
      </c>
      <c r="CH185" s="56"/>
      <c r="CI185" s="56"/>
      <c r="CJ185">
        <v>0</v>
      </c>
      <c r="CK185">
        <v>0</v>
      </c>
      <c r="CL185">
        <v>0</v>
      </c>
      <c r="CM185">
        <v>0</v>
      </c>
      <c r="CN185">
        <v>0</v>
      </c>
      <c r="CO185">
        <v>0</v>
      </c>
      <c r="CP185">
        <v>0.71</v>
      </c>
      <c r="CQ185" t="s">
        <v>1378</v>
      </c>
      <c r="CR185" t="s">
        <v>1377</v>
      </c>
      <c r="CS185" t="s">
        <v>1451</v>
      </c>
      <c r="CT185" t="s">
        <v>1724</v>
      </c>
      <c r="CU185" t="s">
        <v>1742</v>
      </c>
      <c r="CV185" t="s">
        <v>2152</v>
      </c>
      <c r="DB185" t="s">
        <v>2145</v>
      </c>
      <c r="DE185" t="s">
        <v>1724</v>
      </c>
    </row>
    <row r="186" spans="1:109" x14ac:dyDescent="0.25">
      <c r="A186" t="s">
        <v>1378</v>
      </c>
      <c r="B186">
        <v>1</v>
      </c>
      <c r="C186" s="56">
        <v>42640</v>
      </c>
      <c r="D186" t="s">
        <v>1449</v>
      </c>
      <c r="E186" t="s">
        <v>1837</v>
      </c>
      <c r="G186" t="s">
        <v>1144</v>
      </c>
      <c r="H186" t="s">
        <v>1144</v>
      </c>
      <c r="I186" t="s">
        <v>1144</v>
      </c>
      <c r="J186" t="s">
        <v>1144</v>
      </c>
      <c r="K186" t="s">
        <v>1144</v>
      </c>
      <c r="L186">
        <v>28.73</v>
      </c>
      <c r="M186">
        <v>91.5</v>
      </c>
      <c r="N186">
        <v>0</v>
      </c>
      <c r="O186" s="56"/>
      <c r="P186" s="56"/>
      <c r="Q186">
        <v>13718</v>
      </c>
      <c r="R186">
        <v>9</v>
      </c>
      <c r="S186">
        <v>4</v>
      </c>
      <c r="T186">
        <v>2</v>
      </c>
      <c r="U186">
        <v>2</v>
      </c>
      <c r="V186">
        <v>1</v>
      </c>
      <c r="W186" t="s">
        <v>1376</v>
      </c>
      <c r="X186" t="s">
        <v>2385</v>
      </c>
      <c r="AA186">
        <v>0</v>
      </c>
      <c r="AB186">
        <v>0</v>
      </c>
      <c r="AC186">
        <v>0</v>
      </c>
      <c r="AD186">
        <v>0</v>
      </c>
      <c r="AE186">
        <v>0</v>
      </c>
      <c r="AF186">
        <v>0</v>
      </c>
      <c r="AG186">
        <v>0</v>
      </c>
      <c r="AJ186" s="56"/>
      <c r="AK186" s="56"/>
      <c r="AL186" s="56"/>
      <c r="AM186">
        <v>3</v>
      </c>
      <c r="AP186" t="s">
        <v>1450</v>
      </c>
      <c r="AS186" t="s">
        <v>1152</v>
      </c>
      <c r="AT186">
        <v>1</v>
      </c>
      <c r="AV186">
        <v>2</v>
      </c>
      <c r="AW186">
        <v>2</v>
      </c>
      <c r="AX186">
        <v>1</v>
      </c>
      <c r="AY186" t="s">
        <v>1145</v>
      </c>
      <c r="AZ186" t="s">
        <v>1145</v>
      </c>
      <c r="BA186">
        <v>3</v>
      </c>
      <c r="BD186">
        <v>1000000000</v>
      </c>
      <c r="BE186">
        <v>2</v>
      </c>
      <c r="BF186">
        <v>0</v>
      </c>
      <c r="BG186">
        <v>0</v>
      </c>
      <c r="BH186">
        <v>0</v>
      </c>
      <c r="BI186">
        <v>0</v>
      </c>
      <c r="BJ186">
        <v>0</v>
      </c>
      <c r="BK186">
        <v>0</v>
      </c>
      <c r="BL186">
        <v>0</v>
      </c>
      <c r="BM186">
        <v>2</v>
      </c>
      <c r="BN186">
        <v>0</v>
      </c>
      <c r="BO186">
        <v>0</v>
      </c>
      <c r="BP186">
        <v>0</v>
      </c>
      <c r="BR186">
        <v>0</v>
      </c>
      <c r="BS186">
        <v>1</v>
      </c>
      <c r="BX186">
        <v>0</v>
      </c>
      <c r="BY186">
        <v>0</v>
      </c>
      <c r="BZ186">
        <v>0</v>
      </c>
      <c r="CA186">
        <v>26.22</v>
      </c>
      <c r="CC186">
        <v>1</v>
      </c>
      <c r="CD186" s="56">
        <v>42619</v>
      </c>
      <c r="CE186" s="56">
        <v>42619</v>
      </c>
      <c r="CF186" s="56">
        <v>42619</v>
      </c>
      <c r="CG186" s="56">
        <v>42647</v>
      </c>
      <c r="CH186" s="56"/>
      <c r="CI186" s="56"/>
      <c r="CJ186">
        <v>0</v>
      </c>
      <c r="CK186">
        <v>0</v>
      </c>
      <c r="CL186">
        <v>0</v>
      </c>
      <c r="CM186">
        <v>0</v>
      </c>
      <c r="CN186">
        <v>0.65</v>
      </c>
      <c r="CO186">
        <v>0</v>
      </c>
      <c r="CP186">
        <v>0</v>
      </c>
      <c r="CQ186" t="s">
        <v>1378</v>
      </c>
      <c r="CR186" t="s">
        <v>1377</v>
      </c>
      <c r="CS186" t="s">
        <v>1451</v>
      </c>
      <c r="CT186" t="s">
        <v>1724</v>
      </c>
      <c r="CU186" t="s">
        <v>1742</v>
      </c>
      <c r="CV186" t="s">
        <v>1838</v>
      </c>
      <c r="DB186" t="s">
        <v>1830</v>
      </c>
      <c r="DE186" t="s">
        <v>1724</v>
      </c>
    </row>
    <row r="187" spans="1:109" x14ac:dyDescent="0.25">
      <c r="A187" t="s">
        <v>1378</v>
      </c>
      <c r="B187">
        <v>1</v>
      </c>
      <c r="C187" s="56">
        <v>42640</v>
      </c>
      <c r="D187" t="s">
        <v>1449</v>
      </c>
      <c r="E187" t="s">
        <v>2193</v>
      </c>
      <c r="G187" t="s">
        <v>1144</v>
      </c>
      <c r="H187" t="s">
        <v>1144</v>
      </c>
      <c r="I187" t="s">
        <v>1144</v>
      </c>
      <c r="J187" t="s">
        <v>1144</v>
      </c>
      <c r="K187" t="s">
        <v>1144</v>
      </c>
      <c r="L187">
        <v>431.82</v>
      </c>
      <c r="M187">
        <v>2</v>
      </c>
      <c r="N187">
        <v>0</v>
      </c>
      <c r="O187" s="56"/>
      <c r="P187" s="56"/>
      <c r="Q187">
        <v>13718</v>
      </c>
      <c r="R187">
        <v>9</v>
      </c>
      <c r="S187">
        <v>4</v>
      </c>
      <c r="T187">
        <v>2</v>
      </c>
      <c r="U187">
        <v>2</v>
      </c>
      <c r="V187">
        <v>1</v>
      </c>
      <c r="X187" t="s">
        <v>2386</v>
      </c>
      <c r="AA187">
        <v>0</v>
      </c>
      <c r="AB187">
        <v>0</v>
      </c>
      <c r="AC187">
        <v>0</v>
      </c>
      <c r="AD187">
        <v>0</v>
      </c>
      <c r="AE187">
        <v>0</v>
      </c>
      <c r="AF187">
        <v>0</v>
      </c>
      <c r="AG187">
        <v>0</v>
      </c>
      <c r="AJ187" s="56"/>
      <c r="AK187" s="56"/>
      <c r="AL187" s="56"/>
      <c r="AM187">
        <v>1</v>
      </c>
      <c r="AP187" t="s">
        <v>1450</v>
      </c>
      <c r="AS187" t="s">
        <v>1152</v>
      </c>
      <c r="AT187">
        <v>1</v>
      </c>
      <c r="AV187">
        <v>1</v>
      </c>
      <c r="AW187">
        <v>1</v>
      </c>
      <c r="AX187">
        <v>0.5</v>
      </c>
      <c r="AY187" t="s">
        <v>1147</v>
      </c>
      <c r="AZ187" t="s">
        <v>1147</v>
      </c>
      <c r="BA187">
        <v>1</v>
      </c>
      <c r="BD187">
        <v>1000000000</v>
      </c>
      <c r="BE187">
        <v>2</v>
      </c>
      <c r="BF187">
        <v>-1</v>
      </c>
      <c r="BG187">
        <v>0</v>
      </c>
      <c r="BH187">
        <v>0</v>
      </c>
      <c r="BI187">
        <v>0</v>
      </c>
      <c r="BJ187">
        <v>0</v>
      </c>
      <c r="BK187">
        <v>0</v>
      </c>
      <c r="BL187">
        <v>0</v>
      </c>
      <c r="BM187">
        <v>2</v>
      </c>
      <c r="BN187">
        <v>-1</v>
      </c>
      <c r="BO187">
        <v>0</v>
      </c>
      <c r="BP187">
        <v>0</v>
      </c>
      <c r="BR187">
        <v>0</v>
      </c>
      <c r="BS187">
        <v>1</v>
      </c>
      <c r="BX187">
        <v>0</v>
      </c>
      <c r="BY187">
        <v>431.82</v>
      </c>
      <c r="BZ187">
        <v>0</v>
      </c>
      <c r="CA187">
        <v>-11.94</v>
      </c>
      <c r="CC187">
        <v>1</v>
      </c>
      <c r="CD187" s="56">
        <v>42593</v>
      </c>
      <c r="CE187" s="56">
        <v>42612</v>
      </c>
      <c r="CF187" s="56">
        <v>42612</v>
      </c>
      <c r="CG187" s="56">
        <v>42640</v>
      </c>
      <c r="CH187" s="56"/>
      <c r="CI187" s="56"/>
      <c r="CJ187">
        <v>0</v>
      </c>
      <c r="CK187">
        <v>0</v>
      </c>
      <c r="CL187">
        <v>0</v>
      </c>
      <c r="CM187">
        <v>0</v>
      </c>
      <c r="CN187">
        <v>0</v>
      </c>
      <c r="CO187">
        <v>0</v>
      </c>
      <c r="CP187">
        <v>0.71</v>
      </c>
      <c r="CQ187" t="s">
        <v>1378</v>
      </c>
      <c r="CR187" t="s">
        <v>1377</v>
      </c>
      <c r="CS187" t="s">
        <v>1451</v>
      </c>
      <c r="CT187" t="s">
        <v>1724</v>
      </c>
      <c r="CU187" t="s">
        <v>1742</v>
      </c>
      <c r="CV187" t="s">
        <v>2194</v>
      </c>
      <c r="DB187" t="s">
        <v>2161</v>
      </c>
      <c r="DE187" t="s">
        <v>1724</v>
      </c>
    </row>
    <row r="188" spans="1:109" x14ac:dyDescent="0.25">
      <c r="A188" t="s">
        <v>1378</v>
      </c>
      <c r="B188">
        <v>1</v>
      </c>
      <c r="C188" s="56">
        <v>42640</v>
      </c>
      <c r="D188" t="s">
        <v>1449</v>
      </c>
      <c r="E188" t="s">
        <v>2383</v>
      </c>
      <c r="G188" t="s">
        <v>1144</v>
      </c>
      <c r="H188" t="s">
        <v>1144</v>
      </c>
      <c r="I188" t="s">
        <v>1144</v>
      </c>
      <c r="J188" t="s">
        <v>1144</v>
      </c>
      <c r="K188" t="s">
        <v>1144</v>
      </c>
      <c r="L188">
        <v>0</v>
      </c>
      <c r="M188">
        <v>71.27</v>
      </c>
      <c r="N188">
        <v>0</v>
      </c>
      <c r="O188" s="56"/>
      <c r="P188" s="56"/>
      <c r="Q188">
        <v>13718</v>
      </c>
      <c r="R188">
        <v>9</v>
      </c>
      <c r="S188">
        <v>4</v>
      </c>
      <c r="T188">
        <v>2</v>
      </c>
      <c r="U188">
        <v>2</v>
      </c>
      <c r="V188">
        <v>1</v>
      </c>
      <c r="X188" t="s">
        <v>2386</v>
      </c>
      <c r="AA188">
        <v>0</v>
      </c>
      <c r="AB188">
        <v>0</v>
      </c>
      <c r="AC188">
        <v>0</v>
      </c>
      <c r="AD188">
        <v>0</v>
      </c>
      <c r="AE188">
        <v>0</v>
      </c>
      <c r="AF188">
        <v>0</v>
      </c>
      <c r="AG188">
        <v>0</v>
      </c>
      <c r="AJ188" s="56"/>
      <c r="AK188" s="56"/>
      <c r="AL188" s="56"/>
      <c r="AP188" t="s">
        <v>1450</v>
      </c>
      <c r="AR188">
        <v>3</v>
      </c>
      <c r="AS188" t="s">
        <v>1152</v>
      </c>
      <c r="AT188">
        <v>1</v>
      </c>
      <c r="AV188">
        <v>0</v>
      </c>
      <c r="AW188">
        <v>0</v>
      </c>
      <c r="AX188">
        <v>0</v>
      </c>
      <c r="AY188" t="s">
        <v>1375</v>
      </c>
      <c r="AZ188" t="s">
        <v>1375</v>
      </c>
      <c r="BA188">
        <v>0</v>
      </c>
      <c r="BD188">
        <v>1000000000</v>
      </c>
      <c r="BE188">
        <v>0</v>
      </c>
      <c r="BF188">
        <v>0</v>
      </c>
      <c r="BG188">
        <v>0</v>
      </c>
      <c r="BH188">
        <v>0</v>
      </c>
      <c r="BI188">
        <v>0</v>
      </c>
      <c r="BJ188">
        <v>0</v>
      </c>
      <c r="BK188">
        <v>0</v>
      </c>
      <c r="BL188">
        <v>0</v>
      </c>
      <c r="BM188">
        <v>0</v>
      </c>
      <c r="BN188">
        <v>0</v>
      </c>
      <c r="BO188">
        <v>0</v>
      </c>
      <c r="BP188">
        <v>0</v>
      </c>
      <c r="BR188">
        <v>0</v>
      </c>
      <c r="BS188">
        <v>0</v>
      </c>
      <c r="BX188">
        <v>0</v>
      </c>
      <c r="BY188">
        <v>0</v>
      </c>
      <c r="BZ188">
        <v>0</v>
      </c>
      <c r="CA188">
        <v>0</v>
      </c>
      <c r="CC188">
        <v>1</v>
      </c>
      <c r="CD188" s="56">
        <v>42593</v>
      </c>
      <c r="CE188" s="56">
        <v>42612</v>
      </c>
      <c r="CF188" s="56">
        <v>42612</v>
      </c>
      <c r="CG188" s="56">
        <v>42640</v>
      </c>
      <c r="CH188" s="56"/>
      <c r="CI188" s="56"/>
      <c r="CJ188">
        <v>1</v>
      </c>
      <c r="CK188">
        <v>0</v>
      </c>
      <c r="CL188">
        <v>0.71</v>
      </c>
      <c r="CM188">
        <v>0</v>
      </c>
      <c r="CN188">
        <v>0</v>
      </c>
      <c r="CO188">
        <v>0</v>
      </c>
      <c r="CP188">
        <v>0</v>
      </c>
      <c r="CQ188" t="s">
        <v>1378</v>
      </c>
      <c r="CR188" t="s">
        <v>1377</v>
      </c>
      <c r="CS188" t="s">
        <v>1451</v>
      </c>
      <c r="CT188" t="s">
        <v>1724</v>
      </c>
      <c r="CU188" t="s">
        <v>1742</v>
      </c>
      <c r="CV188" t="s">
        <v>2384</v>
      </c>
      <c r="DB188" t="s">
        <v>1744</v>
      </c>
      <c r="DE188" t="s">
        <v>1724</v>
      </c>
    </row>
    <row r="189" spans="1:109" x14ac:dyDescent="0.25">
      <c r="A189" t="s">
        <v>1378</v>
      </c>
      <c r="B189">
        <v>1</v>
      </c>
      <c r="C189" s="56">
        <v>42640</v>
      </c>
      <c r="D189" t="s">
        <v>1449</v>
      </c>
      <c r="E189" t="s">
        <v>1397</v>
      </c>
      <c r="G189" t="s">
        <v>1144</v>
      </c>
      <c r="H189" t="s">
        <v>1144</v>
      </c>
      <c r="I189" t="s">
        <v>1144</v>
      </c>
      <c r="J189" t="s">
        <v>1144</v>
      </c>
      <c r="K189" t="s">
        <v>1144</v>
      </c>
      <c r="L189">
        <v>372.04</v>
      </c>
      <c r="M189">
        <v>717.51</v>
      </c>
      <c r="N189">
        <v>0</v>
      </c>
      <c r="O189" s="56"/>
      <c r="P189" s="56"/>
      <c r="Q189">
        <v>13718</v>
      </c>
      <c r="R189">
        <v>9</v>
      </c>
      <c r="S189">
        <v>4</v>
      </c>
      <c r="T189">
        <v>2</v>
      </c>
      <c r="U189">
        <v>2</v>
      </c>
      <c r="V189">
        <v>1</v>
      </c>
      <c r="X189" t="s">
        <v>2385</v>
      </c>
      <c r="AA189">
        <v>0.04</v>
      </c>
      <c r="AB189">
        <v>1</v>
      </c>
      <c r="AC189">
        <v>18.75</v>
      </c>
      <c r="AD189">
        <v>37.5</v>
      </c>
      <c r="AE189">
        <v>0</v>
      </c>
      <c r="AF189">
        <v>0</v>
      </c>
      <c r="AG189">
        <v>0</v>
      </c>
      <c r="AJ189" s="56">
        <v>42666</v>
      </c>
      <c r="AK189" s="56"/>
      <c r="AL189" s="56"/>
      <c r="AM189">
        <v>6</v>
      </c>
      <c r="AP189" t="s">
        <v>1450</v>
      </c>
      <c r="AS189" t="s">
        <v>1152</v>
      </c>
      <c r="AT189">
        <v>1</v>
      </c>
      <c r="AV189">
        <v>3</v>
      </c>
      <c r="AW189">
        <v>2</v>
      </c>
      <c r="AX189">
        <v>1</v>
      </c>
      <c r="AY189" t="s">
        <v>1147</v>
      </c>
      <c r="AZ189" t="s">
        <v>1147</v>
      </c>
      <c r="BA189">
        <v>6</v>
      </c>
      <c r="BD189">
        <v>1000000000</v>
      </c>
      <c r="BE189">
        <v>6</v>
      </c>
      <c r="BF189">
        <v>-1</v>
      </c>
      <c r="BG189">
        <v>0</v>
      </c>
      <c r="BH189">
        <v>0</v>
      </c>
      <c r="BI189">
        <v>0</v>
      </c>
      <c r="BJ189">
        <v>0</v>
      </c>
      <c r="BK189">
        <v>0</v>
      </c>
      <c r="BL189">
        <v>0</v>
      </c>
      <c r="BM189">
        <v>6</v>
      </c>
      <c r="BN189">
        <v>-1</v>
      </c>
      <c r="BO189">
        <v>0</v>
      </c>
      <c r="BP189">
        <v>0</v>
      </c>
      <c r="BR189">
        <v>0</v>
      </c>
      <c r="BS189">
        <v>2</v>
      </c>
      <c r="BX189">
        <v>0</v>
      </c>
      <c r="BY189">
        <v>1116.1199999999999</v>
      </c>
      <c r="BZ189">
        <v>0</v>
      </c>
      <c r="CA189">
        <v>11.14</v>
      </c>
      <c r="CC189">
        <v>1</v>
      </c>
      <c r="CD189" s="56">
        <v>42619</v>
      </c>
      <c r="CE189" s="56">
        <v>42619</v>
      </c>
      <c r="CF189" s="56">
        <v>42619</v>
      </c>
      <c r="CG189" s="56">
        <v>42647</v>
      </c>
      <c r="CH189" s="56"/>
      <c r="CI189" s="56"/>
      <c r="CJ189">
        <v>0</v>
      </c>
      <c r="CK189">
        <v>0</v>
      </c>
      <c r="CL189">
        <v>0</v>
      </c>
      <c r="CM189">
        <v>0</v>
      </c>
      <c r="CN189">
        <v>0</v>
      </c>
      <c r="CO189">
        <v>0</v>
      </c>
      <c r="CP189">
        <v>0.65</v>
      </c>
      <c r="CQ189" t="s">
        <v>1378</v>
      </c>
      <c r="CR189" t="s">
        <v>1377</v>
      </c>
      <c r="CS189" t="s">
        <v>1451</v>
      </c>
      <c r="CT189" t="s">
        <v>1724</v>
      </c>
      <c r="CU189" t="s">
        <v>1742</v>
      </c>
      <c r="CV189" t="s">
        <v>1891</v>
      </c>
      <c r="DB189" t="s">
        <v>1888</v>
      </c>
      <c r="DE189" t="s">
        <v>1724</v>
      </c>
    </row>
    <row r="190" spans="1:109" x14ac:dyDescent="0.25">
      <c r="A190" t="s">
        <v>1378</v>
      </c>
      <c r="B190">
        <v>1</v>
      </c>
      <c r="C190" s="56">
        <v>42640</v>
      </c>
      <c r="D190" t="s">
        <v>1449</v>
      </c>
      <c r="E190" t="s">
        <v>2240</v>
      </c>
      <c r="G190" t="s">
        <v>1144</v>
      </c>
      <c r="H190" t="s">
        <v>1144</v>
      </c>
      <c r="I190" t="s">
        <v>1144</v>
      </c>
      <c r="J190" t="s">
        <v>1144</v>
      </c>
      <c r="K190" t="s">
        <v>1144</v>
      </c>
      <c r="L190">
        <v>361.87</v>
      </c>
      <c r="M190">
        <v>2</v>
      </c>
      <c r="N190">
        <v>0</v>
      </c>
      <c r="O190" s="56"/>
      <c r="P190" s="56"/>
      <c r="Q190">
        <v>13718</v>
      </c>
      <c r="R190">
        <v>9</v>
      </c>
      <c r="S190">
        <v>4</v>
      </c>
      <c r="T190">
        <v>2</v>
      </c>
      <c r="U190">
        <v>2</v>
      </c>
      <c r="V190">
        <v>1</v>
      </c>
      <c r="W190" t="s">
        <v>2379</v>
      </c>
      <c r="X190" t="s">
        <v>2386</v>
      </c>
      <c r="AA190">
        <v>0</v>
      </c>
      <c r="AB190">
        <v>0</v>
      </c>
      <c r="AC190">
        <v>0</v>
      </c>
      <c r="AD190">
        <v>0</v>
      </c>
      <c r="AE190">
        <v>0</v>
      </c>
      <c r="AF190">
        <v>0</v>
      </c>
      <c r="AG190">
        <v>0</v>
      </c>
      <c r="AJ190" s="56"/>
      <c r="AK190" s="56">
        <v>42369</v>
      </c>
      <c r="AL190" s="56"/>
      <c r="AM190">
        <v>1</v>
      </c>
      <c r="AP190" t="s">
        <v>1450</v>
      </c>
      <c r="AS190" t="s">
        <v>1152</v>
      </c>
      <c r="AT190">
        <v>1</v>
      </c>
      <c r="AV190">
        <v>1</v>
      </c>
      <c r="AW190">
        <v>1</v>
      </c>
      <c r="AX190">
        <v>0.5</v>
      </c>
      <c r="AY190" t="s">
        <v>1145</v>
      </c>
      <c r="AZ190" t="s">
        <v>1145</v>
      </c>
      <c r="BA190">
        <v>1</v>
      </c>
      <c r="BD190">
        <v>1000000000</v>
      </c>
      <c r="BE190">
        <v>1</v>
      </c>
      <c r="BF190">
        <v>0</v>
      </c>
      <c r="BG190">
        <v>0</v>
      </c>
      <c r="BH190">
        <v>0</v>
      </c>
      <c r="BI190">
        <v>0</v>
      </c>
      <c r="BJ190">
        <v>0</v>
      </c>
      <c r="BK190">
        <v>0</v>
      </c>
      <c r="BL190">
        <v>0</v>
      </c>
      <c r="BM190">
        <v>1</v>
      </c>
      <c r="BN190">
        <v>0</v>
      </c>
      <c r="BO190">
        <v>0</v>
      </c>
      <c r="BP190">
        <v>0</v>
      </c>
      <c r="BR190">
        <v>0</v>
      </c>
      <c r="BS190">
        <v>1</v>
      </c>
      <c r="BX190">
        <v>0</v>
      </c>
      <c r="BY190">
        <v>0</v>
      </c>
      <c r="BZ190">
        <v>0</v>
      </c>
      <c r="CA190">
        <v>-11.93</v>
      </c>
      <c r="CC190">
        <v>1</v>
      </c>
      <c r="CD190" s="56">
        <v>42593</v>
      </c>
      <c r="CE190" s="56">
        <v>42612</v>
      </c>
      <c r="CF190" s="56">
        <v>42612</v>
      </c>
      <c r="CG190" s="56">
        <v>42640</v>
      </c>
      <c r="CH190" s="56"/>
      <c r="CI190" s="56"/>
      <c r="CJ190">
        <v>0</v>
      </c>
      <c r="CK190">
        <v>0</v>
      </c>
      <c r="CL190">
        <v>0</v>
      </c>
      <c r="CM190">
        <v>0</v>
      </c>
      <c r="CN190">
        <v>0.71</v>
      </c>
      <c r="CO190">
        <v>0</v>
      </c>
      <c r="CP190">
        <v>0</v>
      </c>
      <c r="CQ190" t="s">
        <v>1378</v>
      </c>
      <c r="CR190" t="s">
        <v>1377</v>
      </c>
      <c r="CS190" t="s">
        <v>1451</v>
      </c>
      <c r="CT190" t="s">
        <v>1724</v>
      </c>
      <c r="CU190" t="s">
        <v>1742</v>
      </c>
      <c r="CV190" t="s">
        <v>2231</v>
      </c>
      <c r="DB190" t="s">
        <v>2134</v>
      </c>
      <c r="DE190" t="s">
        <v>1724</v>
      </c>
    </row>
    <row r="191" spans="1:109" x14ac:dyDescent="0.25">
      <c r="A191" t="s">
        <v>1378</v>
      </c>
      <c r="B191">
        <v>1</v>
      </c>
      <c r="C191" s="56">
        <v>42640</v>
      </c>
      <c r="D191" t="s">
        <v>1449</v>
      </c>
      <c r="E191" t="s">
        <v>1956</v>
      </c>
      <c r="G191" t="s">
        <v>1144</v>
      </c>
      <c r="H191" t="s">
        <v>1144</v>
      </c>
      <c r="I191" t="s">
        <v>1144</v>
      </c>
      <c r="J191" t="s">
        <v>1144</v>
      </c>
      <c r="K191" t="s">
        <v>1144</v>
      </c>
      <c r="L191">
        <v>108.96</v>
      </c>
      <c r="M191">
        <v>230.18</v>
      </c>
      <c r="N191">
        <v>0</v>
      </c>
      <c r="O191" s="56"/>
      <c r="P191" s="56"/>
      <c r="Q191">
        <v>13718</v>
      </c>
      <c r="R191">
        <v>9</v>
      </c>
      <c r="S191">
        <v>4</v>
      </c>
      <c r="T191">
        <v>2</v>
      </c>
      <c r="U191">
        <v>2</v>
      </c>
      <c r="V191">
        <v>1</v>
      </c>
      <c r="X191" t="s">
        <v>2385</v>
      </c>
      <c r="AA191">
        <v>0</v>
      </c>
      <c r="AB191">
        <v>0</v>
      </c>
      <c r="AC191">
        <v>0</v>
      </c>
      <c r="AD191">
        <v>0</v>
      </c>
      <c r="AE191">
        <v>0</v>
      </c>
      <c r="AF191">
        <v>0</v>
      </c>
      <c r="AG191">
        <v>0</v>
      </c>
      <c r="AJ191" s="56"/>
      <c r="AK191" s="56"/>
      <c r="AL191" s="56"/>
      <c r="AP191" t="s">
        <v>1450</v>
      </c>
      <c r="AS191" t="s">
        <v>1152</v>
      </c>
      <c r="AT191">
        <v>1</v>
      </c>
      <c r="AV191">
        <v>0</v>
      </c>
      <c r="AW191">
        <v>0</v>
      </c>
      <c r="AX191">
        <v>0</v>
      </c>
      <c r="AY191" t="s">
        <v>1375</v>
      </c>
      <c r="AZ191" t="s">
        <v>1375</v>
      </c>
      <c r="BA191">
        <v>2</v>
      </c>
      <c r="BD191">
        <v>1000000000</v>
      </c>
      <c r="BE191">
        <v>1</v>
      </c>
      <c r="BF191">
        <v>0</v>
      </c>
      <c r="BG191">
        <v>0</v>
      </c>
      <c r="BH191">
        <v>0</v>
      </c>
      <c r="BI191">
        <v>0</v>
      </c>
      <c r="BJ191">
        <v>0</v>
      </c>
      <c r="BK191">
        <v>0</v>
      </c>
      <c r="BL191">
        <v>0</v>
      </c>
      <c r="BM191">
        <v>1</v>
      </c>
      <c r="BN191">
        <v>0</v>
      </c>
      <c r="BO191">
        <v>0</v>
      </c>
      <c r="BP191">
        <v>0</v>
      </c>
      <c r="BR191">
        <v>0</v>
      </c>
      <c r="BS191">
        <v>0</v>
      </c>
      <c r="BX191">
        <v>0</v>
      </c>
      <c r="BY191">
        <v>0</v>
      </c>
      <c r="BZ191">
        <v>0</v>
      </c>
      <c r="CA191">
        <v>0</v>
      </c>
      <c r="CC191">
        <v>1</v>
      </c>
      <c r="CD191" s="56">
        <v>42619</v>
      </c>
      <c r="CE191" s="56">
        <v>42619</v>
      </c>
      <c r="CF191" s="56">
        <v>42619</v>
      </c>
      <c r="CG191" s="56">
        <v>42647</v>
      </c>
      <c r="CH191" s="56"/>
      <c r="CI191" s="56"/>
      <c r="CJ191">
        <v>0</v>
      </c>
      <c r="CK191">
        <v>0</v>
      </c>
      <c r="CL191">
        <v>0</v>
      </c>
      <c r="CM191">
        <v>0</v>
      </c>
      <c r="CN191">
        <v>0</v>
      </c>
      <c r="CO191">
        <v>0</v>
      </c>
      <c r="CP191">
        <v>0.65</v>
      </c>
      <c r="CQ191" t="s">
        <v>1378</v>
      </c>
      <c r="CR191" t="s">
        <v>1377</v>
      </c>
      <c r="CS191" t="s">
        <v>1451</v>
      </c>
      <c r="CT191" t="s">
        <v>1724</v>
      </c>
      <c r="CU191" t="s">
        <v>1742</v>
      </c>
      <c r="CV191" t="s">
        <v>1954</v>
      </c>
      <c r="DB191" t="s">
        <v>1869</v>
      </c>
      <c r="DE191" t="s">
        <v>1724</v>
      </c>
    </row>
    <row r="192" spans="1:109" x14ac:dyDescent="0.25">
      <c r="A192" t="s">
        <v>1378</v>
      </c>
      <c r="B192">
        <v>1</v>
      </c>
      <c r="C192" s="56">
        <v>42640</v>
      </c>
      <c r="D192" t="s">
        <v>1449</v>
      </c>
      <c r="E192" t="s">
        <v>1938</v>
      </c>
      <c r="G192" t="s">
        <v>1144</v>
      </c>
      <c r="H192" t="s">
        <v>1144</v>
      </c>
      <c r="I192" t="s">
        <v>1144</v>
      </c>
      <c r="J192" t="s">
        <v>1144</v>
      </c>
      <c r="K192" t="s">
        <v>1144</v>
      </c>
      <c r="L192">
        <v>115.03</v>
      </c>
      <c r="M192">
        <v>230.18</v>
      </c>
      <c r="N192">
        <v>0</v>
      </c>
      <c r="O192" s="56"/>
      <c r="P192" s="56"/>
      <c r="Q192">
        <v>13718</v>
      </c>
      <c r="R192">
        <v>9</v>
      </c>
      <c r="S192">
        <v>4</v>
      </c>
      <c r="T192">
        <v>2</v>
      </c>
      <c r="U192">
        <v>2</v>
      </c>
      <c r="V192">
        <v>1</v>
      </c>
      <c r="X192" t="s">
        <v>2385</v>
      </c>
      <c r="AA192">
        <v>0</v>
      </c>
      <c r="AB192">
        <v>0</v>
      </c>
      <c r="AC192">
        <v>0</v>
      </c>
      <c r="AD192">
        <v>0</v>
      </c>
      <c r="AE192">
        <v>0</v>
      </c>
      <c r="AF192">
        <v>0</v>
      </c>
      <c r="AG192">
        <v>0</v>
      </c>
      <c r="AJ192" s="56"/>
      <c r="AK192" s="56"/>
      <c r="AL192" s="56"/>
      <c r="AP192" t="s">
        <v>1450</v>
      </c>
      <c r="AS192" t="s">
        <v>1152</v>
      </c>
      <c r="AT192">
        <v>1</v>
      </c>
      <c r="AV192">
        <v>0</v>
      </c>
      <c r="AW192">
        <v>0</v>
      </c>
      <c r="AX192">
        <v>0</v>
      </c>
      <c r="AY192" t="s">
        <v>1375</v>
      </c>
      <c r="AZ192" t="s">
        <v>1375</v>
      </c>
      <c r="BA192">
        <v>2</v>
      </c>
      <c r="BD192">
        <v>1000000000</v>
      </c>
      <c r="BE192">
        <v>0</v>
      </c>
      <c r="BF192">
        <v>0</v>
      </c>
      <c r="BG192">
        <v>0</v>
      </c>
      <c r="BH192">
        <v>0</v>
      </c>
      <c r="BI192">
        <v>0</v>
      </c>
      <c r="BJ192">
        <v>0</v>
      </c>
      <c r="BK192">
        <v>0</v>
      </c>
      <c r="BL192">
        <v>0</v>
      </c>
      <c r="BM192">
        <v>0</v>
      </c>
      <c r="BN192">
        <v>0</v>
      </c>
      <c r="BO192">
        <v>0</v>
      </c>
      <c r="BP192">
        <v>0</v>
      </c>
      <c r="BR192">
        <v>0</v>
      </c>
      <c r="BS192">
        <v>0</v>
      </c>
      <c r="BX192">
        <v>0</v>
      </c>
      <c r="BY192">
        <v>0</v>
      </c>
      <c r="BZ192">
        <v>0</v>
      </c>
      <c r="CA192">
        <v>0</v>
      </c>
      <c r="CC192">
        <v>1</v>
      </c>
      <c r="CD192" s="56">
        <v>42619</v>
      </c>
      <c r="CE192" s="56">
        <v>42619</v>
      </c>
      <c r="CF192" s="56">
        <v>42619</v>
      </c>
      <c r="CG192" s="56">
        <v>42647</v>
      </c>
      <c r="CH192" s="56"/>
      <c r="CI192" s="56"/>
      <c r="CJ192">
        <v>1</v>
      </c>
      <c r="CK192">
        <v>0</v>
      </c>
      <c r="CL192">
        <v>0.65</v>
      </c>
      <c r="CM192">
        <v>0</v>
      </c>
      <c r="CN192">
        <v>0</v>
      </c>
      <c r="CO192">
        <v>0</v>
      </c>
      <c r="CP192">
        <v>0</v>
      </c>
      <c r="CQ192" t="s">
        <v>1378</v>
      </c>
      <c r="CR192" t="s">
        <v>1377</v>
      </c>
      <c r="CS192" t="s">
        <v>1451</v>
      </c>
      <c r="CT192" t="s">
        <v>1724</v>
      </c>
      <c r="CU192" t="s">
        <v>1742</v>
      </c>
      <c r="CV192" t="s">
        <v>1936</v>
      </c>
      <c r="DB192" t="s">
        <v>1869</v>
      </c>
      <c r="DE192" t="s">
        <v>1724</v>
      </c>
    </row>
    <row r="193" spans="1:109" x14ac:dyDescent="0.25">
      <c r="A193" t="s">
        <v>1378</v>
      </c>
      <c r="B193">
        <v>1</v>
      </c>
      <c r="C193" s="56">
        <v>42640</v>
      </c>
      <c r="D193" t="s">
        <v>1449</v>
      </c>
      <c r="E193" t="s">
        <v>1443</v>
      </c>
      <c r="G193" t="s">
        <v>1144</v>
      </c>
      <c r="H193" t="s">
        <v>1144</v>
      </c>
      <c r="I193" t="s">
        <v>1144</v>
      </c>
      <c r="J193" t="s">
        <v>1144</v>
      </c>
      <c r="K193" t="s">
        <v>1144</v>
      </c>
      <c r="L193">
        <v>586.42999999999995</v>
      </c>
      <c r="M193">
        <v>2</v>
      </c>
      <c r="N193">
        <v>0</v>
      </c>
      <c r="O193" s="56"/>
      <c r="P193" s="56"/>
      <c r="Q193">
        <v>13718</v>
      </c>
      <c r="R193">
        <v>9</v>
      </c>
      <c r="S193">
        <v>4</v>
      </c>
      <c r="T193">
        <v>2</v>
      </c>
      <c r="U193">
        <v>2</v>
      </c>
      <c r="V193">
        <v>1</v>
      </c>
      <c r="W193" t="s">
        <v>1376</v>
      </c>
      <c r="X193" t="s">
        <v>2385</v>
      </c>
      <c r="AA193">
        <v>0.08</v>
      </c>
      <c r="AB193">
        <v>1</v>
      </c>
      <c r="AC193">
        <v>6.25</v>
      </c>
      <c r="AD193">
        <v>6.25</v>
      </c>
      <c r="AE193">
        <v>0</v>
      </c>
      <c r="AF193">
        <v>0</v>
      </c>
      <c r="AG193">
        <v>0</v>
      </c>
      <c r="AJ193" s="56"/>
      <c r="AK193" s="56"/>
      <c r="AL193" s="56"/>
      <c r="AM193">
        <v>1</v>
      </c>
      <c r="AP193" t="s">
        <v>1450</v>
      </c>
      <c r="AS193" t="s">
        <v>1152</v>
      </c>
      <c r="AT193">
        <v>1</v>
      </c>
      <c r="AV193">
        <v>2</v>
      </c>
      <c r="AW193">
        <v>2</v>
      </c>
      <c r="AX193">
        <v>1</v>
      </c>
      <c r="AY193" t="s">
        <v>1145</v>
      </c>
      <c r="AZ193" t="s">
        <v>1145</v>
      </c>
      <c r="BA193">
        <v>3</v>
      </c>
      <c r="BD193">
        <v>1000000000</v>
      </c>
      <c r="BE193">
        <v>2</v>
      </c>
      <c r="BF193">
        <v>0</v>
      </c>
      <c r="BG193">
        <v>0</v>
      </c>
      <c r="BH193">
        <v>0</v>
      </c>
      <c r="BI193">
        <v>0</v>
      </c>
      <c r="BJ193">
        <v>0</v>
      </c>
      <c r="BK193">
        <v>0</v>
      </c>
      <c r="BL193">
        <v>0</v>
      </c>
      <c r="BM193">
        <v>2</v>
      </c>
      <c r="BN193">
        <v>0</v>
      </c>
      <c r="BO193">
        <v>0</v>
      </c>
      <c r="BP193">
        <v>0</v>
      </c>
      <c r="BR193">
        <v>0</v>
      </c>
      <c r="BS193">
        <v>1</v>
      </c>
      <c r="BX193">
        <v>0</v>
      </c>
      <c r="BY193">
        <v>0</v>
      </c>
      <c r="BZ193">
        <v>0</v>
      </c>
      <c r="CA193">
        <v>-11.96</v>
      </c>
      <c r="CC193">
        <v>1</v>
      </c>
      <c r="CD193" s="56">
        <v>42619</v>
      </c>
      <c r="CE193" s="56">
        <v>42619</v>
      </c>
      <c r="CF193" s="56">
        <v>42619</v>
      </c>
      <c r="CG193" s="56">
        <v>42647</v>
      </c>
      <c r="CH193" s="56"/>
      <c r="CI193" s="56"/>
      <c r="CJ193">
        <v>0</v>
      </c>
      <c r="CK193">
        <v>0</v>
      </c>
      <c r="CL193">
        <v>0</v>
      </c>
      <c r="CM193">
        <v>0</v>
      </c>
      <c r="CN193">
        <v>0.65</v>
      </c>
      <c r="CO193">
        <v>0</v>
      </c>
      <c r="CP193">
        <v>0</v>
      </c>
      <c r="CQ193" t="s">
        <v>1378</v>
      </c>
      <c r="CR193" t="s">
        <v>1377</v>
      </c>
      <c r="CS193" t="s">
        <v>1451</v>
      </c>
      <c r="CT193" t="s">
        <v>1724</v>
      </c>
      <c r="CU193" t="s">
        <v>1742</v>
      </c>
      <c r="CV193" t="s">
        <v>2293</v>
      </c>
      <c r="DB193" t="s">
        <v>2286</v>
      </c>
      <c r="DE193" t="s">
        <v>1724</v>
      </c>
    </row>
    <row r="194" spans="1:109" x14ac:dyDescent="0.25">
      <c r="A194" t="s">
        <v>1378</v>
      </c>
      <c r="B194">
        <v>1</v>
      </c>
      <c r="C194" s="56">
        <v>42640</v>
      </c>
      <c r="D194" t="s">
        <v>1449</v>
      </c>
      <c r="E194" t="s">
        <v>1424</v>
      </c>
      <c r="G194" t="s">
        <v>1144</v>
      </c>
      <c r="H194" t="s">
        <v>1144</v>
      </c>
      <c r="I194" t="s">
        <v>1144</v>
      </c>
      <c r="J194" t="s">
        <v>1144</v>
      </c>
      <c r="K194" t="s">
        <v>1144</v>
      </c>
      <c r="L194">
        <v>285.48</v>
      </c>
      <c r="M194">
        <v>732.52</v>
      </c>
      <c r="N194">
        <v>0</v>
      </c>
      <c r="O194" s="56"/>
      <c r="P194" s="56"/>
      <c r="Q194">
        <v>13718</v>
      </c>
      <c r="R194">
        <v>9</v>
      </c>
      <c r="S194">
        <v>4</v>
      </c>
      <c r="T194">
        <v>2</v>
      </c>
      <c r="U194">
        <v>2</v>
      </c>
      <c r="V194">
        <v>1</v>
      </c>
      <c r="W194" t="s">
        <v>1376</v>
      </c>
      <c r="X194" t="s">
        <v>2385</v>
      </c>
      <c r="AA194">
        <v>0.55000000000000004</v>
      </c>
      <c r="AB194">
        <v>4</v>
      </c>
      <c r="AC194">
        <v>2.27</v>
      </c>
      <c r="AD194">
        <v>1.36</v>
      </c>
      <c r="AE194">
        <v>0</v>
      </c>
      <c r="AF194">
        <v>0</v>
      </c>
      <c r="AG194">
        <v>0</v>
      </c>
      <c r="AJ194" s="56"/>
      <c r="AK194" s="56"/>
      <c r="AL194" s="56">
        <v>42322</v>
      </c>
      <c r="AM194">
        <v>7</v>
      </c>
      <c r="AP194" t="s">
        <v>1450</v>
      </c>
      <c r="AS194" t="s">
        <v>1152</v>
      </c>
      <c r="AT194">
        <v>1</v>
      </c>
      <c r="AV194">
        <v>5</v>
      </c>
      <c r="AW194">
        <v>3</v>
      </c>
      <c r="AX194">
        <v>2</v>
      </c>
      <c r="AY194" t="s">
        <v>1145</v>
      </c>
      <c r="AZ194" t="s">
        <v>1145</v>
      </c>
      <c r="BA194">
        <v>7</v>
      </c>
      <c r="BD194">
        <v>1000000000</v>
      </c>
      <c r="BE194">
        <v>3</v>
      </c>
      <c r="BF194">
        <v>0.4</v>
      </c>
      <c r="BG194">
        <v>0</v>
      </c>
      <c r="BH194">
        <v>0</v>
      </c>
      <c r="BI194">
        <v>0</v>
      </c>
      <c r="BJ194">
        <v>0</v>
      </c>
      <c r="BK194">
        <v>0</v>
      </c>
      <c r="BL194">
        <v>0</v>
      </c>
      <c r="BM194">
        <v>3</v>
      </c>
      <c r="BN194">
        <v>0.4</v>
      </c>
      <c r="BO194">
        <v>0</v>
      </c>
      <c r="BP194">
        <v>0</v>
      </c>
      <c r="BR194">
        <v>2</v>
      </c>
      <c r="BS194">
        <v>3</v>
      </c>
      <c r="BX194">
        <v>0</v>
      </c>
      <c r="BY194">
        <v>0</v>
      </c>
      <c r="BZ194">
        <v>0</v>
      </c>
      <c r="CA194">
        <v>18.79</v>
      </c>
      <c r="CC194">
        <v>1</v>
      </c>
      <c r="CD194" s="56">
        <v>42619</v>
      </c>
      <c r="CE194" s="56">
        <v>42619</v>
      </c>
      <c r="CF194" s="56">
        <v>42619</v>
      </c>
      <c r="CG194" s="56">
        <v>42647</v>
      </c>
      <c r="CH194" s="56"/>
      <c r="CI194" s="56"/>
      <c r="CJ194">
        <v>0.26</v>
      </c>
      <c r="CK194">
        <v>0</v>
      </c>
      <c r="CL194">
        <v>0</v>
      </c>
      <c r="CM194">
        <v>0</v>
      </c>
      <c r="CN194">
        <v>0.35</v>
      </c>
      <c r="CO194">
        <v>0.31</v>
      </c>
      <c r="CP194">
        <v>0</v>
      </c>
      <c r="CQ194" t="s">
        <v>1378</v>
      </c>
      <c r="CR194" t="s">
        <v>1377</v>
      </c>
      <c r="CS194" t="s">
        <v>1451</v>
      </c>
      <c r="CT194" t="s">
        <v>1724</v>
      </c>
      <c r="CU194" t="s">
        <v>1742</v>
      </c>
      <c r="CV194" t="s">
        <v>1998</v>
      </c>
      <c r="DB194" t="s">
        <v>1997</v>
      </c>
      <c r="DE194" t="s">
        <v>1724</v>
      </c>
    </row>
    <row r="195" spans="1:109" x14ac:dyDescent="0.25">
      <c r="A195" t="s">
        <v>1378</v>
      </c>
      <c r="B195">
        <v>1</v>
      </c>
      <c r="C195" s="56">
        <v>42640</v>
      </c>
      <c r="D195" t="s">
        <v>1449</v>
      </c>
      <c r="E195" t="s">
        <v>1746</v>
      </c>
      <c r="G195" t="s">
        <v>1144</v>
      </c>
      <c r="H195" t="s">
        <v>1144</v>
      </c>
      <c r="I195" t="s">
        <v>1144</v>
      </c>
      <c r="J195" t="s">
        <v>1144</v>
      </c>
      <c r="K195" t="s">
        <v>1144</v>
      </c>
      <c r="L195">
        <v>3.24</v>
      </c>
      <c r="M195">
        <v>71.27</v>
      </c>
      <c r="N195">
        <v>0</v>
      </c>
      <c r="O195" s="56"/>
      <c r="P195" s="56"/>
      <c r="Q195">
        <v>13718</v>
      </c>
      <c r="R195">
        <v>9</v>
      </c>
      <c r="S195">
        <v>4</v>
      </c>
      <c r="T195">
        <v>2</v>
      </c>
      <c r="U195">
        <v>2</v>
      </c>
      <c r="V195">
        <v>1</v>
      </c>
      <c r="X195" t="s">
        <v>2386</v>
      </c>
      <c r="AA195">
        <v>0</v>
      </c>
      <c r="AB195">
        <v>0</v>
      </c>
      <c r="AC195">
        <v>0</v>
      </c>
      <c r="AD195">
        <v>0</v>
      </c>
      <c r="AE195">
        <v>0</v>
      </c>
      <c r="AF195">
        <v>0</v>
      </c>
      <c r="AG195">
        <v>0</v>
      </c>
      <c r="AJ195" s="56"/>
      <c r="AK195" s="56"/>
      <c r="AL195" s="56"/>
      <c r="AM195">
        <v>3</v>
      </c>
      <c r="AP195" t="s">
        <v>1450</v>
      </c>
      <c r="AR195">
        <v>3</v>
      </c>
      <c r="AS195" t="s">
        <v>1152</v>
      </c>
      <c r="AT195">
        <v>1</v>
      </c>
      <c r="AV195">
        <v>3</v>
      </c>
      <c r="AW195">
        <v>2</v>
      </c>
      <c r="AX195">
        <v>1</v>
      </c>
      <c r="AY195" t="s">
        <v>1147</v>
      </c>
      <c r="AZ195" t="s">
        <v>1147</v>
      </c>
      <c r="BA195">
        <v>3</v>
      </c>
      <c r="BD195">
        <v>1000000000</v>
      </c>
      <c r="BE195">
        <v>5</v>
      </c>
      <c r="BF195">
        <v>-0.67</v>
      </c>
      <c r="BG195">
        <v>0</v>
      </c>
      <c r="BH195">
        <v>0</v>
      </c>
      <c r="BI195">
        <v>0</v>
      </c>
      <c r="BJ195">
        <v>0</v>
      </c>
      <c r="BK195">
        <v>0</v>
      </c>
      <c r="BL195">
        <v>0</v>
      </c>
      <c r="BM195">
        <v>5</v>
      </c>
      <c r="BN195">
        <v>-0.67</v>
      </c>
      <c r="BO195">
        <v>0</v>
      </c>
      <c r="BP195">
        <v>0</v>
      </c>
      <c r="BR195">
        <v>0</v>
      </c>
      <c r="BS195">
        <v>2</v>
      </c>
      <c r="BX195">
        <v>0</v>
      </c>
      <c r="BY195">
        <v>6.48</v>
      </c>
      <c r="BZ195">
        <v>0</v>
      </c>
      <c r="CA195">
        <v>251.96</v>
      </c>
      <c r="CC195">
        <v>1</v>
      </c>
      <c r="CD195" s="56">
        <v>42593</v>
      </c>
      <c r="CE195" s="56">
        <v>42612</v>
      </c>
      <c r="CF195" s="56">
        <v>42612</v>
      </c>
      <c r="CG195" s="56">
        <v>42640</v>
      </c>
      <c r="CH195" s="56"/>
      <c r="CI195" s="56"/>
      <c r="CJ195">
        <v>0</v>
      </c>
      <c r="CK195">
        <v>0</v>
      </c>
      <c r="CL195">
        <v>0</v>
      </c>
      <c r="CM195">
        <v>0</v>
      </c>
      <c r="CN195">
        <v>0</v>
      </c>
      <c r="CO195">
        <v>0</v>
      </c>
      <c r="CP195">
        <v>0.71</v>
      </c>
      <c r="CQ195" t="s">
        <v>1378</v>
      </c>
      <c r="CR195" t="s">
        <v>1377</v>
      </c>
      <c r="CS195" t="s">
        <v>1451</v>
      </c>
      <c r="CT195" t="s">
        <v>1724</v>
      </c>
      <c r="CU195" t="s">
        <v>1742</v>
      </c>
      <c r="CV195" t="s">
        <v>1747</v>
      </c>
      <c r="DB195" t="s">
        <v>1744</v>
      </c>
      <c r="DE195" t="s">
        <v>1724</v>
      </c>
    </row>
    <row r="196" spans="1:109" x14ac:dyDescent="0.25">
      <c r="A196" t="s">
        <v>1378</v>
      </c>
      <c r="B196">
        <v>1</v>
      </c>
      <c r="C196" s="56">
        <v>42640</v>
      </c>
      <c r="D196" t="s">
        <v>1449</v>
      </c>
      <c r="E196" t="s">
        <v>1739</v>
      </c>
      <c r="G196" t="s">
        <v>1144</v>
      </c>
      <c r="H196" t="s">
        <v>1144</v>
      </c>
      <c r="I196" t="s">
        <v>1144</v>
      </c>
      <c r="J196" t="s">
        <v>1144</v>
      </c>
      <c r="K196" t="s">
        <v>1144</v>
      </c>
      <c r="L196">
        <v>1178.23</v>
      </c>
      <c r="M196">
        <v>2</v>
      </c>
      <c r="N196">
        <v>0</v>
      </c>
      <c r="O196" s="56"/>
      <c r="P196" s="56"/>
      <c r="Q196">
        <v>13718</v>
      </c>
      <c r="R196">
        <v>9</v>
      </c>
      <c r="S196">
        <v>4</v>
      </c>
      <c r="T196">
        <v>2</v>
      </c>
      <c r="U196">
        <v>2</v>
      </c>
      <c r="V196">
        <v>1</v>
      </c>
      <c r="W196" t="s">
        <v>2379</v>
      </c>
      <c r="X196" t="s">
        <v>2387</v>
      </c>
      <c r="AA196">
        <v>0</v>
      </c>
      <c r="AB196">
        <v>0</v>
      </c>
      <c r="AC196">
        <v>0</v>
      </c>
      <c r="AD196">
        <v>0</v>
      </c>
      <c r="AE196">
        <v>0</v>
      </c>
      <c r="AF196">
        <v>0</v>
      </c>
      <c r="AG196">
        <v>0</v>
      </c>
      <c r="AJ196" s="56"/>
      <c r="AK196" s="56">
        <v>42369</v>
      </c>
      <c r="AL196" s="56"/>
      <c r="AM196">
        <v>1</v>
      </c>
      <c r="AP196" t="s">
        <v>1450</v>
      </c>
      <c r="AS196" t="s">
        <v>1152</v>
      </c>
      <c r="AT196">
        <v>1</v>
      </c>
      <c r="AV196">
        <v>5</v>
      </c>
      <c r="AW196">
        <v>3</v>
      </c>
      <c r="AX196">
        <v>2</v>
      </c>
      <c r="AY196" t="s">
        <v>1146</v>
      </c>
      <c r="AZ196" t="s">
        <v>1146</v>
      </c>
      <c r="BA196">
        <v>1</v>
      </c>
      <c r="BD196">
        <v>1000000000</v>
      </c>
      <c r="BE196">
        <v>2</v>
      </c>
      <c r="BF196">
        <v>0.6</v>
      </c>
      <c r="BG196">
        <v>0</v>
      </c>
      <c r="BH196">
        <v>0</v>
      </c>
      <c r="BI196">
        <v>0</v>
      </c>
      <c r="BJ196">
        <v>0</v>
      </c>
      <c r="BK196">
        <v>0</v>
      </c>
      <c r="BL196">
        <v>0</v>
      </c>
      <c r="BM196">
        <v>2</v>
      </c>
      <c r="BN196">
        <v>0.6</v>
      </c>
      <c r="BO196">
        <v>0</v>
      </c>
      <c r="BP196">
        <v>0</v>
      </c>
      <c r="BR196">
        <v>3</v>
      </c>
      <c r="BS196">
        <v>3</v>
      </c>
      <c r="BX196">
        <v>0</v>
      </c>
      <c r="BY196">
        <v>0</v>
      </c>
      <c r="BZ196">
        <v>0</v>
      </c>
      <c r="CA196">
        <v>-11.98</v>
      </c>
      <c r="CC196">
        <v>1</v>
      </c>
      <c r="CD196" s="56">
        <v>42592</v>
      </c>
      <c r="CE196" s="56">
        <v>42612</v>
      </c>
      <c r="CF196" s="56">
        <v>42612</v>
      </c>
      <c r="CG196" s="56">
        <v>42640</v>
      </c>
      <c r="CH196" s="56"/>
      <c r="CI196" s="56"/>
      <c r="CJ196">
        <v>0</v>
      </c>
      <c r="CK196">
        <v>0</v>
      </c>
      <c r="CL196">
        <v>0</v>
      </c>
      <c r="CM196">
        <v>0.71</v>
      </c>
      <c r="CN196">
        <v>0</v>
      </c>
      <c r="CO196">
        <v>0</v>
      </c>
      <c r="CP196">
        <v>0</v>
      </c>
      <c r="CQ196" t="s">
        <v>1378</v>
      </c>
      <c r="CR196" t="s">
        <v>1377</v>
      </c>
      <c r="CS196" t="s">
        <v>1451</v>
      </c>
      <c r="CT196" t="s">
        <v>1724</v>
      </c>
      <c r="CU196" t="s">
        <v>1742</v>
      </c>
      <c r="CV196" t="s">
        <v>2348</v>
      </c>
      <c r="DB196" t="s">
        <v>2145</v>
      </c>
      <c r="DE196" t="s">
        <v>1724</v>
      </c>
    </row>
    <row r="197" spans="1:109" x14ac:dyDescent="0.25">
      <c r="A197" t="s">
        <v>1378</v>
      </c>
      <c r="B197">
        <v>1</v>
      </c>
      <c r="C197" s="56">
        <v>42640</v>
      </c>
      <c r="D197" t="s">
        <v>1449</v>
      </c>
      <c r="E197" t="s">
        <v>2049</v>
      </c>
      <c r="G197" t="s">
        <v>1144</v>
      </c>
      <c r="H197" t="s">
        <v>1144</v>
      </c>
      <c r="I197" t="s">
        <v>1144</v>
      </c>
      <c r="J197" t="s">
        <v>1144</v>
      </c>
      <c r="K197" t="s">
        <v>1144</v>
      </c>
      <c r="L197">
        <v>220.8</v>
      </c>
      <c r="M197">
        <v>2</v>
      </c>
      <c r="N197">
        <v>0</v>
      </c>
      <c r="O197" s="56"/>
      <c r="P197" s="56"/>
      <c r="Q197">
        <v>13718</v>
      </c>
      <c r="R197">
        <v>9</v>
      </c>
      <c r="S197">
        <v>4</v>
      </c>
      <c r="T197">
        <v>2</v>
      </c>
      <c r="U197">
        <v>2</v>
      </c>
      <c r="V197">
        <v>1</v>
      </c>
      <c r="W197" t="s">
        <v>2379</v>
      </c>
      <c r="X197" t="s">
        <v>2386</v>
      </c>
      <c r="AA197">
        <v>0</v>
      </c>
      <c r="AB197">
        <v>0</v>
      </c>
      <c r="AC197">
        <v>0</v>
      </c>
      <c r="AD197">
        <v>0</v>
      </c>
      <c r="AE197">
        <v>0</v>
      </c>
      <c r="AF197">
        <v>0</v>
      </c>
      <c r="AG197">
        <v>0</v>
      </c>
      <c r="AJ197" s="56"/>
      <c r="AK197" s="56">
        <v>42369</v>
      </c>
      <c r="AL197" s="56"/>
      <c r="AM197">
        <v>1</v>
      </c>
      <c r="AP197" t="s">
        <v>1450</v>
      </c>
      <c r="AS197" t="s">
        <v>1152</v>
      </c>
      <c r="AT197">
        <v>1</v>
      </c>
      <c r="AV197">
        <v>1</v>
      </c>
      <c r="AW197">
        <v>1</v>
      </c>
      <c r="AX197">
        <v>0.5</v>
      </c>
      <c r="AY197" t="s">
        <v>1145</v>
      </c>
      <c r="AZ197" t="s">
        <v>1145</v>
      </c>
      <c r="BA197">
        <v>1</v>
      </c>
      <c r="BD197">
        <v>1000000000</v>
      </c>
      <c r="BE197">
        <v>1</v>
      </c>
      <c r="BF197">
        <v>0</v>
      </c>
      <c r="BG197">
        <v>0</v>
      </c>
      <c r="BH197">
        <v>0</v>
      </c>
      <c r="BI197">
        <v>0</v>
      </c>
      <c r="BJ197">
        <v>0</v>
      </c>
      <c r="BK197">
        <v>0</v>
      </c>
      <c r="BL197">
        <v>0</v>
      </c>
      <c r="BM197">
        <v>1</v>
      </c>
      <c r="BN197">
        <v>0</v>
      </c>
      <c r="BO197">
        <v>0</v>
      </c>
      <c r="BP197">
        <v>0</v>
      </c>
      <c r="BR197">
        <v>0</v>
      </c>
      <c r="BS197">
        <v>1</v>
      </c>
      <c r="BX197">
        <v>0</v>
      </c>
      <c r="BY197">
        <v>0</v>
      </c>
      <c r="BZ197">
        <v>0</v>
      </c>
      <c r="CA197">
        <v>-11.89</v>
      </c>
      <c r="CC197">
        <v>1</v>
      </c>
      <c r="CD197" s="56">
        <v>42593</v>
      </c>
      <c r="CE197" s="56">
        <v>42612</v>
      </c>
      <c r="CF197" s="56">
        <v>42612</v>
      </c>
      <c r="CG197" s="56">
        <v>42640</v>
      </c>
      <c r="CH197" s="56"/>
      <c r="CI197" s="56"/>
      <c r="CJ197">
        <v>0</v>
      </c>
      <c r="CK197">
        <v>0</v>
      </c>
      <c r="CL197">
        <v>0</v>
      </c>
      <c r="CM197">
        <v>0</v>
      </c>
      <c r="CN197">
        <v>0.71</v>
      </c>
      <c r="CO197">
        <v>0</v>
      </c>
      <c r="CP197">
        <v>0</v>
      </c>
      <c r="CQ197" t="s">
        <v>1378</v>
      </c>
      <c r="CR197" t="s">
        <v>1377</v>
      </c>
      <c r="CS197" t="s">
        <v>1451</v>
      </c>
      <c r="CT197" t="s">
        <v>1724</v>
      </c>
      <c r="CU197" t="s">
        <v>1742</v>
      </c>
      <c r="CV197" t="s">
        <v>2050</v>
      </c>
      <c r="DB197" t="s">
        <v>2014</v>
      </c>
      <c r="DE197" t="s">
        <v>1724</v>
      </c>
    </row>
    <row r="198" spans="1:109" x14ac:dyDescent="0.25">
      <c r="A198" t="s">
        <v>1378</v>
      </c>
      <c r="B198">
        <v>1</v>
      </c>
      <c r="C198" s="56">
        <v>42640</v>
      </c>
      <c r="D198" t="s">
        <v>1449</v>
      </c>
      <c r="E198" t="s">
        <v>1736</v>
      </c>
      <c r="G198" t="s">
        <v>1144</v>
      </c>
      <c r="H198" t="s">
        <v>1144</v>
      </c>
      <c r="I198" t="s">
        <v>1144</v>
      </c>
      <c r="J198" t="s">
        <v>1144</v>
      </c>
      <c r="K198" t="s">
        <v>1144</v>
      </c>
      <c r="L198">
        <v>175.91</v>
      </c>
      <c r="M198">
        <v>2</v>
      </c>
      <c r="N198">
        <v>0</v>
      </c>
      <c r="O198" s="56"/>
      <c r="P198" s="56"/>
      <c r="Q198">
        <v>13718</v>
      </c>
      <c r="R198">
        <v>9</v>
      </c>
      <c r="S198">
        <v>4</v>
      </c>
      <c r="T198">
        <v>2</v>
      </c>
      <c r="U198">
        <v>2</v>
      </c>
      <c r="V198">
        <v>1</v>
      </c>
      <c r="W198" t="s">
        <v>2379</v>
      </c>
      <c r="X198" t="s">
        <v>2387</v>
      </c>
      <c r="AA198">
        <v>0.04</v>
      </c>
      <c r="AB198">
        <v>1</v>
      </c>
      <c r="AC198">
        <v>12.5</v>
      </c>
      <c r="AD198">
        <v>12.5</v>
      </c>
      <c r="AE198">
        <v>0</v>
      </c>
      <c r="AF198">
        <v>0</v>
      </c>
      <c r="AG198">
        <v>0</v>
      </c>
      <c r="AJ198" s="56"/>
      <c r="AK198" s="56">
        <v>42369</v>
      </c>
      <c r="AL198" s="56"/>
      <c r="AM198">
        <v>1</v>
      </c>
      <c r="AP198" t="s">
        <v>1450</v>
      </c>
      <c r="AS198" t="s">
        <v>1152</v>
      </c>
      <c r="AT198">
        <v>1</v>
      </c>
      <c r="AV198">
        <v>2</v>
      </c>
      <c r="AW198">
        <v>2</v>
      </c>
      <c r="AX198">
        <v>1</v>
      </c>
      <c r="AY198" t="s">
        <v>1145</v>
      </c>
      <c r="AZ198" t="s">
        <v>1145</v>
      </c>
      <c r="BA198">
        <v>1</v>
      </c>
      <c r="BD198">
        <v>1000000000</v>
      </c>
      <c r="BE198">
        <v>2</v>
      </c>
      <c r="BF198">
        <v>0</v>
      </c>
      <c r="BG198">
        <v>0</v>
      </c>
      <c r="BH198">
        <v>0</v>
      </c>
      <c r="BI198">
        <v>0</v>
      </c>
      <c r="BJ198">
        <v>0</v>
      </c>
      <c r="BK198">
        <v>0</v>
      </c>
      <c r="BL198">
        <v>0</v>
      </c>
      <c r="BM198">
        <v>2</v>
      </c>
      <c r="BN198">
        <v>0</v>
      </c>
      <c r="BO198">
        <v>0</v>
      </c>
      <c r="BP198">
        <v>0</v>
      </c>
      <c r="BR198">
        <v>0</v>
      </c>
      <c r="BS198">
        <v>1</v>
      </c>
      <c r="BX198">
        <v>0</v>
      </c>
      <c r="BY198">
        <v>0</v>
      </c>
      <c r="BZ198">
        <v>0</v>
      </c>
      <c r="CA198">
        <v>-11.86</v>
      </c>
      <c r="CC198">
        <v>1</v>
      </c>
      <c r="CD198" s="56">
        <v>42592</v>
      </c>
      <c r="CE198" s="56">
        <v>42612</v>
      </c>
      <c r="CF198" s="56">
        <v>42612</v>
      </c>
      <c r="CG198" s="56">
        <v>42640</v>
      </c>
      <c r="CH198" s="56"/>
      <c r="CI198" s="56"/>
      <c r="CJ198">
        <v>0</v>
      </c>
      <c r="CK198">
        <v>0</v>
      </c>
      <c r="CL198">
        <v>0</v>
      </c>
      <c r="CM198">
        <v>0</v>
      </c>
      <c r="CN198">
        <v>0.71</v>
      </c>
      <c r="CO198">
        <v>0</v>
      </c>
      <c r="CP198">
        <v>0</v>
      </c>
      <c r="CQ198" t="s">
        <v>1378</v>
      </c>
      <c r="CR198" t="s">
        <v>1377</v>
      </c>
      <c r="CS198" t="s">
        <v>1451</v>
      </c>
      <c r="CT198" t="s">
        <v>1724</v>
      </c>
      <c r="CU198" t="s">
        <v>1742</v>
      </c>
      <c r="CV198" t="s">
        <v>2100</v>
      </c>
      <c r="DB198" t="s">
        <v>2014</v>
      </c>
      <c r="DE198" t="s">
        <v>1724</v>
      </c>
    </row>
    <row r="199" spans="1:109" x14ac:dyDescent="0.25">
      <c r="A199" t="s">
        <v>1378</v>
      </c>
      <c r="B199">
        <v>1</v>
      </c>
      <c r="C199" s="56">
        <v>42640</v>
      </c>
      <c r="D199" t="s">
        <v>1449</v>
      </c>
      <c r="E199" t="s">
        <v>1395</v>
      </c>
      <c r="G199" t="s">
        <v>1144</v>
      </c>
      <c r="H199" t="s">
        <v>1144</v>
      </c>
      <c r="I199" t="s">
        <v>1144</v>
      </c>
      <c r="J199" t="s">
        <v>1144</v>
      </c>
      <c r="K199" t="s">
        <v>1144</v>
      </c>
      <c r="L199">
        <v>93.09</v>
      </c>
      <c r="M199">
        <v>230.18</v>
      </c>
      <c r="N199">
        <v>0</v>
      </c>
      <c r="O199" s="56"/>
      <c r="P199" s="56"/>
      <c r="Q199">
        <v>13718</v>
      </c>
      <c r="R199">
        <v>9</v>
      </c>
      <c r="S199">
        <v>4</v>
      </c>
      <c r="T199">
        <v>2</v>
      </c>
      <c r="U199">
        <v>2</v>
      </c>
      <c r="V199">
        <v>1</v>
      </c>
      <c r="X199" t="s">
        <v>2385</v>
      </c>
      <c r="AA199">
        <v>0.08</v>
      </c>
      <c r="AB199">
        <v>1</v>
      </c>
      <c r="AC199">
        <v>12.5</v>
      </c>
      <c r="AD199">
        <v>21.88</v>
      </c>
      <c r="AE199">
        <v>0</v>
      </c>
      <c r="AF199">
        <v>0</v>
      </c>
      <c r="AG199">
        <v>0</v>
      </c>
      <c r="AJ199" s="56">
        <v>42666</v>
      </c>
      <c r="AK199" s="56"/>
      <c r="AL199" s="56"/>
      <c r="AM199">
        <v>6</v>
      </c>
      <c r="AP199" t="s">
        <v>1450</v>
      </c>
      <c r="AS199" t="s">
        <v>1152</v>
      </c>
      <c r="AT199">
        <v>1</v>
      </c>
      <c r="AV199">
        <v>4</v>
      </c>
      <c r="AW199">
        <v>3</v>
      </c>
      <c r="AX199">
        <v>1</v>
      </c>
      <c r="AY199" t="s">
        <v>1147</v>
      </c>
      <c r="AZ199" t="s">
        <v>1147</v>
      </c>
      <c r="BA199">
        <v>6</v>
      </c>
      <c r="BD199">
        <v>1000000000</v>
      </c>
      <c r="BE199">
        <v>7</v>
      </c>
      <c r="BF199">
        <v>-0.75</v>
      </c>
      <c r="BG199">
        <v>0</v>
      </c>
      <c r="BH199">
        <v>0</v>
      </c>
      <c r="BI199">
        <v>0</v>
      </c>
      <c r="BJ199">
        <v>0</v>
      </c>
      <c r="BK199">
        <v>0</v>
      </c>
      <c r="BL199">
        <v>0</v>
      </c>
      <c r="BM199">
        <v>7</v>
      </c>
      <c r="BN199">
        <v>-0.75</v>
      </c>
      <c r="BO199">
        <v>0</v>
      </c>
      <c r="BP199">
        <v>0</v>
      </c>
      <c r="BR199">
        <v>0</v>
      </c>
      <c r="BS199">
        <v>2</v>
      </c>
      <c r="BX199">
        <v>0</v>
      </c>
      <c r="BY199">
        <v>279.27</v>
      </c>
      <c r="BZ199">
        <v>0</v>
      </c>
      <c r="CA199">
        <v>17.670000000000002</v>
      </c>
      <c r="CC199">
        <v>1</v>
      </c>
      <c r="CD199" s="56">
        <v>42619</v>
      </c>
      <c r="CE199" s="56">
        <v>42619</v>
      </c>
      <c r="CF199" s="56">
        <v>42619</v>
      </c>
      <c r="CG199" s="56">
        <v>42647</v>
      </c>
      <c r="CH199" s="56"/>
      <c r="CI199" s="56"/>
      <c r="CJ199">
        <v>0</v>
      </c>
      <c r="CK199">
        <v>0</v>
      </c>
      <c r="CL199">
        <v>0</v>
      </c>
      <c r="CM199">
        <v>0</v>
      </c>
      <c r="CN199">
        <v>0</v>
      </c>
      <c r="CO199">
        <v>0</v>
      </c>
      <c r="CP199">
        <v>0.65</v>
      </c>
      <c r="CQ199" t="s">
        <v>1378</v>
      </c>
      <c r="CR199" t="s">
        <v>1377</v>
      </c>
      <c r="CS199" t="s">
        <v>1451</v>
      </c>
      <c r="CT199" t="s">
        <v>1724</v>
      </c>
      <c r="CU199" t="s">
        <v>1742</v>
      </c>
      <c r="CV199" t="s">
        <v>1875</v>
      </c>
      <c r="DB199" t="s">
        <v>1869</v>
      </c>
      <c r="DE199" t="s">
        <v>1724</v>
      </c>
    </row>
    <row r="200" spans="1:109" x14ac:dyDescent="0.25">
      <c r="A200" t="s">
        <v>1378</v>
      </c>
      <c r="B200">
        <v>1</v>
      </c>
      <c r="C200" s="56">
        <v>42640</v>
      </c>
      <c r="D200" t="s">
        <v>1449</v>
      </c>
      <c r="E200" t="s">
        <v>2228</v>
      </c>
      <c r="G200" t="s">
        <v>1144</v>
      </c>
      <c r="H200" t="s">
        <v>1144</v>
      </c>
      <c r="I200" t="s">
        <v>1144</v>
      </c>
      <c r="J200" t="s">
        <v>1144</v>
      </c>
      <c r="K200" t="s">
        <v>1144</v>
      </c>
      <c r="L200">
        <v>262.02</v>
      </c>
      <c r="M200">
        <v>2</v>
      </c>
      <c r="N200">
        <v>0</v>
      </c>
      <c r="O200" s="56"/>
      <c r="P200" s="56"/>
      <c r="Q200">
        <v>13718</v>
      </c>
      <c r="R200">
        <v>9</v>
      </c>
      <c r="S200">
        <v>4</v>
      </c>
      <c r="T200">
        <v>2</v>
      </c>
      <c r="U200">
        <v>2</v>
      </c>
      <c r="V200">
        <v>1</v>
      </c>
      <c r="X200" t="s">
        <v>2386</v>
      </c>
      <c r="AA200">
        <v>0</v>
      </c>
      <c r="AB200">
        <v>0</v>
      </c>
      <c r="AC200">
        <v>0</v>
      </c>
      <c r="AD200">
        <v>0</v>
      </c>
      <c r="AE200">
        <v>0</v>
      </c>
      <c r="AF200">
        <v>0</v>
      </c>
      <c r="AG200">
        <v>0</v>
      </c>
      <c r="AJ200" s="56"/>
      <c r="AK200" s="56"/>
      <c r="AL200" s="56"/>
      <c r="AM200">
        <v>1</v>
      </c>
      <c r="AP200" t="s">
        <v>1450</v>
      </c>
      <c r="AS200" t="s">
        <v>1152</v>
      </c>
      <c r="AT200">
        <v>1</v>
      </c>
      <c r="AV200">
        <v>1</v>
      </c>
      <c r="AW200">
        <v>1</v>
      </c>
      <c r="AX200">
        <v>0.5</v>
      </c>
      <c r="AY200" t="s">
        <v>1147</v>
      </c>
      <c r="AZ200" t="s">
        <v>1147</v>
      </c>
      <c r="BA200">
        <v>1</v>
      </c>
      <c r="BD200">
        <v>1000000000</v>
      </c>
      <c r="BE200">
        <v>2</v>
      </c>
      <c r="BF200">
        <v>-1</v>
      </c>
      <c r="BG200">
        <v>0</v>
      </c>
      <c r="BH200">
        <v>0</v>
      </c>
      <c r="BI200">
        <v>0</v>
      </c>
      <c r="BJ200">
        <v>0</v>
      </c>
      <c r="BK200">
        <v>0</v>
      </c>
      <c r="BL200">
        <v>0</v>
      </c>
      <c r="BM200">
        <v>2</v>
      </c>
      <c r="BN200">
        <v>-1</v>
      </c>
      <c r="BO200">
        <v>0</v>
      </c>
      <c r="BP200">
        <v>0</v>
      </c>
      <c r="BR200">
        <v>0</v>
      </c>
      <c r="BS200">
        <v>1</v>
      </c>
      <c r="BX200">
        <v>0</v>
      </c>
      <c r="BY200">
        <v>262.02</v>
      </c>
      <c r="BZ200">
        <v>0</v>
      </c>
      <c r="CA200">
        <v>-11.91</v>
      </c>
      <c r="CC200">
        <v>1</v>
      </c>
      <c r="CD200" s="56">
        <v>42593</v>
      </c>
      <c r="CE200" s="56">
        <v>42612</v>
      </c>
      <c r="CF200" s="56">
        <v>42612</v>
      </c>
      <c r="CG200" s="56">
        <v>42640</v>
      </c>
      <c r="CH200" s="56"/>
      <c r="CI200" s="56"/>
      <c r="CJ200">
        <v>0</v>
      </c>
      <c r="CK200">
        <v>0</v>
      </c>
      <c r="CL200">
        <v>0</v>
      </c>
      <c r="CM200">
        <v>0</v>
      </c>
      <c r="CN200">
        <v>0</v>
      </c>
      <c r="CO200">
        <v>0</v>
      </c>
      <c r="CP200">
        <v>0.71</v>
      </c>
      <c r="CQ200" t="s">
        <v>1378</v>
      </c>
      <c r="CR200" t="s">
        <v>1377</v>
      </c>
      <c r="CS200" t="s">
        <v>1451</v>
      </c>
      <c r="CT200" t="s">
        <v>1724</v>
      </c>
      <c r="CU200" t="s">
        <v>1742</v>
      </c>
      <c r="CV200" t="s">
        <v>2229</v>
      </c>
      <c r="DB200" t="s">
        <v>2161</v>
      </c>
      <c r="DE200" t="s">
        <v>1724</v>
      </c>
    </row>
    <row r="201" spans="1:109" x14ac:dyDescent="0.25">
      <c r="A201" t="s">
        <v>1378</v>
      </c>
      <c r="B201">
        <v>1</v>
      </c>
      <c r="C201" s="56">
        <v>42640</v>
      </c>
      <c r="D201" t="s">
        <v>1449</v>
      </c>
      <c r="E201" t="s">
        <v>1946</v>
      </c>
      <c r="G201" t="s">
        <v>1144</v>
      </c>
      <c r="H201" t="s">
        <v>1144</v>
      </c>
      <c r="I201" t="s">
        <v>1144</v>
      </c>
      <c r="J201" t="s">
        <v>1144</v>
      </c>
      <c r="K201" t="s">
        <v>1144</v>
      </c>
      <c r="L201">
        <v>114.04</v>
      </c>
      <c r="M201">
        <v>230.18</v>
      </c>
      <c r="N201">
        <v>0</v>
      </c>
      <c r="O201" s="56"/>
      <c r="P201" s="56"/>
      <c r="Q201">
        <v>13718</v>
      </c>
      <c r="R201">
        <v>9</v>
      </c>
      <c r="S201">
        <v>4</v>
      </c>
      <c r="T201">
        <v>2</v>
      </c>
      <c r="U201">
        <v>2</v>
      </c>
      <c r="V201">
        <v>1</v>
      </c>
      <c r="X201" t="s">
        <v>2385</v>
      </c>
      <c r="AA201">
        <v>0</v>
      </c>
      <c r="AB201">
        <v>0</v>
      </c>
      <c r="AC201">
        <v>0</v>
      </c>
      <c r="AD201">
        <v>0</v>
      </c>
      <c r="AE201">
        <v>0</v>
      </c>
      <c r="AF201">
        <v>0</v>
      </c>
      <c r="AG201">
        <v>0</v>
      </c>
      <c r="AJ201" s="56"/>
      <c r="AK201" s="56"/>
      <c r="AL201" s="56"/>
      <c r="AP201" t="s">
        <v>1450</v>
      </c>
      <c r="AS201" t="s">
        <v>1152</v>
      </c>
      <c r="AT201">
        <v>1</v>
      </c>
      <c r="AV201">
        <v>0</v>
      </c>
      <c r="AW201">
        <v>0</v>
      </c>
      <c r="AX201">
        <v>0</v>
      </c>
      <c r="AY201" t="s">
        <v>1375</v>
      </c>
      <c r="AZ201" t="s">
        <v>1375</v>
      </c>
      <c r="BA201">
        <v>2</v>
      </c>
      <c r="BD201">
        <v>1000000000</v>
      </c>
      <c r="BE201">
        <v>0</v>
      </c>
      <c r="BF201">
        <v>0</v>
      </c>
      <c r="BG201">
        <v>0</v>
      </c>
      <c r="BH201">
        <v>0</v>
      </c>
      <c r="BI201">
        <v>0</v>
      </c>
      <c r="BJ201">
        <v>0</v>
      </c>
      <c r="BK201">
        <v>0</v>
      </c>
      <c r="BL201">
        <v>0</v>
      </c>
      <c r="BM201">
        <v>0</v>
      </c>
      <c r="BN201">
        <v>0</v>
      </c>
      <c r="BO201">
        <v>0</v>
      </c>
      <c r="BP201">
        <v>0</v>
      </c>
      <c r="BR201">
        <v>0</v>
      </c>
      <c r="BS201">
        <v>0</v>
      </c>
      <c r="BX201">
        <v>0</v>
      </c>
      <c r="BY201">
        <v>0</v>
      </c>
      <c r="BZ201">
        <v>0</v>
      </c>
      <c r="CA201">
        <v>0</v>
      </c>
      <c r="CC201">
        <v>1</v>
      </c>
      <c r="CD201" s="56">
        <v>42619</v>
      </c>
      <c r="CE201" s="56">
        <v>42619</v>
      </c>
      <c r="CF201" s="56">
        <v>42619</v>
      </c>
      <c r="CG201" s="56">
        <v>42647</v>
      </c>
      <c r="CH201" s="56"/>
      <c r="CI201" s="56"/>
      <c r="CJ201">
        <v>1</v>
      </c>
      <c r="CK201">
        <v>0</v>
      </c>
      <c r="CL201">
        <v>0.65</v>
      </c>
      <c r="CM201">
        <v>0</v>
      </c>
      <c r="CN201">
        <v>0</v>
      </c>
      <c r="CO201">
        <v>0</v>
      </c>
      <c r="CP201">
        <v>0</v>
      </c>
      <c r="CQ201" t="s">
        <v>1378</v>
      </c>
      <c r="CR201" t="s">
        <v>1377</v>
      </c>
      <c r="CS201" t="s">
        <v>1451</v>
      </c>
      <c r="CT201" t="s">
        <v>1724</v>
      </c>
      <c r="CU201" t="s">
        <v>1742</v>
      </c>
      <c r="CV201" t="s">
        <v>1945</v>
      </c>
      <c r="DB201" t="s">
        <v>1869</v>
      </c>
      <c r="DE201" t="s">
        <v>1724</v>
      </c>
    </row>
    <row r="202" spans="1:109" x14ac:dyDescent="0.25">
      <c r="A202" t="s">
        <v>1378</v>
      </c>
      <c r="B202">
        <v>1</v>
      </c>
      <c r="C202" s="56">
        <v>42640</v>
      </c>
      <c r="D202" t="s">
        <v>1449</v>
      </c>
      <c r="E202" t="s">
        <v>1405</v>
      </c>
      <c r="G202" t="s">
        <v>1144</v>
      </c>
      <c r="H202" t="s">
        <v>1144</v>
      </c>
      <c r="I202" t="s">
        <v>1144</v>
      </c>
      <c r="J202" t="s">
        <v>1144</v>
      </c>
      <c r="K202" t="s">
        <v>1144</v>
      </c>
      <c r="L202">
        <v>97.66</v>
      </c>
      <c r="M202">
        <v>230.18</v>
      </c>
      <c r="N202">
        <v>0</v>
      </c>
      <c r="O202" s="56"/>
      <c r="P202" s="56"/>
      <c r="Q202">
        <v>13718</v>
      </c>
      <c r="R202">
        <v>9</v>
      </c>
      <c r="S202">
        <v>4</v>
      </c>
      <c r="T202">
        <v>2</v>
      </c>
      <c r="U202">
        <v>2</v>
      </c>
      <c r="V202">
        <v>1</v>
      </c>
      <c r="X202" t="s">
        <v>2385</v>
      </c>
      <c r="AA202">
        <v>0.12</v>
      </c>
      <c r="AB202">
        <v>1</v>
      </c>
      <c r="AC202">
        <v>8.33</v>
      </c>
      <c r="AD202">
        <v>10.42</v>
      </c>
      <c r="AE202">
        <v>0</v>
      </c>
      <c r="AF202">
        <v>0</v>
      </c>
      <c r="AG202">
        <v>0</v>
      </c>
      <c r="AJ202" s="56">
        <v>42666</v>
      </c>
      <c r="AK202" s="56"/>
      <c r="AL202" s="56"/>
      <c r="AM202">
        <v>5</v>
      </c>
      <c r="AP202" t="s">
        <v>1450</v>
      </c>
      <c r="AS202" t="s">
        <v>1152</v>
      </c>
      <c r="AT202">
        <v>1</v>
      </c>
      <c r="AV202">
        <v>4</v>
      </c>
      <c r="AW202">
        <v>3</v>
      </c>
      <c r="AX202">
        <v>1</v>
      </c>
      <c r="AY202" t="s">
        <v>1147</v>
      </c>
      <c r="AZ202" t="s">
        <v>1147</v>
      </c>
      <c r="BA202">
        <v>5</v>
      </c>
      <c r="BD202">
        <v>1000000000</v>
      </c>
      <c r="BE202">
        <v>5</v>
      </c>
      <c r="BF202">
        <v>-0.25</v>
      </c>
      <c r="BG202">
        <v>0</v>
      </c>
      <c r="BH202">
        <v>0</v>
      </c>
      <c r="BI202">
        <v>0</v>
      </c>
      <c r="BJ202">
        <v>0</v>
      </c>
      <c r="BK202">
        <v>0</v>
      </c>
      <c r="BL202">
        <v>0</v>
      </c>
      <c r="BM202">
        <v>5</v>
      </c>
      <c r="BN202">
        <v>-0.25</v>
      </c>
      <c r="BO202">
        <v>0</v>
      </c>
      <c r="BP202">
        <v>0</v>
      </c>
      <c r="BR202">
        <v>0</v>
      </c>
      <c r="BS202">
        <v>2</v>
      </c>
      <c r="BX202">
        <v>0</v>
      </c>
      <c r="BY202">
        <v>97.66</v>
      </c>
      <c r="BZ202">
        <v>0</v>
      </c>
      <c r="CA202">
        <v>16.28</v>
      </c>
      <c r="CC202">
        <v>1</v>
      </c>
      <c r="CD202" s="56">
        <v>42619</v>
      </c>
      <c r="CE202" s="56">
        <v>42619</v>
      </c>
      <c r="CF202" s="56">
        <v>42619</v>
      </c>
      <c r="CG202" s="56">
        <v>42647</v>
      </c>
      <c r="CH202" s="56"/>
      <c r="CI202" s="56"/>
      <c r="CJ202">
        <v>0</v>
      </c>
      <c r="CK202">
        <v>0</v>
      </c>
      <c r="CL202">
        <v>0</v>
      </c>
      <c r="CM202">
        <v>0</v>
      </c>
      <c r="CN202">
        <v>0</v>
      </c>
      <c r="CO202">
        <v>0</v>
      </c>
      <c r="CP202">
        <v>0.65</v>
      </c>
      <c r="CQ202" t="s">
        <v>1378</v>
      </c>
      <c r="CR202" t="s">
        <v>1377</v>
      </c>
      <c r="CS202" t="s">
        <v>1451</v>
      </c>
      <c r="CT202" t="s">
        <v>1724</v>
      </c>
      <c r="CU202" t="s">
        <v>1742</v>
      </c>
      <c r="CV202" t="s">
        <v>1925</v>
      </c>
      <c r="DB202" t="s">
        <v>1869</v>
      </c>
      <c r="DE202" t="s">
        <v>1724</v>
      </c>
    </row>
    <row r="203" spans="1:109" x14ac:dyDescent="0.25">
      <c r="A203" t="s">
        <v>1378</v>
      </c>
      <c r="B203">
        <v>1</v>
      </c>
      <c r="C203" s="56">
        <v>42640</v>
      </c>
      <c r="D203" t="s">
        <v>1449</v>
      </c>
      <c r="E203" t="s">
        <v>1488</v>
      </c>
      <c r="G203" t="s">
        <v>1144</v>
      </c>
      <c r="H203" t="s">
        <v>1144</v>
      </c>
      <c r="I203" t="s">
        <v>1144</v>
      </c>
      <c r="J203" t="s">
        <v>1144</v>
      </c>
      <c r="K203" t="s">
        <v>1144</v>
      </c>
      <c r="L203">
        <v>565.47</v>
      </c>
      <c r="M203">
        <v>2</v>
      </c>
      <c r="N203">
        <v>0</v>
      </c>
      <c r="O203" s="56"/>
      <c r="P203" s="56"/>
      <c r="Q203">
        <v>13718</v>
      </c>
      <c r="R203">
        <v>9</v>
      </c>
      <c r="S203">
        <v>4</v>
      </c>
      <c r="T203">
        <v>2</v>
      </c>
      <c r="U203">
        <v>2</v>
      </c>
      <c r="V203">
        <v>1</v>
      </c>
      <c r="W203" t="s">
        <v>2379</v>
      </c>
      <c r="X203" t="s">
        <v>2387</v>
      </c>
      <c r="AA203">
        <v>0.08</v>
      </c>
      <c r="AB203">
        <v>1</v>
      </c>
      <c r="AC203">
        <v>6.25</v>
      </c>
      <c r="AD203">
        <v>3.13</v>
      </c>
      <c r="AE203">
        <v>0</v>
      </c>
      <c r="AF203">
        <v>0</v>
      </c>
      <c r="AG203">
        <v>0</v>
      </c>
      <c r="AJ203" s="56"/>
      <c r="AK203" s="56"/>
      <c r="AL203" s="56">
        <v>42656</v>
      </c>
      <c r="AM203">
        <v>1</v>
      </c>
      <c r="AP203" t="s">
        <v>1450</v>
      </c>
      <c r="AS203" t="s">
        <v>1152</v>
      </c>
      <c r="AT203">
        <v>1</v>
      </c>
      <c r="AV203">
        <v>2</v>
      </c>
      <c r="AW203">
        <v>2</v>
      </c>
      <c r="AX203">
        <v>1</v>
      </c>
      <c r="AY203" t="s">
        <v>1146</v>
      </c>
      <c r="AZ203" t="s">
        <v>1146</v>
      </c>
      <c r="BA203">
        <v>1</v>
      </c>
      <c r="BD203">
        <v>1000000000</v>
      </c>
      <c r="BE203">
        <v>1</v>
      </c>
      <c r="BF203">
        <v>0.5</v>
      </c>
      <c r="BG203">
        <v>0</v>
      </c>
      <c r="BH203">
        <v>0</v>
      </c>
      <c r="BI203">
        <v>0</v>
      </c>
      <c r="BJ203">
        <v>0</v>
      </c>
      <c r="BK203">
        <v>0</v>
      </c>
      <c r="BL203">
        <v>0</v>
      </c>
      <c r="BM203">
        <v>1</v>
      </c>
      <c r="BN203">
        <v>0.5</v>
      </c>
      <c r="BO203">
        <v>0</v>
      </c>
      <c r="BP203">
        <v>0</v>
      </c>
      <c r="BR203">
        <v>1</v>
      </c>
      <c r="BS203">
        <v>1</v>
      </c>
      <c r="BX203">
        <v>0</v>
      </c>
      <c r="BY203">
        <v>0</v>
      </c>
      <c r="BZ203">
        <v>0</v>
      </c>
      <c r="CA203">
        <v>-11.96</v>
      </c>
      <c r="CC203">
        <v>1</v>
      </c>
      <c r="CD203" s="56">
        <v>42592</v>
      </c>
      <c r="CE203" s="56">
        <v>42612</v>
      </c>
      <c r="CF203" s="56">
        <v>42612</v>
      </c>
      <c r="CG203" s="56">
        <v>42640</v>
      </c>
      <c r="CH203" s="56"/>
      <c r="CI203" s="56"/>
      <c r="CJ203">
        <v>0.36</v>
      </c>
      <c r="CK203">
        <v>1</v>
      </c>
      <c r="CL203">
        <v>0</v>
      </c>
      <c r="CM203">
        <v>0.43</v>
      </c>
      <c r="CN203">
        <v>0.28999999999999998</v>
      </c>
      <c r="CO203">
        <v>0</v>
      </c>
      <c r="CP203">
        <v>0</v>
      </c>
      <c r="CQ203" t="s">
        <v>1378</v>
      </c>
      <c r="CR203" t="s">
        <v>1377</v>
      </c>
      <c r="CS203" t="s">
        <v>1451</v>
      </c>
      <c r="CT203" t="s">
        <v>1724</v>
      </c>
      <c r="CU203" t="s">
        <v>1742</v>
      </c>
      <c r="CV203" t="s">
        <v>2276</v>
      </c>
      <c r="DB203" t="s">
        <v>2265</v>
      </c>
      <c r="DE203" t="s">
        <v>1724</v>
      </c>
    </row>
    <row r="204" spans="1:109" x14ac:dyDescent="0.25">
      <c r="A204" t="s">
        <v>1378</v>
      </c>
      <c r="B204">
        <v>1</v>
      </c>
      <c r="C204" s="56">
        <v>42640</v>
      </c>
      <c r="D204" t="s">
        <v>1449</v>
      </c>
      <c r="E204" t="s">
        <v>1419</v>
      </c>
      <c r="G204" t="s">
        <v>1144</v>
      </c>
      <c r="H204" t="s">
        <v>1144</v>
      </c>
      <c r="I204" t="s">
        <v>1144</v>
      </c>
      <c r="J204" t="s">
        <v>1144</v>
      </c>
      <c r="K204" t="s">
        <v>1144</v>
      </c>
      <c r="L204">
        <v>544.11</v>
      </c>
      <c r="M204">
        <v>1056.52</v>
      </c>
      <c r="N204">
        <v>0</v>
      </c>
      <c r="O204" s="56"/>
      <c r="P204" s="56"/>
      <c r="Q204">
        <v>13718</v>
      </c>
      <c r="R204">
        <v>9</v>
      </c>
      <c r="S204">
        <v>4</v>
      </c>
      <c r="T204">
        <v>2</v>
      </c>
      <c r="U204">
        <v>2</v>
      </c>
      <c r="V204">
        <v>1</v>
      </c>
      <c r="X204" t="s">
        <v>2386</v>
      </c>
      <c r="AA204">
        <v>0.27</v>
      </c>
      <c r="AB204">
        <v>2</v>
      </c>
      <c r="AC204">
        <v>4.63</v>
      </c>
      <c r="AD204">
        <v>6.48</v>
      </c>
      <c r="AE204">
        <v>0</v>
      </c>
      <c r="AF204">
        <v>0</v>
      </c>
      <c r="AG204">
        <v>0</v>
      </c>
      <c r="AJ204" s="56"/>
      <c r="AK204" s="56"/>
      <c r="AL204" s="56"/>
      <c r="AM204">
        <v>5</v>
      </c>
      <c r="AP204" t="s">
        <v>1450</v>
      </c>
      <c r="AS204" t="s">
        <v>1152</v>
      </c>
      <c r="AT204">
        <v>1</v>
      </c>
      <c r="AV204">
        <v>5</v>
      </c>
      <c r="AW204">
        <v>3</v>
      </c>
      <c r="AX204">
        <v>2</v>
      </c>
      <c r="AY204" t="s">
        <v>1147</v>
      </c>
      <c r="AZ204" t="s">
        <v>1147</v>
      </c>
      <c r="BA204">
        <v>5</v>
      </c>
      <c r="BD204">
        <v>1000000000</v>
      </c>
      <c r="BE204">
        <v>7</v>
      </c>
      <c r="BF204">
        <v>-0.4</v>
      </c>
      <c r="BG204">
        <v>0</v>
      </c>
      <c r="BH204">
        <v>0</v>
      </c>
      <c r="BI204">
        <v>0</v>
      </c>
      <c r="BJ204">
        <v>0</v>
      </c>
      <c r="BK204">
        <v>0</v>
      </c>
      <c r="BL204">
        <v>0</v>
      </c>
      <c r="BM204">
        <v>7</v>
      </c>
      <c r="BN204">
        <v>-0.4</v>
      </c>
      <c r="BO204">
        <v>0</v>
      </c>
      <c r="BP204">
        <v>0</v>
      </c>
      <c r="BR204">
        <v>0</v>
      </c>
      <c r="BS204">
        <v>3</v>
      </c>
      <c r="BX204">
        <v>0</v>
      </c>
      <c r="BY204">
        <v>1088.22</v>
      </c>
      <c r="BZ204">
        <v>0</v>
      </c>
      <c r="CA204">
        <v>11.3</v>
      </c>
      <c r="CC204">
        <v>1</v>
      </c>
      <c r="CD204" s="56">
        <v>42593</v>
      </c>
      <c r="CE204" s="56">
        <v>42612</v>
      </c>
      <c r="CF204" s="56">
        <v>42612</v>
      </c>
      <c r="CG204" s="56">
        <v>42640</v>
      </c>
      <c r="CH204" s="56"/>
      <c r="CI204" s="56"/>
      <c r="CJ204">
        <v>0</v>
      </c>
      <c r="CK204">
        <v>0</v>
      </c>
      <c r="CL204">
        <v>0</v>
      </c>
      <c r="CM204">
        <v>0</v>
      </c>
      <c r="CN204">
        <v>0</v>
      </c>
      <c r="CO204">
        <v>0</v>
      </c>
      <c r="CP204">
        <v>0.71</v>
      </c>
      <c r="CQ204" t="s">
        <v>1378</v>
      </c>
      <c r="CR204" t="s">
        <v>1377</v>
      </c>
      <c r="CS204" t="s">
        <v>1451</v>
      </c>
      <c r="CT204" t="s">
        <v>1724</v>
      </c>
      <c r="CU204" t="s">
        <v>1742</v>
      </c>
      <c r="CV204" t="s">
        <v>1985</v>
      </c>
      <c r="DB204" t="s">
        <v>1978</v>
      </c>
      <c r="DE204" t="s">
        <v>1724</v>
      </c>
    </row>
    <row r="205" spans="1:109" x14ac:dyDescent="0.25">
      <c r="A205" t="s">
        <v>1378</v>
      </c>
      <c r="B205">
        <v>1</v>
      </c>
      <c r="C205" s="56">
        <v>42640</v>
      </c>
      <c r="D205" t="s">
        <v>1449</v>
      </c>
      <c r="E205" t="s">
        <v>2332</v>
      </c>
      <c r="G205" t="s">
        <v>1144</v>
      </c>
      <c r="H205" t="s">
        <v>1144</v>
      </c>
      <c r="I205" t="s">
        <v>1144</v>
      </c>
      <c r="J205" t="s">
        <v>1144</v>
      </c>
      <c r="K205" t="s">
        <v>1144</v>
      </c>
      <c r="L205">
        <v>1172.5</v>
      </c>
      <c r="M205">
        <v>2</v>
      </c>
      <c r="N205">
        <v>0</v>
      </c>
      <c r="O205" s="56"/>
      <c r="P205" s="56"/>
      <c r="Q205">
        <v>13718</v>
      </c>
      <c r="R205">
        <v>9</v>
      </c>
      <c r="S205">
        <v>4</v>
      </c>
      <c r="T205">
        <v>2</v>
      </c>
      <c r="U205">
        <v>2</v>
      </c>
      <c r="V205">
        <v>1</v>
      </c>
      <c r="W205" t="s">
        <v>2379</v>
      </c>
      <c r="X205" t="s">
        <v>2387</v>
      </c>
      <c r="AA205">
        <v>0.04</v>
      </c>
      <c r="AB205">
        <v>1</v>
      </c>
      <c r="AC205">
        <v>12.5</v>
      </c>
      <c r="AD205">
        <v>12.5</v>
      </c>
      <c r="AE205">
        <v>0</v>
      </c>
      <c r="AF205">
        <v>0</v>
      </c>
      <c r="AG205">
        <v>0</v>
      </c>
      <c r="AJ205" s="56"/>
      <c r="AK205" s="56"/>
      <c r="AL205" s="56">
        <v>42322</v>
      </c>
      <c r="AM205">
        <v>1</v>
      </c>
      <c r="AP205" t="s">
        <v>1450</v>
      </c>
      <c r="AS205" t="s">
        <v>1152</v>
      </c>
      <c r="AT205">
        <v>1</v>
      </c>
      <c r="AV205">
        <v>2</v>
      </c>
      <c r="AW205">
        <v>2</v>
      </c>
      <c r="AX205">
        <v>1</v>
      </c>
      <c r="AY205" t="s">
        <v>1145</v>
      </c>
      <c r="AZ205" t="s">
        <v>1145</v>
      </c>
      <c r="BA205">
        <v>1</v>
      </c>
      <c r="BD205">
        <v>1000000000</v>
      </c>
      <c r="BE205">
        <v>2</v>
      </c>
      <c r="BF205">
        <v>0</v>
      </c>
      <c r="BG205">
        <v>0</v>
      </c>
      <c r="BH205">
        <v>0</v>
      </c>
      <c r="BI205">
        <v>0</v>
      </c>
      <c r="BJ205">
        <v>0</v>
      </c>
      <c r="BK205">
        <v>0</v>
      </c>
      <c r="BL205">
        <v>0</v>
      </c>
      <c r="BM205">
        <v>2</v>
      </c>
      <c r="BN205">
        <v>0</v>
      </c>
      <c r="BO205">
        <v>0</v>
      </c>
      <c r="BP205">
        <v>0</v>
      </c>
      <c r="BR205">
        <v>0</v>
      </c>
      <c r="BS205">
        <v>1</v>
      </c>
      <c r="BX205">
        <v>0</v>
      </c>
      <c r="BY205">
        <v>0</v>
      </c>
      <c r="BZ205">
        <v>0</v>
      </c>
      <c r="CA205">
        <v>-11.98</v>
      </c>
      <c r="CC205">
        <v>1</v>
      </c>
      <c r="CD205" s="56">
        <v>42592</v>
      </c>
      <c r="CE205" s="56">
        <v>42612</v>
      </c>
      <c r="CF205" s="56">
        <v>42612</v>
      </c>
      <c r="CG205" s="56">
        <v>42640</v>
      </c>
      <c r="CH205" s="56"/>
      <c r="CI205" s="56"/>
      <c r="CJ205">
        <v>0</v>
      </c>
      <c r="CK205">
        <v>0</v>
      </c>
      <c r="CL205">
        <v>0</v>
      </c>
      <c r="CM205">
        <v>0</v>
      </c>
      <c r="CN205">
        <v>0.71</v>
      </c>
      <c r="CO205">
        <v>0</v>
      </c>
      <c r="CP205">
        <v>0</v>
      </c>
      <c r="CQ205" t="s">
        <v>1378</v>
      </c>
      <c r="CR205" t="s">
        <v>1377</v>
      </c>
      <c r="CS205" t="s">
        <v>1451</v>
      </c>
      <c r="CT205" t="s">
        <v>1724</v>
      </c>
      <c r="CU205" t="s">
        <v>1742</v>
      </c>
      <c r="CV205" t="s">
        <v>2333</v>
      </c>
      <c r="DB205" t="s">
        <v>2145</v>
      </c>
      <c r="DE205" t="s">
        <v>1724</v>
      </c>
    </row>
    <row r="206" spans="1:109" x14ac:dyDescent="0.25">
      <c r="A206" t="s">
        <v>1378</v>
      </c>
      <c r="B206">
        <v>1</v>
      </c>
      <c r="C206" s="56">
        <v>42640</v>
      </c>
      <c r="D206" t="s">
        <v>1449</v>
      </c>
      <c r="E206" t="s">
        <v>2031</v>
      </c>
      <c r="G206" t="s">
        <v>1144</v>
      </c>
      <c r="H206" t="s">
        <v>1144</v>
      </c>
      <c r="I206" t="s">
        <v>1144</v>
      </c>
      <c r="J206" t="s">
        <v>1144</v>
      </c>
      <c r="K206" t="s">
        <v>1144</v>
      </c>
      <c r="L206">
        <v>193.35</v>
      </c>
      <c r="M206">
        <v>2</v>
      </c>
      <c r="N206">
        <v>0</v>
      </c>
      <c r="O206" s="56"/>
      <c r="P206" s="56"/>
      <c r="Q206">
        <v>13718</v>
      </c>
      <c r="R206">
        <v>9</v>
      </c>
      <c r="S206">
        <v>4</v>
      </c>
      <c r="T206">
        <v>2</v>
      </c>
      <c r="U206">
        <v>2</v>
      </c>
      <c r="V206">
        <v>1</v>
      </c>
      <c r="W206" t="s">
        <v>1376</v>
      </c>
      <c r="X206" t="s">
        <v>2385</v>
      </c>
      <c r="AA206">
        <v>0</v>
      </c>
      <c r="AB206">
        <v>0</v>
      </c>
      <c r="AC206">
        <v>0</v>
      </c>
      <c r="AD206">
        <v>0</v>
      </c>
      <c r="AE206">
        <v>0</v>
      </c>
      <c r="AF206">
        <v>0</v>
      </c>
      <c r="AG206">
        <v>0</v>
      </c>
      <c r="AJ206" s="56"/>
      <c r="AK206" s="56">
        <v>42369</v>
      </c>
      <c r="AL206" s="56"/>
      <c r="AM206">
        <v>1</v>
      </c>
      <c r="AP206" t="s">
        <v>1450</v>
      </c>
      <c r="AS206" t="s">
        <v>1152</v>
      </c>
      <c r="AT206">
        <v>1</v>
      </c>
      <c r="AV206">
        <v>2</v>
      </c>
      <c r="AW206">
        <v>2</v>
      </c>
      <c r="AX206">
        <v>1</v>
      </c>
      <c r="AY206" t="s">
        <v>1145</v>
      </c>
      <c r="AZ206" t="s">
        <v>1145</v>
      </c>
      <c r="BA206">
        <v>1</v>
      </c>
      <c r="BD206">
        <v>1000000000</v>
      </c>
      <c r="BE206">
        <v>2</v>
      </c>
      <c r="BF206">
        <v>0</v>
      </c>
      <c r="BG206">
        <v>0</v>
      </c>
      <c r="BH206">
        <v>0</v>
      </c>
      <c r="BI206">
        <v>0</v>
      </c>
      <c r="BJ206">
        <v>0</v>
      </c>
      <c r="BK206">
        <v>0</v>
      </c>
      <c r="BL206">
        <v>0</v>
      </c>
      <c r="BM206">
        <v>2</v>
      </c>
      <c r="BN206">
        <v>0</v>
      </c>
      <c r="BO206">
        <v>0</v>
      </c>
      <c r="BP206">
        <v>0</v>
      </c>
      <c r="BR206">
        <v>0</v>
      </c>
      <c r="BS206">
        <v>1</v>
      </c>
      <c r="BX206">
        <v>0</v>
      </c>
      <c r="BY206">
        <v>0</v>
      </c>
      <c r="BZ206">
        <v>0</v>
      </c>
      <c r="CA206">
        <v>-11.88</v>
      </c>
      <c r="CC206">
        <v>1</v>
      </c>
      <c r="CD206" s="56">
        <v>42619</v>
      </c>
      <c r="CE206" s="56">
        <v>42619</v>
      </c>
      <c r="CF206" s="56">
        <v>42619</v>
      </c>
      <c r="CG206" s="56">
        <v>42647</v>
      </c>
      <c r="CH206" s="56"/>
      <c r="CI206" s="56"/>
      <c r="CJ206">
        <v>0</v>
      </c>
      <c r="CK206">
        <v>0</v>
      </c>
      <c r="CL206">
        <v>0</v>
      </c>
      <c r="CM206">
        <v>0</v>
      </c>
      <c r="CN206">
        <v>0.65</v>
      </c>
      <c r="CO206">
        <v>0</v>
      </c>
      <c r="CP206">
        <v>0</v>
      </c>
      <c r="CQ206" t="s">
        <v>1378</v>
      </c>
      <c r="CR206" t="s">
        <v>1377</v>
      </c>
      <c r="CS206" t="s">
        <v>1451</v>
      </c>
      <c r="CT206" t="s">
        <v>1724</v>
      </c>
      <c r="CU206" t="s">
        <v>1742</v>
      </c>
      <c r="CV206" t="s">
        <v>2032</v>
      </c>
      <c r="DB206" t="s">
        <v>2014</v>
      </c>
      <c r="DE206" t="s">
        <v>1724</v>
      </c>
    </row>
    <row r="207" spans="1:109" x14ac:dyDescent="0.25">
      <c r="A207" t="s">
        <v>1378</v>
      </c>
      <c r="B207">
        <v>1</v>
      </c>
      <c r="C207" s="56">
        <v>42640</v>
      </c>
      <c r="D207" t="s">
        <v>1449</v>
      </c>
      <c r="E207" t="s">
        <v>1500</v>
      </c>
      <c r="G207" t="s">
        <v>1144</v>
      </c>
      <c r="H207" t="s">
        <v>1144</v>
      </c>
      <c r="I207" t="s">
        <v>1144</v>
      </c>
      <c r="J207" t="s">
        <v>1144</v>
      </c>
      <c r="K207" t="s">
        <v>1144</v>
      </c>
      <c r="L207">
        <v>78.900000000000006</v>
      </c>
      <c r="M207">
        <v>0</v>
      </c>
      <c r="N207">
        <v>0</v>
      </c>
      <c r="O207" s="56"/>
      <c r="P207" s="56"/>
      <c r="Q207">
        <v>13718</v>
      </c>
      <c r="R207">
        <v>9</v>
      </c>
      <c r="S207">
        <v>4</v>
      </c>
      <c r="T207">
        <v>2</v>
      </c>
      <c r="U207">
        <v>2</v>
      </c>
      <c r="V207">
        <v>1</v>
      </c>
      <c r="X207" t="s">
        <v>2387</v>
      </c>
      <c r="AA207">
        <v>0.23</v>
      </c>
      <c r="AB207">
        <v>2</v>
      </c>
      <c r="AC207">
        <v>4.3499999999999996</v>
      </c>
      <c r="AD207">
        <v>17.39</v>
      </c>
      <c r="AE207">
        <v>0</v>
      </c>
      <c r="AF207">
        <v>0</v>
      </c>
      <c r="AG207">
        <v>0</v>
      </c>
      <c r="AJ207" s="56"/>
      <c r="AK207" s="56"/>
      <c r="AL207" s="56"/>
      <c r="AP207" t="s">
        <v>1450</v>
      </c>
      <c r="AR207">
        <v>6</v>
      </c>
      <c r="AS207" t="s">
        <v>1152</v>
      </c>
      <c r="AT207">
        <v>1</v>
      </c>
      <c r="AV207">
        <v>4</v>
      </c>
      <c r="AW207">
        <v>3</v>
      </c>
      <c r="AX207">
        <v>1</v>
      </c>
      <c r="AY207" t="s">
        <v>1147</v>
      </c>
      <c r="AZ207" t="s">
        <v>1147</v>
      </c>
      <c r="BA207">
        <v>2</v>
      </c>
      <c r="BD207">
        <v>1000000000</v>
      </c>
      <c r="BE207">
        <v>16</v>
      </c>
      <c r="BF207">
        <v>-3</v>
      </c>
      <c r="BG207">
        <v>0</v>
      </c>
      <c r="BH207">
        <v>0</v>
      </c>
      <c r="BI207">
        <v>0</v>
      </c>
      <c r="BJ207">
        <v>0</v>
      </c>
      <c r="BK207">
        <v>0</v>
      </c>
      <c r="BL207">
        <v>0</v>
      </c>
      <c r="BM207">
        <v>16</v>
      </c>
      <c r="BN207">
        <v>-3</v>
      </c>
      <c r="BO207">
        <v>0</v>
      </c>
      <c r="BP207">
        <v>0</v>
      </c>
      <c r="BR207">
        <v>0</v>
      </c>
      <c r="BS207">
        <v>2</v>
      </c>
      <c r="BX207">
        <v>0</v>
      </c>
      <c r="BY207">
        <v>946.8</v>
      </c>
      <c r="BZ207">
        <v>0</v>
      </c>
      <c r="CA207">
        <v>-12</v>
      </c>
      <c r="CC207">
        <v>1</v>
      </c>
      <c r="CD207" s="56">
        <v>42592</v>
      </c>
      <c r="CE207" s="56">
        <v>42612</v>
      </c>
      <c r="CF207" s="56">
        <v>42612</v>
      </c>
      <c r="CG207" s="56">
        <v>42640</v>
      </c>
      <c r="CH207" s="56"/>
      <c r="CI207" s="56"/>
      <c r="CJ207">
        <v>0.38</v>
      </c>
      <c r="CK207">
        <v>0</v>
      </c>
      <c r="CL207">
        <v>0</v>
      </c>
      <c r="CM207">
        <v>0</v>
      </c>
      <c r="CN207">
        <v>0</v>
      </c>
      <c r="CO207">
        <v>0</v>
      </c>
      <c r="CP207">
        <v>0.71</v>
      </c>
      <c r="CQ207" t="s">
        <v>1378</v>
      </c>
      <c r="CR207" t="s">
        <v>1377</v>
      </c>
      <c r="CS207" t="s">
        <v>1451</v>
      </c>
      <c r="CT207" t="s">
        <v>1724</v>
      </c>
      <c r="CU207" t="s">
        <v>1742</v>
      </c>
      <c r="CV207" t="s">
        <v>2380</v>
      </c>
      <c r="DB207" t="s">
        <v>2381</v>
      </c>
      <c r="DE207" t="s">
        <v>1724</v>
      </c>
    </row>
    <row r="208" spans="1:109" x14ac:dyDescent="0.25">
      <c r="A208" t="s">
        <v>1378</v>
      </c>
      <c r="B208">
        <v>1</v>
      </c>
      <c r="C208" s="56">
        <v>42640</v>
      </c>
      <c r="D208" t="s">
        <v>1449</v>
      </c>
      <c r="E208" t="s">
        <v>2084</v>
      </c>
      <c r="G208" t="s">
        <v>1144</v>
      </c>
      <c r="H208" t="s">
        <v>1144</v>
      </c>
      <c r="I208" t="s">
        <v>1144</v>
      </c>
      <c r="J208" t="s">
        <v>1144</v>
      </c>
      <c r="K208" t="s">
        <v>1144</v>
      </c>
      <c r="L208">
        <v>122.98</v>
      </c>
      <c r="M208">
        <v>293.95</v>
      </c>
      <c r="N208">
        <v>0</v>
      </c>
      <c r="O208" s="56"/>
      <c r="P208" s="56"/>
      <c r="Q208">
        <v>13718</v>
      </c>
      <c r="R208">
        <v>9</v>
      </c>
      <c r="S208">
        <v>4</v>
      </c>
      <c r="T208">
        <v>2</v>
      </c>
      <c r="U208">
        <v>2</v>
      </c>
      <c r="V208">
        <v>1</v>
      </c>
      <c r="X208" t="s">
        <v>2385</v>
      </c>
      <c r="AA208">
        <v>0.27</v>
      </c>
      <c r="AB208">
        <v>2</v>
      </c>
      <c r="AC208">
        <v>2.78</v>
      </c>
      <c r="AD208">
        <v>3.7</v>
      </c>
      <c r="AE208">
        <v>0</v>
      </c>
      <c r="AF208">
        <v>0</v>
      </c>
      <c r="AG208">
        <v>0</v>
      </c>
      <c r="AJ208" s="56"/>
      <c r="AK208" s="56">
        <v>42369</v>
      </c>
      <c r="AL208" s="56"/>
      <c r="AM208">
        <v>5</v>
      </c>
      <c r="AP208" t="s">
        <v>1450</v>
      </c>
      <c r="AS208" t="s">
        <v>1152</v>
      </c>
      <c r="AT208">
        <v>1</v>
      </c>
      <c r="AV208">
        <v>3</v>
      </c>
      <c r="AW208">
        <v>2</v>
      </c>
      <c r="AX208">
        <v>1</v>
      </c>
      <c r="AY208" t="s">
        <v>1147</v>
      </c>
      <c r="AZ208" t="s">
        <v>1147</v>
      </c>
      <c r="BA208">
        <v>5</v>
      </c>
      <c r="BD208">
        <v>1000000000</v>
      </c>
      <c r="BE208">
        <v>4</v>
      </c>
      <c r="BF208">
        <v>-0.33</v>
      </c>
      <c r="BG208">
        <v>0</v>
      </c>
      <c r="BH208">
        <v>0</v>
      </c>
      <c r="BI208">
        <v>0</v>
      </c>
      <c r="BJ208">
        <v>0</v>
      </c>
      <c r="BK208">
        <v>0</v>
      </c>
      <c r="BL208">
        <v>0</v>
      </c>
      <c r="BM208">
        <v>4</v>
      </c>
      <c r="BN208">
        <v>-0.33</v>
      </c>
      <c r="BO208">
        <v>0</v>
      </c>
      <c r="BP208">
        <v>0</v>
      </c>
      <c r="BR208">
        <v>0</v>
      </c>
      <c r="BS208">
        <v>2</v>
      </c>
      <c r="BX208">
        <v>0</v>
      </c>
      <c r="BY208">
        <v>122.98</v>
      </c>
      <c r="BZ208">
        <v>0</v>
      </c>
      <c r="CA208">
        <v>16.68</v>
      </c>
      <c r="CC208">
        <v>1</v>
      </c>
      <c r="CD208" s="56">
        <v>42619</v>
      </c>
      <c r="CE208" s="56">
        <v>42619</v>
      </c>
      <c r="CF208" s="56">
        <v>42619</v>
      </c>
      <c r="CG208" s="56">
        <v>42647</v>
      </c>
      <c r="CH208" s="56"/>
      <c r="CI208" s="56"/>
      <c r="CJ208">
        <v>0</v>
      </c>
      <c r="CK208">
        <v>0</v>
      </c>
      <c r="CL208">
        <v>0</v>
      </c>
      <c r="CM208">
        <v>0</v>
      </c>
      <c r="CN208">
        <v>0</v>
      </c>
      <c r="CO208">
        <v>0</v>
      </c>
      <c r="CP208">
        <v>0.65</v>
      </c>
      <c r="CQ208" t="s">
        <v>1378</v>
      </c>
      <c r="CR208" t="s">
        <v>1377</v>
      </c>
      <c r="CS208" t="s">
        <v>1451</v>
      </c>
      <c r="CT208" t="s">
        <v>1724</v>
      </c>
      <c r="CU208" t="s">
        <v>1742</v>
      </c>
      <c r="CV208" t="s">
        <v>2085</v>
      </c>
      <c r="DB208" t="s">
        <v>2059</v>
      </c>
      <c r="DE208" t="s">
        <v>1724</v>
      </c>
    </row>
    <row r="209" spans="1:109" x14ac:dyDescent="0.25">
      <c r="A209" t="s">
        <v>1378</v>
      </c>
      <c r="B209">
        <v>1</v>
      </c>
      <c r="C209" s="56">
        <v>42640</v>
      </c>
      <c r="D209" t="s">
        <v>1449</v>
      </c>
      <c r="E209" t="s">
        <v>1381</v>
      </c>
      <c r="G209" t="s">
        <v>1144</v>
      </c>
      <c r="H209" t="s">
        <v>1144</v>
      </c>
      <c r="I209" t="s">
        <v>1144</v>
      </c>
      <c r="J209" t="s">
        <v>1144</v>
      </c>
      <c r="K209" t="s">
        <v>1144</v>
      </c>
      <c r="L209">
        <v>201.31</v>
      </c>
      <c r="M209">
        <v>361.16</v>
      </c>
      <c r="N209">
        <v>0</v>
      </c>
      <c r="O209" s="56"/>
      <c r="P209" s="56"/>
      <c r="Q209">
        <v>13718</v>
      </c>
      <c r="R209">
        <v>9</v>
      </c>
      <c r="S209">
        <v>4</v>
      </c>
      <c r="T209">
        <v>2</v>
      </c>
      <c r="U209">
        <v>2</v>
      </c>
      <c r="V209">
        <v>1</v>
      </c>
      <c r="X209" t="s">
        <v>2385</v>
      </c>
      <c r="AA209">
        <v>0.04</v>
      </c>
      <c r="AB209">
        <v>1</v>
      </c>
      <c r="AC209">
        <v>31.25</v>
      </c>
      <c r="AD209">
        <v>56.25</v>
      </c>
      <c r="AE209">
        <v>0</v>
      </c>
      <c r="AF209">
        <v>0</v>
      </c>
      <c r="AG209">
        <v>0</v>
      </c>
      <c r="AJ209" s="56">
        <v>42666</v>
      </c>
      <c r="AK209" s="56"/>
      <c r="AL209" s="56">
        <v>42322</v>
      </c>
      <c r="AM209">
        <v>7</v>
      </c>
      <c r="AP209" t="s">
        <v>1450</v>
      </c>
      <c r="AS209" t="s">
        <v>1152</v>
      </c>
      <c r="AT209">
        <v>1</v>
      </c>
      <c r="AV209">
        <v>5</v>
      </c>
      <c r="AW209">
        <v>3</v>
      </c>
      <c r="AX209">
        <v>2</v>
      </c>
      <c r="AY209" t="s">
        <v>1147</v>
      </c>
      <c r="AZ209" t="s">
        <v>1147</v>
      </c>
      <c r="BA209">
        <v>7</v>
      </c>
      <c r="BD209">
        <v>1000000000</v>
      </c>
      <c r="BE209">
        <v>9</v>
      </c>
      <c r="BF209">
        <v>-0.8</v>
      </c>
      <c r="BG209">
        <v>0</v>
      </c>
      <c r="BH209">
        <v>0</v>
      </c>
      <c r="BI209">
        <v>0</v>
      </c>
      <c r="BJ209">
        <v>0</v>
      </c>
      <c r="BK209">
        <v>0</v>
      </c>
      <c r="BL209">
        <v>0</v>
      </c>
      <c r="BM209">
        <v>9</v>
      </c>
      <c r="BN209">
        <v>-0.8</v>
      </c>
      <c r="BO209">
        <v>0</v>
      </c>
      <c r="BP209">
        <v>0</v>
      </c>
      <c r="BR209">
        <v>0</v>
      </c>
      <c r="BS209">
        <v>3</v>
      </c>
      <c r="BX209">
        <v>0</v>
      </c>
      <c r="BY209">
        <v>805.24</v>
      </c>
      <c r="BZ209">
        <v>0</v>
      </c>
      <c r="CA209">
        <v>9.5299999999999994</v>
      </c>
      <c r="CC209">
        <v>1</v>
      </c>
      <c r="CD209" s="56">
        <v>42619</v>
      </c>
      <c r="CE209" s="56">
        <v>42619</v>
      </c>
      <c r="CF209" s="56">
        <v>42619</v>
      </c>
      <c r="CG209" s="56">
        <v>42647</v>
      </c>
      <c r="CH209" s="56"/>
      <c r="CI209" s="56"/>
      <c r="CJ209">
        <v>0</v>
      </c>
      <c r="CK209">
        <v>0</v>
      </c>
      <c r="CL209">
        <v>0</v>
      </c>
      <c r="CM209">
        <v>0</v>
      </c>
      <c r="CN209">
        <v>0</v>
      </c>
      <c r="CO209">
        <v>0</v>
      </c>
      <c r="CP209">
        <v>0.65</v>
      </c>
      <c r="CQ209" t="s">
        <v>1378</v>
      </c>
      <c r="CR209" t="s">
        <v>1377</v>
      </c>
      <c r="CS209" t="s">
        <v>1451</v>
      </c>
      <c r="CT209" t="s">
        <v>1724</v>
      </c>
      <c r="CU209" t="s">
        <v>1742</v>
      </c>
      <c r="CV209" t="s">
        <v>1776</v>
      </c>
      <c r="DB209" t="s">
        <v>1762</v>
      </c>
      <c r="DE209" t="s">
        <v>1724</v>
      </c>
    </row>
    <row r="210" spans="1:109" x14ac:dyDescent="0.25">
      <c r="A210" t="s">
        <v>1378</v>
      </c>
      <c r="B210">
        <v>1</v>
      </c>
      <c r="C210" s="56">
        <v>42640</v>
      </c>
      <c r="D210" t="s">
        <v>1449</v>
      </c>
      <c r="E210" t="s">
        <v>2140</v>
      </c>
      <c r="G210" t="s">
        <v>1144</v>
      </c>
      <c r="H210" t="s">
        <v>1144</v>
      </c>
      <c r="I210" t="s">
        <v>1144</v>
      </c>
      <c r="J210" t="s">
        <v>1144</v>
      </c>
      <c r="K210" t="s">
        <v>1144</v>
      </c>
      <c r="L210">
        <v>343.15</v>
      </c>
      <c r="M210">
        <v>2</v>
      </c>
      <c r="N210">
        <v>0</v>
      </c>
      <c r="O210" s="56"/>
      <c r="P210" s="56"/>
      <c r="Q210">
        <v>13718</v>
      </c>
      <c r="R210">
        <v>9</v>
      </c>
      <c r="S210">
        <v>4</v>
      </c>
      <c r="T210">
        <v>2</v>
      </c>
      <c r="U210">
        <v>2</v>
      </c>
      <c r="V210">
        <v>1</v>
      </c>
      <c r="X210" t="s">
        <v>2385</v>
      </c>
      <c r="AA210">
        <v>0</v>
      </c>
      <c r="AB210">
        <v>0</v>
      </c>
      <c r="AC210">
        <v>0</v>
      </c>
      <c r="AD210">
        <v>0</v>
      </c>
      <c r="AE210">
        <v>0</v>
      </c>
      <c r="AF210">
        <v>0</v>
      </c>
      <c r="AG210">
        <v>0</v>
      </c>
      <c r="AJ210" s="56"/>
      <c r="AK210" s="56">
        <v>42369</v>
      </c>
      <c r="AL210" s="56"/>
      <c r="AM210">
        <v>1</v>
      </c>
      <c r="AP210" t="s">
        <v>1450</v>
      </c>
      <c r="AS210" t="s">
        <v>1152</v>
      </c>
      <c r="AT210">
        <v>1</v>
      </c>
      <c r="AV210">
        <v>1</v>
      </c>
      <c r="AW210">
        <v>1</v>
      </c>
      <c r="AX210">
        <v>0.5</v>
      </c>
      <c r="AY210" t="s">
        <v>1147</v>
      </c>
      <c r="AZ210" t="s">
        <v>1147</v>
      </c>
      <c r="BA210">
        <v>2</v>
      </c>
      <c r="BD210">
        <v>1000000000</v>
      </c>
      <c r="BE210">
        <v>2</v>
      </c>
      <c r="BF210">
        <v>-1</v>
      </c>
      <c r="BG210">
        <v>0</v>
      </c>
      <c r="BH210">
        <v>0</v>
      </c>
      <c r="BI210">
        <v>0</v>
      </c>
      <c r="BJ210">
        <v>0</v>
      </c>
      <c r="BK210">
        <v>0</v>
      </c>
      <c r="BL210">
        <v>0</v>
      </c>
      <c r="BM210">
        <v>2</v>
      </c>
      <c r="BN210">
        <v>-1</v>
      </c>
      <c r="BO210">
        <v>0</v>
      </c>
      <c r="BP210">
        <v>0</v>
      </c>
      <c r="BR210">
        <v>0</v>
      </c>
      <c r="BS210">
        <v>1</v>
      </c>
      <c r="BX210">
        <v>0</v>
      </c>
      <c r="BY210">
        <v>343.15</v>
      </c>
      <c r="BZ210">
        <v>0</v>
      </c>
      <c r="CA210">
        <v>-11.93</v>
      </c>
      <c r="CC210">
        <v>1</v>
      </c>
      <c r="CD210" s="56">
        <v>42619</v>
      </c>
      <c r="CE210" s="56">
        <v>42619</v>
      </c>
      <c r="CF210" s="56">
        <v>42619</v>
      </c>
      <c r="CG210" s="56">
        <v>42647</v>
      </c>
      <c r="CH210" s="56"/>
      <c r="CI210" s="56"/>
      <c r="CJ210">
        <v>0</v>
      </c>
      <c r="CK210">
        <v>0</v>
      </c>
      <c r="CL210">
        <v>0</v>
      </c>
      <c r="CM210">
        <v>0</v>
      </c>
      <c r="CN210">
        <v>0</v>
      </c>
      <c r="CO210">
        <v>0</v>
      </c>
      <c r="CP210">
        <v>0.65</v>
      </c>
      <c r="CQ210" t="s">
        <v>1378</v>
      </c>
      <c r="CR210" t="s">
        <v>1377</v>
      </c>
      <c r="CS210" t="s">
        <v>1451</v>
      </c>
      <c r="CT210" t="s">
        <v>1724</v>
      </c>
      <c r="CU210" t="s">
        <v>1742</v>
      </c>
      <c r="CV210" t="s">
        <v>2139</v>
      </c>
      <c r="DB210" t="s">
        <v>2134</v>
      </c>
      <c r="DE210" t="s">
        <v>1724</v>
      </c>
    </row>
    <row r="211" spans="1:109" x14ac:dyDescent="0.25">
      <c r="A211" t="s">
        <v>1378</v>
      </c>
      <c r="B211">
        <v>1</v>
      </c>
      <c r="C211" s="56">
        <v>42640</v>
      </c>
      <c r="D211" t="s">
        <v>1449</v>
      </c>
      <c r="E211" t="s">
        <v>1389</v>
      </c>
      <c r="G211" t="s">
        <v>1144</v>
      </c>
      <c r="H211" t="s">
        <v>1144</v>
      </c>
      <c r="I211" t="s">
        <v>1144</v>
      </c>
      <c r="J211" t="s">
        <v>1144</v>
      </c>
      <c r="K211" t="s">
        <v>1144</v>
      </c>
      <c r="L211">
        <v>1118.6099999999999</v>
      </c>
      <c r="M211">
        <v>2032.14</v>
      </c>
      <c r="N211">
        <v>0</v>
      </c>
      <c r="O211" s="56"/>
      <c r="P211" s="56"/>
      <c r="Q211">
        <v>13718</v>
      </c>
      <c r="R211">
        <v>9</v>
      </c>
      <c r="S211">
        <v>4</v>
      </c>
      <c r="T211">
        <v>2</v>
      </c>
      <c r="U211">
        <v>2</v>
      </c>
      <c r="V211">
        <v>1</v>
      </c>
      <c r="W211" t="s">
        <v>1376</v>
      </c>
      <c r="X211" t="s">
        <v>2385</v>
      </c>
      <c r="AA211">
        <v>0.04</v>
      </c>
      <c r="AB211">
        <v>1</v>
      </c>
      <c r="AC211">
        <v>25</v>
      </c>
      <c r="AD211">
        <v>6.25</v>
      </c>
      <c r="AE211">
        <v>0</v>
      </c>
      <c r="AF211">
        <v>0</v>
      </c>
      <c r="AG211">
        <v>0</v>
      </c>
      <c r="AJ211" s="56">
        <v>42666</v>
      </c>
      <c r="AK211" s="56"/>
      <c r="AL211" s="56"/>
      <c r="AM211">
        <v>5</v>
      </c>
      <c r="AP211" t="s">
        <v>1450</v>
      </c>
      <c r="AS211" t="s">
        <v>1152</v>
      </c>
      <c r="AT211">
        <v>1</v>
      </c>
      <c r="AV211">
        <v>4</v>
      </c>
      <c r="AW211">
        <v>3</v>
      </c>
      <c r="AX211">
        <v>1</v>
      </c>
      <c r="AY211" t="s">
        <v>1146</v>
      </c>
      <c r="AZ211" t="s">
        <v>1146</v>
      </c>
      <c r="BA211">
        <v>5</v>
      </c>
      <c r="BD211">
        <v>1000000000</v>
      </c>
      <c r="BE211">
        <v>1</v>
      </c>
      <c r="BF211">
        <v>0.75</v>
      </c>
      <c r="BG211">
        <v>0</v>
      </c>
      <c r="BH211">
        <v>0</v>
      </c>
      <c r="BI211">
        <v>0</v>
      </c>
      <c r="BJ211">
        <v>0</v>
      </c>
      <c r="BK211">
        <v>0</v>
      </c>
      <c r="BL211">
        <v>0</v>
      </c>
      <c r="BM211">
        <v>1</v>
      </c>
      <c r="BN211">
        <v>0.75</v>
      </c>
      <c r="BO211">
        <v>0</v>
      </c>
      <c r="BP211">
        <v>0</v>
      </c>
      <c r="BR211">
        <v>3</v>
      </c>
      <c r="BS211">
        <v>2</v>
      </c>
      <c r="BX211">
        <v>0</v>
      </c>
      <c r="BY211">
        <v>0</v>
      </c>
      <c r="BZ211">
        <v>0</v>
      </c>
      <c r="CA211">
        <v>9.8000000000000007</v>
      </c>
      <c r="CC211">
        <v>1</v>
      </c>
      <c r="CD211" s="56">
        <v>42619</v>
      </c>
      <c r="CE211" s="56">
        <v>42619</v>
      </c>
      <c r="CF211" s="56">
        <v>42619</v>
      </c>
      <c r="CG211" s="56">
        <v>42647</v>
      </c>
      <c r="CH211" s="56"/>
      <c r="CI211" s="56"/>
      <c r="CJ211">
        <v>0.34</v>
      </c>
      <c r="CK211">
        <v>0</v>
      </c>
      <c r="CL211">
        <v>0</v>
      </c>
      <c r="CM211">
        <v>0.31</v>
      </c>
      <c r="CN211">
        <v>0.35</v>
      </c>
      <c r="CO211">
        <v>0</v>
      </c>
      <c r="CP211">
        <v>0</v>
      </c>
      <c r="CQ211" t="s">
        <v>1378</v>
      </c>
      <c r="CR211" t="s">
        <v>1377</v>
      </c>
      <c r="CS211" t="s">
        <v>1451</v>
      </c>
      <c r="CT211" t="s">
        <v>1724</v>
      </c>
      <c r="CU211" t="s">
        <v>1742</v>
      </c>
      <c r="CV211" t="s">
        <v>1823</v>
      </c>
      <c r="DB211" t="s">
        <v>1794</v>
      </c>
      <c r="DE211" t="s">
        <v>1724</v>
      </c>
    </row>
    <row r="212" spans="1:109" x14ac:dyDescent="0.25">
      <c r="A212" t="s">
        <v>1378</v>
      </c>
      <c r="B212">
        <v>1</v>
      </c>
      <c r="C212" s="56">
        <v>42640</v>
      </c>
      <c r="D212" t="s">
        <v>1449</v>
      </c>
      <c r="E212" t="s">
        <v>2179</v>
      </c>
      <c r="G212" t="s">
        <v>1144</v>
      </c>
      <c r="H212" t="s">
        <v>1144</v>
      </c>
      <c r="I212" t="s">
        <v>1144</v>
      </c>
      <c r="J212" t="s">
        <v>1144</v>
      </c>
      <c r="K212" t="s">
        <v>1144</v>
      </c>
      <c r="L212">
        <v>450.66</v>
      </c>
      <c r="M212">
        <v>2</v>
      </c>
      <c r="N212">
        <v>0</v>
      </c>
      <c r="O212" s="56"/>
      <c r="P212" s="56"/>
      <c r="Q212">
        <v>13718</v>
      </c>
      <c r="R212">
        <v>9</v>
      </c>
      <c r="S212">
        <v>4</v>
      </c>
      <c r="T212">
        <v>2</v>
      </c>
      <c r="U212">
        <v>2</v>
      </c>
      <c r="V212">
        <v>1</v>
      </c>
      <c r="X212" t="s">
        <v>2386</v>
      </c>
      <c r="AA212">
        <v>0</v>
      </c>
      <c r="AB212">
        <v>0</v>
      </c>
      <c r="AC212">
        <v>0</v>
      </c>
      <c r="AD212">
        <v>0</v>
      </c>
      <c r="AE212">
        <v>0</v>
      </c>
      <c r="AF212">
        <v>0</v>
      </c>
      <c r="AG212">
        <v>0</v>
      </c>
      <c r="AJ212" s="56"/>
      <c r="AK212" s="56">
        <v>42369</v>
      </c>
      <c r="AL212" s="56"/>
      <c r="AM212">
        <v>1</v>
      </c>
      <c r="AP212" t="s">
        <v>1450</v>
      </c>
      <c r="AS212" t="s">
        <v>1152</v>
      </c>
      <c r="AT212">
        <v>1</v>
      </c>
      <c r="AV212">
        <v>1</v>
      </c>
      <c r="AW212">
        <v>1</v>
      </c>
      <c r="AX212">
        <v>0.5</v>
      </c>
      <c r="AY212" t="s">
        <v>1147</v>
      </c>
      <c r="AZ212" t="s">
        <v>1147</v>
      </c>
      <c r="BA212">
        <v>1</v>
      </c>
      <c r="BD212">
        <v>1000000000</v>
      </c>
      <c r="BE212">
        <v>2</v>
      </c>
      <c r="BF212">
        <v>-1</v>
      </c>
      <c r="BG212">
        <v>0</v>
      </c>
      <c r="BH212">
        <v>0</v>
      </c>
      <c r="BI212">
        <v>0</v>
      </c>
      <c r="BJ212">
        <v>0</v>
      </c>
      <c r="BK212">
        <v>0</v>
      </c>
      <c r="BL212">
        <v>0</v>
      </c>
      <c r="BM212">
        <v>2</v>
      </c>
      <c r="BN212">
        <v>-1</v>
      </c>
      <c r="BO212">
        <v>0</v>
      </c>
      <c r="BP212">
        <v>0</v>
      </c>
      <c r="BR212">
        <v>0</v>
      </c>
      <c r="BS212">
        <v>1</v>
      </c>
      <c r="BX212">
        <v>0</v>
      </c>
      <c r="BY212">
        <v>450.66</v>
      </c>
      <c r="BZ212">
        <v>0</v>
      </c>
      <c r="CA212">
        <v>-11.95</v>
      </c>
      <c r="CC212">
        <v>1</v>
      </c>
      <c r="CD212" s="56">
        <v>42593</v>
      </c>
      <c r="CE212" s="56">
        <v>42612</v>
      </c>
      <c r="CF212" s="56">
        <v>42612</v>
      </c>
      <c r="CG212" s="56">
        <v>42640</v>
      </c>
      <c r="CH212" s="56"/>
      <c r="CI212" s="56"/>
      <c r="CJ212">
        <v>0</v>
      </c>
      <c r="CK212">
        <v>0</v>
      </c>
      <c r="CL212">
        <v>0</v>
      </c>
      <c r="CM212">
        <v>0</v>
      </c>
      <c r="CN212">
        <v>0</v>
      </c>
      <c r="CO212">
        <v>0</v>
      </c>
      <c r="CP212">
        <v>0.71</v>
      </c>
      <c r="CQ212" t="s">
        <v>1378</v>
      </c>
      <c r="CR212" t="s">
        <v>1377</v>
      </c>
      <c r="CS212" t="s">
        <v>1451</v>
      </c>
      <c r="CT212" t="s">
        <v>1724</v>
      </c>
      <c r="CU212" t="s">
        <v>1742</v>
      </c>
      <c r="CV212" t="s">
        <v>2178</v>
      </c>
      <c r="DB212" t="s">
        <v>2161</v>
      </c>
      <c r="DE212" t="s">
        <v>1724</v>
      </c>
    </row>
    <row r="213" spans="1:109" x14ac:dyDescent="0.25">
      <c r="A213" t="s">
        <v>1378</v>
      </c>
      <c r="B213">
        <v>1</v>
      </c>
      <c r="C213" s="56">
        <v>42640</v>
      </c>
      <c r="D213" t="s">
        <v>1449</v>
      </c>
      <c r="E213" t="s">
        <v>1972</v>
      </c>
      <c r="G213" t="s">
        <v>1144</v>
      </c>
      <c r="H213" t="s">
        <v>1144</v>
      </c>
      <c r="I213" t="s">
        <v>1144</v>
      </c>
      <c r="J213" t="s">
        <v>1144</v>
      </c>
      <c r="K213" t="s">
        <v>1144</v>
      </c>
      <c r="L213">
        <v>330.13</v>
      </c>
      <c r="M213">
        <v>1020.89</v>
      </c>
      <c r="N213">
        <v>0</v>
      </c>
      <c r="O213" s="56"/>
      <c r="P213" s="56"/>
      <c r="Q213">
        <v>13718</v>
      </c>
      <c r="R213">
        <v>9</v>
      </c>
      <c r="S213">
        <v>4</v>
      </c>
      <c r="T213">
        <v>2</v>
      </c>
      <c r="U213">
        <v>2</v>
      </c>
      <c r="V213">
        <v>1</v>
      </c>
      <c r="X213" t="s">
        <v>2386</v>
      </c>
      <c r="AA213">
        <v>0</v>
      </c>
      <c r="AB213">
        <v>0</v>
      </c>
      <c r="AC213">
        <v>0</v>
      </c>
      <c r="AD213">
        <v>0</v>
      </c>
      <c r="AE213">
        <v>0</v>
      </c>
      <c r="AF213">
        <v>0</v>
      </c>
      <c r="AG213">
        <v>0</v>
      </c>
      <c r="AJ213" s="56"/>
      <c r="AK213" s="56"/>
      <c r="AL213" s="56"/>
      <c r="AM213">
        <v>2</v>
      </c>
      <c r="AP213" t="s">
        <v>1450</v>
      </c>
      <c r="AS213" t="s">
        <v>1152</v>
      </c>
      <c r="AT213">
        <v>1</v>
      </c>
      <c r="AV213">
        <v>2</v>
      </c>
      <c r="AW213">
        <v>2</v>
      </c>
      <c r="AX213">
        <v>1</v>
      </c>
      <c r="AY213" t="s">
        <v>1147</v>
      </c>
      <c r="AZ213" t="s">
        <v>1147</v>
      </c>
      <c r="BA213">
        <v>2</v>
      </c>
      <c r="BD213">
        <v>1000000000</v>
      </c>
      <c r="BE213">
        <v>3</v>
      </c>
      <c r="BF213">
        <v>-0.5</v>
      </c>
      <c r="BG213">
        <v>0</v>
      </c>
      <c r="BH213">
        <v>0</v>
      </c>
      <c r="BI213">
        <v>0</v>
      </c>
      <c r="BJ213">
        <v>0</v>
      </c>
      <c r="BK213">
        <v>0</v>
      </c>
      <c r="BL213">
        <v>0</v>
      </c>
      <c r="BM213">
        <v>3</v>
      </c>
      <c r="BN213">
        <v>-0.5</v>
      </c>
      <c r="BO213">
        <v>0</v>
      </c>
      <c r="BP213">
        <v>0</v>
      </c>
      <c r="BR213">
        <v>0</v>
      </c>
      <c r="BS213">
        <v>1</v>
      </c>
      <c r="BX213">
        <v>0</v>
      </c>
      <c r="BY213">
        <v>330.13</v>
      </c>
      <c r="BZ213">
        <v>0</v>
      </c>
      <c r="CA213">
        <v>25.11</v>
      </c>
      <c r="CC213">
        <v>1</v>
      </c>
      <c r="CD213" s="56">
        <v>42593</v>
      </c>
      <c r="CE213" s="56">
        <v>42612</v>
      </c>
      <c r="CF213" s="56">
        <v>42612</v>
      </c>
      <c r="CG213" s="56">
        <v>42640</v>
      </c>
      <c r="CH213" s="56"/>
      <c r="CI213" s="56"/>
      <c r="CJ213">
        <v>0</v>
      </c>
      <c r="CK213">
        <v>0</v>
      </c>
      <c r="CL213">
        <v>0</v>
      </c>
      <c r="CM213">
        <v>0</v>
      </c>
      <c r="CN213">
        <v>0</v>
      </c>
      <c r="CO213">
        <v>0</v>
      </c>
      <c r="CP213">
        <v>0.71</v>
      </c>
      <c r="CQ213" t="s">
        <v>1378</v>
      </c>
      <c r="CR213" t="s">
        <v>1377</v>
      </c>
      <c r="CS213" t="s">
        <v>1451</v>
      </c>
      <c r="CT213" t="s">
        <v>1724</v>
      </c>
      <c r="CU213" t="s">
        <v>1742</v>
      </c>
      <c r="CV213" t="s">
        <v>1973</v>
      </c>
      <c r="DB213" t="s">
        <v>1962</v>
      </c>
      <c r="DE213" t="s">
        <v>1724</v>
      </c>
    </row>
    <row r="214" spans="1:109" x14ac:dyDescent="0.25">
      <c r="A214" t="s">
        <v>1378</v>
      </c>
      <c r="B214">
        <v>1</v>
      </c>
      <c r="C214" s="56">
        <v>42640</v>
      </c>
      <c r="D214" t="s">
        <v>1449</v>
      </c>
      <c r="E214" t="s">
        <v>2316</v>
      </c>
      <c r="G214" t="s">
        <v>1144</v>
      </c>
      <c r="H214" t="s">
        <v>1144</v>
      </c>
      <c r="I214" t="s">
        <v>1144</v>
      </c>
      <c r="J214" t="s">
        <v>1144</v>
      </c>
      <c r="K214" t="s">
        <v>1144</v>
      </c>
      <c r="L214">
        <v>419.92</v>
      </c>
      <c r="M214">
        <v>2</v>
      </c>
      <c r="N214">
        <v>0</v>
      </c>
      <c r="O214" s="56"/>
      <c r="P214" s="56"/>
      <c r="Q214">
        <v>13718</v>
      </c>
      <c r="R214">
        <v>9</v>
      </c>
      <c r="S214">
        <v>4</v>
      </c>
      <c r="T214">
        <v>2</v>
      </c>
      <c r="U214">
        <v>2</v>
      </c>
      <c r="V214">
        <v>1</v>
      </c>
      <c r="W214" t="s">
        <v>1376</v>
      </c>
      <c r="X214" t="s">
        <v>2385</v>
      </c>
      <c r="AA214">
        <v>0</v>
      </c>
      <c r="AB214">
        <v>0</v>
      </c>
      <c r="AC214">
        <v>0</v>
      </c>
      <c r="AD214">
        <v>0</v>
      </c>
      <c r="AE214">
        <v>0</v>
      </c>
      <c r="AF214">
        <v>0</v>
      </c>
      <c r="AG214">
        <v>0</v>
      </c>
      <c r="AJ214" s="56"/>
      <c r="AK214" s="56"/>
      <c r="AL214" s="56"/>
      <c r="AM214">
        <v>1</v>
      </c>
      <c r="AP214" t="s">
        <v>1450</v>
      </c>
      <c r="AS214" t="s">
        <v>1152</v>
      </c>
      <c r="AT214">
        <v>1</v>
      </c>
      <c r="AV214">
        <v>2</v>
      </c>
      <c r="AW214">
        <v>2</v>
      </c>
      <c r="AX214">
        <v>1</v>
      </c>
      <c r="AY214" t="s">
        <v>1145</v>
      </c>
      <c r="AZ214" t="s">
        <v>1145</v>
      </c>
      <c r="BA214">
        <v>4</v>
      </c>
      <c r="BD214">
        <v>1000000000</v>
      </c>
      <c r="BE214">
        <v>2</v>
      </c>
      <c r="BF214">
        <v>0</v>
      </c>
      <c r="BG214">
        <v>0</v>
      </c>
      <c r="BH214">
        <v>0</v>
      </c>
      <c r="BI214">
        <v>0</v>
      </c>
      <c r="BJ214">
        <v>0</v>
      </c>
      <c r="BK214">
        <v>0</v>
      </c>
      <c r="BL214">
        <v>0</v>
      </c>
      <c r="BM214">
        <v>2</v>
      </c>
      <c r="BN214">
        <v>0</v>
      </c>
      <c r="BO214">
        <v>0</v>
      </c>
      <c r="BP214">
        <v>0</v>
      </c>
      <c r="BR214">
        <v>0</v>
      </c>
      <c r="BS214">
        <v>1</v>
      </c>
      <c r="BX214">
        <v>0</v>
      </c>
      <c r="BY214">
        <v>0</v>
      </c>
      <c r="BZ214">
        <v>0</v>
      </c>
      <c r="CA214">
        <v>-11.94</v>
      </c>
      <c r="CC214">
        <v>1</v>
      </c>
      <c r="CD214" s="56">
        <v>42619</v>
      </c>
      <c r="CE214" s="56">
        <v>42619</v>
      </c>
      <c r="CF214" s="56">
        <v>42619</v>
      </c>
      <c r="CG214" s="56">
        <v>42647</v>
      </c>
      <c r="CH214" s="56"/>
      <c r="CI214" s="56"/>
      <c r="CJ214">
        <v>0</v>
      </c>
      <c r="CK214">
        <v>0</v>
      </c>
      <c r="CL214">
        <v>0</v>
      </c>
      <c r="CM214">
        <v>0</v>
      </c>
      <c r="CN214">
        <v>0.65</v>
      </c>
      <c r="CO214">
        <v>0</v>
      </c>
      <c r="CP214">
        <v>0</v>
      </c>
      <c r="CQ214" t="s">
        <v>1378</v>
      </c>
      <c r="CR214" t="s">
        <v>1377</v>
      </c>
      <c r="CS214" t="s">
        <v>1451</v>
      </c>
      <c r="CT214" t="s">
        <v>1724</v>
      </c>
      <c r="CU214" t="s">
        <v>1742</v>
      </c>
      <c r="CV214" t="s">
        <v>2317</v>
      </c>
      <c r="DB214" t="s">
        <v>2309</v>
      </c>
      <c r="DE214" t="s">
        <v>1724</v>
      </c>
    </row>
    <row r="215" spans="1:109" x14ac:dyDescent="0.25">
      <c r="A215" t="s">
        <v>1378</v>
      </c>
      <c r="B215">
        <v>1</v>
      </c>
      <c r="C215" s="56">
        <v>42640</v>
      </c>
      <c r="D215" t="s">
        <v>1449</v>
      </c>
      <c r="E215" t="s">
        <v>2015</v>
      </c>
      <c r="G215" t="s">
        <v>1144</v>
      </c>
      <c r="H215" t="s">
        <v>1144</v>
      </c>
      <c r="I215" t="s">
        <v>1144</v>
      </c>
      <c r="J215" t="s">
        <v>1144</v>
      </c>
      <c r="K215" t="s">
        <v>1144</v>
      </c>
      <c r="L215">
        <v>178.37</v>
      </c>
      <c r="M215">
        <v>2</v>
      </c>
      <c r="N215">
        <v>0</v>
      </c>
      <c r="O215" s="56"/>
      <c r="P215" s="56"/>
      <c r="Q215">
        <v>13718</v>
      </c>
      <c r="R215">
        <v>9</v>
      </c>
      <c r="S215">
        <v>4</v>
      </c>
      <c r="T215">
        <v>2</v>
      </c>
      <c r="U215">
        <v>2</v>
      </c>
      <c r="V215">
        <v>1</v>
      </c>
      <c r="W215" t="s">
        <v>2379</v>
      </c>
      <c r="X215" t="s">
        <v>2387</v>
      </c>
      <c r="AA215">
        <v>0.04</v>
      </c>
      <c r="AB215">
        <v>1</v>
      </c>
      <c r="AC215">
        <v>12.5</v>
      </c>
      <c r="AD215">
        <v>12.5</v>
      </c>
      <c r="AE215">
        <v>0</v>
      </c>
      <c r="AF215">
        <v>0</v>
      </c>
      <c r="AG215">
        <v>0</v>
      </c>
      <c r="AJ215" s="56"/>
      <c r="AK215" s="56"/>
      <c r="AL215" s="56">
        <v>42322</v>
      </c>
      <c r="AM215">
        <v>1</v>
      </c>
      <c r="AP215" t="s">
        <v>1450</v>
      </c>
      <c r="AS215" t="s">
        <v>1152</v>
      </c>
      <c r="AT215">
        <v>1</v>
      </c>
      <c r="AV215">
        <v>2</v>
      </c>
      <c r="AW215">
        <v>2</v>
      </c>
      <c r="AX215">
        <v>1</v>
      </c>
      <c r="AY215" t="s">
        <v>1145</v>
      </c>
      <c r="AZ215" t="s">
        <v>1145</v>
      </c>
      <c r="BA215">
        <v>1</v>
      </c>
      <c r="BD215">
        <v>1000000000</v>
      </c>
      <c r="BE215">
        <v>2</v>
      </c>
      <c r="BF215">
        <v>0</v>
      </c>
      <c r="BG215">
        <v>0</v>
      </c>
      <c r="BH215">
        <v>0</v>
      </c>
      <c r="BI215">
        <v>0</v>
      </c>
      <c r="BJ215">
        <v>0</v>
      </c>
      <c r="BK215">
        <v>0</v>
      </c>
      <c r="BL215">
        <v>0</v>
      </c>
      <c r="BM215">
        <v>2</v>
      </c>
      <c r="BN215">
        <v>0</v>
      </c>
      <c r="BO215">
        <v>0</v>
      </c>
      <c r="BP215">
        <v>0</v>
      </c>
      <c r="BR215">
        <v>0</v>
      </c>
      <c r="BS215">
        <v>1</v>
      </c>
      <c r="BX215">
        <v>0</v>
      </c>
      <c r="BY215">
        <v>0</v>
      </c>
      <c r="BZ215">
        <v>0</v>
      </c>
      <c r="CA215">
        <v>-11.87</v>
      </c>
      <c r="CC215">
        <v>1</v>
      </c>
      <c r="CD215" s="56">
        <v>42592</v>
      </c>
      <c r="CE215" s="56">
        <v>42612</v>
      </c>
      <c r="CF215" s="56">
        <v>42612</v>
      </c>
      <c r="CG215" s="56">
        <v>42640</v>
      </c>
      <c r="CH215" s="56"/>
      <c r="CI215" s="56"/>
      <c r="CJ215">
        <v>0</v>
      </c>
      <c r="CK215">
        <v>0</v>
      </c>
      <c r="CL215">
        <v>0</v>
      </c>
      <c r="CM215">
        <v>0</v>
      </c>
      <c r="CN215">
        <v>0.71</v>
      </c>
      <c r="CO215">
        <v>0</v>
      </c>
      <c r="CP215">
        <v>0</v>
      </c>
      <c r="CQ215" t="s">
        <v>1378</v>
      </c>
      <c r="CR215" t="s">
        <v>1377</v>
      </c>
      <c r="CS215" t="s">
        <v>1451</v>
      </c>
      <c r="CT215" t="s">
        <v>1724</v>
      </c>
      <c r="CU215" t="s">
        <v>1742</v>
      </c>
      <c r="CV215" t="s">
        <v>2016</v>
      </c>
      <c r="DB215" t="s">
        <v>2014</v>
      </c>
      <c r="DE215" t="s">
        <v>1724</v>
      </c>
    </row>
    <row r="216" spans="1:109" x14ac:dyDescent="0.25">
      <c r="A216" t="s">
        <v>1378</v>
      </c>
      <c r="B216">
        <v>1</v>
      </c>
      <c r="C216" s="56">
        <v>42640</v>
      </c>
      <c r="D216" t="s">
        <v>1449</v>
      </c>
      <c r="E216" t="s">
        <v>2371</v>
      </c>
      <c r="G216" t="s">
        <v>1144</v>
      </c>
      <c r="H216" t="s">
        <v>1144</v>
      </c>
      <c r="I216" t="s">
        <v>1144</v>
      </c>
      <c r="J216" t="s">
        <v>1144</v>
      </c>
      <c r="K216" t="s">
        <v>1144</v>
      </c>
      <c r="L216">
        <v>283.14</v>
      </c>
      <c r="M216">
        <v>878.08</v>
      </c>
      <c r="N216">
        <v>0</v>
      </c>
      <c r="O216" s="56"/>
      <c r="P216" s="56"/>
      <c r="Q216">
        <v>13718</v>
      </c>
      <c r="R216">
        <v>9</v>
      </c>
      <c r="S216">
        <v>4</v>
      </c>
      <c r="T216">
        <v>2</v>
      </c>
      <c r="U216">
        <v>2</v>
      </c>
      <c r="V216">
        <v>1</v>
      </c>
      <c r="X216" t="s">
        <v>2385</v>
      </c>
      <c r="AA216">
        <v>0</v>
      </c>
      <c r="AB216">
        <v>0</v>
      </c>
      <c r="AC216">
        <v>0</v>
      </c>
      <c r="AD216">
        <v>0</v>
      </c>
      <c r="AE216">
        <v>0</v>
      </c>
      <c r="AF216">
        <v>0</v>
      </c>
      <c r="AG216">
        <v>0</v>
      </c>
      <c r="AJ216" s="56"/>
      <c r="AK216" s="56">
        <v>42369</v>
      </c>
      <c r="AL216" s="56"/>
      <c r="AM216">
        <v>5</v>
      </c>
      <c r="AP216" t="s">
        <v>1450</v>
      </c>
      <c r="AS216" t="s">
        <v>1152</v>
      </c>
      <c r="AT216">
        <v>1</v>
      </c>
      <c r="AV216">
        <v>2</v>
      </c>
      <c r="AW216">
        <v>2</v>
      </c>
      <c r="AX216">
        <v>1</v>
      </c>
      <c r="AY216" t="s">
        <v>1147</v>
      </c>
      <c r="AZ216" t="s">
        <v>1147</v>
      </c>
      <c r="BA216">
        <v>5</v>
      </c>
      <c r="BD216">
        <v>1000000000</v>
      </c>
      <c r="BE216">
        <v>3</v>
      </c>
      <c r="BF216">
        <v>-0.5</v>
      </c>
      <c r="BG216">
        <v>0</v>
      </c>
      <c r="BH216">
        <v>0</v>
      </c>
      <c r="BI216">
        <v>0</v>
      </c>
      <c r="BJ216">
        <v>0</v>
      </c>
      <c r="BK216">
        <v>0</v>
      </c>
      <c r="BL216">
        <v>0</v>
      </c>
      <c r="BM216">
        <v>3</v>
      </c>
      <c r="BN216">
        <v>-0.5</v>
      </c>
      <c r="BO216">
        <v>0</v>
      </c>
      <c r="BP216">
        <v>0</v>
      </c>
      <c r="BR216">
        <v>0</v>
      </c>
      <c r="BS216">
        <v>1</v>
      </c>
      <c r="BX216">
        <v>0</v>
      </c>
      <c r="BY216">
        <v>283.14</v>
      </c>
      <c r="BZ216">
        <v>0</v>
      </c>
      <c r="CA216">
        <v>25.21</v>
      </c>
      <c r="CC216">
        <v>1</v>
      </c>
      <c r="CD216" s="56">
        <v>42619</v>
      </c>
      <c r="CE216" s="56">
        <v>42619</v>
      </c>
      <c r="CF216" s="56">
        <v>42619</v>
      </c>
      <c r="CG216" s="56">
        <v>42647</v>
      </c>
      <c r="CH216" s="56"/>
      <c r="CI216" s="56"/>
      <c r="CJ216">
        <v>0</v>
      </c>
      <c r="CK216">
        <v>0</v>
      </c>
      <c r="CL216">
        <v>0</v>
      </c>
      <c r="CM216">
        <v>0</v>
      </c>
      <c r="CN216">
        <v>0</v>
      </c>
      <c r="CO216">
        <v>0</v>
      </c>
      <c r="CP216">
        <v>0.65</v>
      </c>
      <c r="CQ216" t="s">
        <v>1378</v>
      </c>
      <c r="CR216" t="s">
        <v>1377</v>
      </c>
      <c r="CS216" t="s">
        <v>1451</v>
      </c>
      <c r="CT216" t="s">
        <v>1724</v>
      </c>
      <c r="CU216" t="s">
        <v>1742</v>
      </c>
      <c r="CV216" t="s">
        <v>2372</v>
      </c>
      <c r="DB216" t="s">
        <v>2351</v>
      </c>
      <c r="DE216" t="s">
        <v>1724</v>
      </c>
    </row>
    <row r="217" spans="1:109" x14ac:dyDescent="0.25">
      <c r="A217" t="s">
        <v>1378</v>
      </c>
      <c r="B217">
        <v>1</v>
      </c>
      <c r="C217" s="56">
        <v>42640</v>
      </c>
      <c r="D217" t="s">
        <v>1449</v>
      </c>
      <c r="E217" t="s">
        <v>1437</v>
      </c>
      <c r="G217" t="s">
        <v>1144</v>
      </c>
      <c r="H217" t="s">
        <v>1144</v>
      </c>
      <c r="I217" t="s">
        <v>1144</v>
      </c>
      <c r="J217" t="s">
        <v>1144</v>
      </c>
      <c r="K217" t="s">
        <v>1144</v>
      </c>
      <c r="L217">
        <v>115.8</v>
      </c>
      <c r="M217">
        <v>293.95</v>
      </c>
      <c r="N217">
        <v>0</v>
      </c>
      <c r="O217" s="56"/>
      <c r="P217" s="56"/>
      <c r="Q217">
        <v>13718</v>
      </c>
      <c r="R217">
        <v>9</v>
      </c>
      <c r="S217">
        <v>4</v>
      </c>
      <c r="T217">
        <v>2</v>
      </c>
      <c r="U217">
        <v>2</v>
      </c>
      <c r="V217">
        <v>1</v>
      </c>
      <c r="W217" t="s">
        <v>1376</v>
      </c>
      <c r="X217" t="s">
        <v>2385</v>
      </c>
      <c r="AA217">
        <v>0.39</v>
      </c>
      <c r="AB217">
        <v>3</v>
      </c>
      <c r="AC217">
        <v>2.56</v>
      </c>
      <c r="AD217">
        <v>1.92</v>
      </c>
      <c r="AE217">
        <v>0</v>
      </c>
      <c r="AF217">
        <v>0</v>
      </c>
      <c r="AG217">
        <v>0</v>
      </c>
      <c r="AJ217" s="56"/>
      <c r="AK217" s="56"/>
      <c r="AL217" s="56"/>
      <c r="AM217">
        <v>5</v>
      </c>
      <c r="AP217" t="s">
        <v>1450</v>
      </c>
      <c r="AS217" t="s">
        <v>1152</v>
      </c>
      <c r="AT217">
        <v>1</v>
      </c>
      <c r="AV217">
        <v>4</v>
      </c>
      <c r="AW217">
        <v>3</v>
      </c>
      <c r="AX217">
        <v>1</v>
      </c>
      <c r="AY217" t="s">
        <v>1145</v>
      </c>
      <c r="AZ217" t="s">
        <v>1145</v>
      </c>
      <c r="BA217">
        <v>5</v>
      </c>
      <c r="BD217">
        <v>1000000000</v>
      </c>
      <c r="BE217">
        <v>3</v>
      </c>
      <c r="BF217">
        <v>0.25</v>
      </c>
      <c r="BG217">
        <v>0</v>
      </c>
      <c r="BH217">
        <v>0</v>
      </c>
      <c r="BI217">
        <v>0</v>
      </c>
      <c r="BJ217">
        <v>0</v>
      </c>
      <c r="BK217">
        <v>0</v>
      </c>
      <c r="BL217">
        <v>0</v>
      </c>
      <c r="BM217">
        <v>3</v>
      </c>
      <c r="BN217">
        <v>0.25</v>
      </c>
      <c r="BO217">
        <v>0</v>
      </c>
      <c r="BP217">
        <v>0</v>
      </c>
      <c r="BR217">
        <v>1</v>
      </c>
      <c r="BS217">
        <v>2</v>
      </c>
      <c r="BX217">
        <v>0</v>
      </c>
      <c r="BY217">
        <v>0</v>
      </c>
      <c r="BZ217">
        <v>0</v>
      </c>
      <c r="CA217">
        <v>18.46</v>
      </c>
      <c r="CC217">
        <v>1</v>
      </c>
      <c r="CD217" s="56">
        <v>42619</v>
      </c>
      <c r="CE217" s="56">
        <v>42619</v>
      </c>
      <c r="CF217" s="56">
        <v>42619</v>
      </c>
      <c r="CG217" s="56">
        <v>42647</v>
      </c>
      <c r="CH217" s="56"/>
      <c r="CI217" s="56"/>
      <c r="CJ217">
        <v>0</v>
      </c>
      <c r="CK217">
        <v>0</v>
      </c>
      <c r="CL217">
        <v>0</v>
      </c>
      <c r="CM217">
        <v>0</v>
      </c>
      <c r="CN217">
        <v>0.65</v>
      </c>
      <c r="CO217">
        <v>0</v>
      </c>
      <c r="CP217">
        <v>0</v>
      </c>
      <c r="CQ217" t="s">
        <v>1378</v>
      </c>
      <c r="CR217" t="s">
        <v>1377</v>
      </c>
      <c r="CS217" t="s">
        <v>1451</v>
      </c>
      <c r="CT217" t="s">
        <v>1724</v>
      </c>
      <c r="CU217" t="s">
        <v>1742</v>
      </c>
      <c r="CV217" t="s">
        <v>2070</v>
      </c>
      <c r="DB217" t="s">
        <v>2059</v>
      </c>
      <c r="DE217" t="s">
        <v>1724</v>
      </c>
    </row>
    <row r="218" spans="1:109" x14ac:dyDescent="0.25">
      <c r="A218" t="s">
        <v>1378</v>
      </c>
      <c r="B218">
        <v>1</v>
      </c>
      <c r="C218" s="56">
        <v>42640</v>
      </c>
      <c r="D218" t="s">
        <v>1449</v>
      </c>
      <c r="E218" t="s">
        <v>1763</v>
      </c>
      <c r="G218" t="s">
        <v>1144</v>
      </c>
      <c r="H218" t="s">
        <v>1144</v>
      </c>
      <c r="I218" t="s">
        <v>1144</v>
      </c>
      <c r="J218" t="s">
        <v>1144</v>
      </c>
      <c r="K218" t="s">
        <v>1144</v>
      </c>
      <c r="L218">
        <v>160.52000000000001</v>
      </c>
      <c r="M218">
        <v>361.16</v>
      </c>
      <c r="N218">
        <v>0</v>
      </c>
      <c r="O218" s="56"/>
      <c r="P218" s="56"/>
      <c r="Q218">
        <v>13718</v>
      </c>
      <c r="R218">
        <v>9</v>
      </c>
      <c r="S218">
        <v>4</v>
      </c>
      <c r="T218">
        <v>2</v>
      </c>
      <c r="U218">
        <v>2</v>
      </c>
      <c r="V218">
        <v>1</v>
      </c>
      <c r="X218" t="s">
        <v>2385</v>
      </c>
      <c r="AA218">
        <v>0</v>
      </c>
      <c r="AB218">
        <v>0</v>
      </c>
      <c r="AC218">
        <v>0</v>
      </c>
      <c r="AD218">
        <v>0</v>
      </c>
      <c r="AE218">
        <v>0</v>
      </c>
      <c r="AF218">
        <v>0</v>
      </c>
      <c r="AG218">
        <v>0</v>
      </c>
      <c r="AJ218" s="56"/>
      <c r="AK218" s="56"/>
      <c r="AL218" s="56"/>
      <c r="AM218">
        <v>5</v>
      </c>
      <c r="AP218" t="s">
        <v>1450</v>
      </c>
      <c r="AS218" t="s">
        <v>1152</v>
      </c>
      <c r="AT218">
        <v>1</v>
      </c>
      <c r="AV218">
        <v>3</v>
      </c>
      <c r="AW218">
        <v>2</v>
      </c>
      <c r="AX218">
        <v>1</v>
      </c>
      <c r="AY218" t="s">
        <v>1147</v>
      </c>
      <c r="AZ218" t="s">
        <v>1147</v>
      </c>
      <c r="BA218">
        <v>5</v>
      </c>
      <c r="BD218">
        <v>1000000000</v>
      </c>
      <c r="BE218">
        <v>9</v>
      </c>
      <c r="BF218">
        <v>-2</v>
      </c>
      <c r="BG218">
        <v>0</v>
      </c>
      <c r="BH218">
        <v>0</v>
      </c>
      <c r="BI218">
        <v>0</v>
      </c>
      <c r="BJ218">
        <v>0</v>
      </c>
      <c r="BK218">
        <v>0</v>
      </c>
      <c r="BL218">
        <v>0</v>
      </c>
      <c r="BM218">
        <v>9</v>
      </c>
      <c r="BN218">
        <v>-2</v>
      </c>
      <c r="BO218">
        <v>0</v>
      </c>
      <c r="BP218">
        <v>0</v>
      </c>
      <c r="BR218">
        <v>0</v>
      </c>
      <c r="BS218">
        <v>2</v>
      </c>
      <c r="BX218">
        <v>0</v>
      </c>
      <c r="BY218">
        <v>963.12</v>
      </c>
      <c r="BZ218">
        <v>0</v>
      </c>
      <c r="CA218">
        <v>15</v>
      </c>
      <c r="CC218">
        <v>1</v>
      </c>
      <c r="CD218" s="56">
        <v>42619</v>
      </c>
      <c r="CE218" s="56">
        <v>42619</v>
      </c>
      <c r="CF218" s="56">
        <v>42619</v>
      </c>
      <c r="CG218" s="56">
        <v>42647</v>
      </c>
      <c r="CH218" s="56"/>
      <c r="CI218" s="56"/>
      <c r="CJ218">
        <v>0</v>
      </c>
      <c r="CK218">
        <v>0</v>
      </c>
      <c r="CL218">
        <v>0</v>
      </c>
      <c r="CM218">
        <v>0</v>
      </c>
      <c r="CN218">
        <v>0</v>
      </c>
      <c r="CO218">
        <v>0</v>
      </c>
      <c r="CP218">
        <v>0.65</v>
      </c>
      <c r="CQ218" t="s">
        <v>1378</v>
      </c>
      <c r="CR218" t="s">
        <v>1377</v>
      </c>
      <c r="CS218" t="s">
        <v>1451</v>
      </c>
      <c r="CT218" t="s">
        <v>1724</v>
      </c>
      <c r="CU218" t="s">
        <v>1742</v>
      </c>
      <c r="CV218" t="s">
        <v>1764</v>
      </c>
      <c r="DB218" t="s">
        <v>1762</v>
      </c>
      <c r="DE218" t="s">
        <v>1724</v>
      </c>
    </row>
    <row r="219" spans="1:109" x14ac:dyDescent="0.25">
      <c r="A219" t="s">
        <v>1378</v>
      </c>
      <c r="B219">
        <v>1</v>
      </c>
      <c r="C219" s="56">
        <v>42640</v>
      </c>
      <c r="D219" t="s">
        <v>1449</v>
      </c>
      <c r="E219" t="s">
        <v>1481</v>
      </c>
      <c r="G219" t="s">
        <v>1144</v>
      </c>
      <c r="H219" t="s">
        <v>1144</v>
      </c>
      <c r="I219" t="s">
        <v>1144</v>
      </c>
      <c r="J219" t="s">
        <v>1144</v>
      </c>
      <c r="K219" t="s">
        <v>1144</v>
      </c>
      <c r="L219">
        <v>1194.3499999999999</v>
      </c>
      <c r="M219">
        <v>2568.5100000000002</v>
      </c>
      <c r="N219">
        <v>0</v>
      </c>
      <c r="O219" s="56"/>
      <c r="P219" s="56"/>
      <c r="Q219">
        <v>13718</v>
      </c>
      <c r="R219">
        <v>9</v>
      </c>
      <c r="S219">
        <v>4</v>
      </c>
      <c r="T219">
        <v>2</v>
      </c>
      <c r="U219">
        <v>2</v>
      </c>
      <c r="V219">
        <v>1</v>
      </c>
      <c r="X219" t="s">
        <v>2385</v>
      </c>
      <c r="AA219">
        <v>0.27</v>
      </c>
      <c r="AB219">
        <v>2</v>
      </c>
      <c r="AC219">
        <v>2.78</v>
      </c>
      <c r="AD219">
        <v>4.63</v>
      </c>
      <c r="AE219">
        <v>0</v>
      </c>
      <c r="AF219">
        <v>0</v>
      </c>
      <c r="AG219">
        <v>0</v>
      </c>
      <c r="AJ219" s="56"/>
      <c r="AK219" s="56"/>
      <c r="AL219" s="56"/>
      <c r="AM219">
        <v>6</v>
      </c>
      <c r="AP219" t="s">
        <v>1450</v>
      </c>
      <c r="AS219" t="s">
        <v>1152</v>
      </c>
      <c r="AT219">
        <v>1</v>
      </c>
      <c r="AV219">
        <v>3</v>
      </c>
      <c r="AW219">
        <v>2</v>
      </c>
      <c r="AX219">
        <v>1</v>
      </c>
      <c r="AY219" t="s">
        <v>1147</v>
      </c>
      <c r="AZ219" t="s">
        <v>1147</v>
      </c>
      <c r="BA219">
        <v>6</v>
      </c>
      <c r="BD219">
        <v>1000000000</v>
      </c>
      <c r="BE219">
        <v>5</v>
      </c>
      <c r="BF219">
        <v>-0.67</v>
      </c>
      <c r="BG219">
        <v>0</v>
      </c>
      <c r="BH219">
        <v>0</v>
      </c>
      <c r="BI219">
        <v>0</v>
      </c>
      <c r="BJ219">
        <v>0</v>
      </c>
      <c r="BK219">
        <v>0</v>
      </c>
      <c r="BL219">
        <v>0</v>
      </c>
      <c r="BM219">
        <v>5</v>
      </c>
      <c r="BN219">
        <v>-0.67</v>
      </c>
      <c r="BO219">
        <v>0</v>
      </c>
      <c r="BP219">
        <v>0</v>
      </c>
      <c r="BR219">
        <v>0</v>
      </c>
      <c r="BS219">
        <v>2</v>
      </c>
      <c r="BX219">
        <v>0</v>
      </c>
      <c r="BY219">
        <v>2388.6999999999998</v>
      </c>
      <c r="BZ219">
        <v>0</v>
      </c>
      <c r="CA219">
        <v>13.81</v>
      </c>
      <c r="CC219">
        <v>1</v>
      </c>
      <c r="CD219" s="56">
        <v>42619</v>
      </c>
      <c r="CE219" s="56">
        <v>42619</v>
      </c>
      <c r="CF219" s="56">
        <v>42619</v>
      </c>
      <c r="CG219" s="56">
        <v>42647</v>
      </c>
      <c r="CH219" s="56"/>
      <c r="CI219" s="56"/>
      <c r="CJ219">
        <v>0.08</v>
      </c>
      <c r="CK219">
        <v>0</v>
      </c>
      <c r="CL219">
        <v>0</v>
      </c>
      <c r="CM219">
        <v>0</v>
      </c>
      <c r="CN219">
        <v>0</v>
      </c>
      <c r="CO219">
        <v>0</v>
      </c>
      <c r="CP219">
        <v>0.65</v>
      </c>
      <c r="CQ219" t="s">
        <v>1378</v>
      </c>
      <c r="CR219" t="s">
        <v>1377</v>
      </c>
      <c r="CS219" t="s">
        <v>1451</v>
      </c>
      <c r="CT219" t="s">
        <v>1724</v>
      </c>
      <c r="CU219" t="s">
        <v>1742</v>
      </c>
      <c r="CV219" t="s">
        <v>2126</v>
      </c>
      <c r="DB219" t="s">
        <v>2111</v>
      </c>
      <c r="DE219" t="s">
        <v>1724</v>
      </c>
    </row>
    <row r="220" spans="1:109" x14ac:dyDescent="0.25">
      <c r="A220" t="s">
        <v>1378</v>
      </c>
      <c r="B220">
        <v>1</v>
      </c>
      <c r="C220" s="56">
        <v>42640</v>
      </c>
      <c r="D220" t="s">
        <v>1449</v>
      </c>
      <c r="E220" t="s">
        <v>1383</v>
      </c>
      <c r="G220" t="s">
        <v>1144</v>
      </c>
      <c r="H220" t="s">
        <v>1144</v>
      </c>
      <c r="I220" t="s">
        <v>1144</v>
      </c>
      <c r="J220" t="s">
        <v>1144</v>
      </c>
      <c r="K220" t="s">
        <v>1144</v>
      </c>
      <c r="L220">
        <v>760.94</v>
      </c>
      <c r="M220">
        <v>1637.27</v>
      </c>
      <c r="N220">
        <v>0</v>
      </c>
      <c r="O220" s="56"/>
      <c r="P220" s="56"/>
      <c r="Q220">
        <v>13718</v>
      </c>
      <c r="R220">
        <v>9</v>
      </c>
      <c r="S220">
        <v>4</v>
      </c>
      <c r="T220">
        <v>2</v>
      </c>
      <c r="U220">
        <v>2</v>
      </c>
      <c r="V220">
        <v>1</v>
      </c>
      <c r="X220" t="s">
        <v>2385</v>
      </c>
      <c r="AA220">
        <v>0.16</v>
      </c>
      <c r="AB220">
        <v>1</v>
      </c>
      <c r="AC220">
        <v>4.6900000000000004</v>
      </c>
      <c r="AD220">
        <v>6.25</v>
      </c>
      <c r="AE220">
        <v>0</v>
      </c>
      <c r="AF220">
        <v>0</v>
      </c>
      <c r="AG220">
        <v>0</v>
      </c>
      <c r="AJ220" s="56"/>
      <c r="AK220" s="56"/>
      <c r="AL220" s="56">
        <v>42322</v>
      </c>
      <c r="AM220">
        <v>5</v>
      </c>
      <c r="AP220" t="s">
        <v>1450</v>
      </c>
      <c r="AS220" t="s">
        <v>1152</v>
      </c>
      <c r="AT220">
        <v>1</v>
      </c>
      <c r="AV220">
        <v>3</v>
      </c>
      <c r="AW220">
        <v>2</v>
      </c>
      <c r="AX220">
        <v>1</v>
      </c>
      <c r="AY220" t="s">
        <v>1147</v>
      </c>
      <c r="AZ220" t="s">
        <v>1147</v>
      </c>
      <c r="BA220">
        <v>5</v>
      </c>
      <c r="BD220">
        <v>1000000000</v>
      </c>
      <c r="BE220">
        <v>4</v>
      </c>
      <c r="BF220">
        <v>-0.33</v>
      </c>
      <c r="BG220">
        <v>0</v>
      </c>
      <c r="BH220">
        <v>0</v>
      </c>
      <c r="BI220">
        <v>0</v>
      </c>
      <c r="BJ220">
        <v>0</v>
      </c>
      <c r="BK220">
        <v>0</v>
      </c>
      <c r="BL220">
        <v>0</v>
      </c>
      <c r="BM220">
        <v>4</v>
      </c>
      <c r="BN220">
        <v>-0.33</v>
      </c>
      <c r="BO220">
        <v>0</v>
      </c>
      <c r="BP220">
        <v>0</v>
      </c>
      <c r="BR220">
        <v>0</v>
      </c>
      <c r="BS220">
        <v>2</v>
      </c>
      <c r="BX220">
        <v>0</v>
      </c>
      <c r="BY220">
        <v>760.94</v>
      </c>
      <c r="BZ220">
        <v>0</v>
      </c>
      <c r="CA220">
        <v>13.82</v>
      </c>
      <c r="CC220">
        <v>1</v>
      </c>
      <c r="CD220" s="56">
        <v>42619</v>
      </c>
      <c r="CE220" s="56">
        <v>42619</v>
      </c>
      <c r="CF220" s="56">
        <v>42619</v>
      </c>
      <c r="CG220" s="56">
        <v>42647</v>
      </c>
      <c r="CH220" s="56"/>
      <c r="CI220" s="56"/>
      <c r="CJ220">
        <v>0</v>
      </c>
      <c r="CK220">
        <v>0</v>
      </c>
      <c r="CL220">
        <v>0</v>
      </c>
      <c r="CM220">
        <v>0</v>
      </c>
      <c r="CN220">
        <v>0</v>
      </c>
      <c r="CO220">
        <v>0</v>
      </c>
      <c r="CP220">
        <v>0.65</v>
      </c>
      <c r="CQ220" t="s">
        <v>1378</v>
      </c>
      <c r="CR220" t="s">
        <v>1377</v>
      </c>
      <c r="CS220" t="s">
        <v>1451</v>
      </c>
      <c r="CT220" t="s">
        <v>1724</v>
      </c>
      <c r="CU220" t="s">
        <v>1742</v>
      </c>
      <c r="CV220" t="s">
        <v>1816</v>
      </c>
      <c r="DB220" t="s">
        <v>1783</v>
      </c>
      <c r="DE220" t="s">
        <v>1724</v>
      </c>
    </row>
    <row r="221" spans="1:109" x14ac:dyDescent="0.25">
      <c r="A221" t="s">
        <v>1378</v>
      </c>
      <c r="B221">
        <v>1</v>
      </c>
      <c r="C221" s="56">
        <v>42640</v>
      </c>
      <c r="D221" t="s">
        <v>1449</v>
      </c>
      <c r="E221" t="s">
        <v>2168</v>
      </c>
      <c r="G221" t="s">
        <v>1144</v>
      </c>
      <c r="H221" t="s">
        <v>1144</v>
      </c>
      <c r="I221" t="s">
        <v>1144</v>
      </c>
      <c r="J221" t="s">
        <v>1144</v>
      </c>
      <c r="K221" t="s">
        <v>1144</v>
      </c>
      <c r="L221">
        <v>319.86</v>
      </c>
      <c r="M221">
        <v>2</v>
      </c>
      <c r="N221">
        <v>0</v>
      </c>
      <c r="O221" s="56"/>
      <c r="P221" s="56"/>
      <c r="Q221">
        <v>13718</v>
      </c>
      <c r="R221">
        <v>9</v>
      </c>
      <c r="S221">
        <v>4</v>
      </c>
      <c r="T221">
        <v>2</v>
      </c>
      <c r="U221">
        <v>2</v>
      </c>
      <c r="V221">
        <v>1</v>
      </c>
      <c r="X221" t="s">
        <v>2386</v>
      </c>
      <c r="AA221">
        <v>0</v>
      </c>
      <c r="AB221">
        <v>0</v>
      </c>
      <c r="AC221">
        <v>0</v>
      </c>
      <c r="AD221">
        <v>0</v>
      </c>
      <c r="AE221">
        <v>0</v>
      </c>
      <c r="AF221">
        <v>0</v>
      </c>
      <c r="AG221">
        <v>0</v>
      </c>
      <c r="AJ221" s="56"/>
      <c r="AK221" s="56">
        <v>42369</v>
      </c>
      <c r="AL221" s="56"/>
      <c r="AM221">
        <v>1</v>
      </c>
      <c r="AP221" t="s">
        <v>1450</v>
      </c>
      <c r="AS221" t="s">
        <v>1152</v>
      </c>
      <c r="AT221">
        <v>1</v>
      </c>
      <c r="AV221">
        <v>1</v>
      </c>
      <c r="AW221">
        <v>1</v>
      </c>
      <c r="AX221">
        <v>0.5</v>
      </c>
      <c r="AY221" t="s">
        <v>1147</v>
      </c>
      <c r="AZ221" t="s">
        <v>1147</v>
      </c>
      <c r="BA221">
        <v>1</v>
      </c>
      <c r="BD221">
        <v>1000000000</v>
      </c>
      <c r="BE221">
        <v>2</v>
      </c>
      <c r="BF221">
        <v>-1</v>
      </c>
      <c r="BG221">
        <v>0</v>
      </c>
      <c r="BH221">
        <v>0</v>
      </c>
      <c r="BI221">
        <v>0</v>
      </c>
      <c r="BJ221">
        <v>0</v>
      </c>
      <c r="BK221">
        <v>0</v>
      </c>
      <c r="BL221">
        <v>0</v>
      </c>
      <c r="BM221">
        <v>2</v>
      </c>
      <c r="BN221">
        <v>-1</v>
      </c>
      <c r="BO221">
        <v>0</v>
      </c>
      <c r="BP221">
        <v>0</v>
      </c>
      <c r="BR221">
        <v>0</v>
      </c>
      <c r="BS221">
        <v>1</v>
      </c>
      <c r="BX221">
        <v>0</v>
      </c>
      <c r="BY221">
        <v>319.86</v>
      </c>
      <c r="BZ221">
        <v>0</v>
      </c>
      <c r="CA221">
        <v>-11.92</v>
      </c>
      <c r="CC221">
        <v>1</v>
      </c>
      <c r="CD221" s="56">
        <v>42593</v>
      </c>
      <c r="CE221" s="56">
        <v>42612</v>
      </c>
      <c r="CF221" s="56">
        <v>42612</v>
      </c>
      <c r="CG221" s="56">
        <v>42640</v>
      </c>
      <c r="CH221" s="56"/>
      <c r="CI221" s="56"/>
      <c r="CJ221">
        <v>0</v>
      </c>
      <c r="CK221">
        <v>0</v>
      </c>
      <c r="CL221">
        <v>0</v>
      </c>
      <c r="CM221">
        <v>0</v>
      </c>
      <c r="CN221">
        <v>0</v>
      </c>
      <c r="CO221">
        <v>0</v>
      </c>
      <c r="CP221">
        <v>0.71</v>
      </c>
      <c r="CQ221" t="s">
        <v>1378</v>
      </c>
      <c r="CR221" t="s">
        <v>1377</v>
      </c>
      <c r="CS221" t="s">
        <v>1451</v>
      </c>
      <c r="CT221" t="s">
        <v>1724</v>
      </c>
      <c r="CU221" t="s">
        <v>1742</v>
      </c>
      <c r="CV221" t="s">
        <v>2159</v>
      </c>
      <c r="DB221" t="s">
        <v>2161</v>
      </c>
      <c r="DE221" t="s">
        <v>1724</v>
      </c>
    </row>
    <row r="222" spans="1:109" x14ac:dyDescent="0.25">
      <c r="A222" t="s">
        <v>1378</v>
      </c>
      <c r="B222">
        <v>1</v>
      </c>
      <c r="C222" s="56">
        <v>42640</v>
      </c>
      <c r="D222" t="s">
        <v>1449</v>
      </c>
      <c r="E222" t="s">
        <v>1861</v>
      </c>
      <c r="G222" t="s">
        <v>1144</v>
      </c>
      <c r="H222" t="s">
        <v>1144</v>
      </c>
      <c r="I222" t="s">
        <v>1144</v>
      </c>
      <c r="J222" t="s">
        <v>1144</v>
      </c>
      <c r="K222" t="s">
        <v>1144</v>
      </c>
      <c r="L222">
        <v>68.06</v>
      </c>
      <c r="M222">
        <v>50.87</v>
      </c>
      <c r="N222">
        <v>0</v>
      </c>
      <c r="O222" s="56"/>
      <c r="P222" s="56"/>
      <c r="Q222">
        <v>13718</v>
      </c>
      <c r="R222">
        <v>9</v>
      </c>
      <c r="S222">
        <v>4</v>
      </c>
      <c r="T222">
        <v>2</v>
      </c>
      <c r="U222">
        <v>2</v>
      </c>
      <c r="V222">
        <v>1</v>
      </c>
      <c r="X222" t="s">
        <v>2385</v>
      </c>
      <c r="AA222">
        <v>0</v>
      </c>
      <c r="AB222">
        <v>0</v>
      </c>
      <c r="AC222">
        <v>0</v>
      </c>
      <c r="AD222">
        <v>0</v>
      </c>
      <c r="AE222">
        <v>0</v>
      </c>
      <c r="AF222">
        <v>0</v>
      </c>
      <c r="AG222">
        <v>0</v>
      </c>
      <c r="AJ222" s="56"/>
      <c r="AK222" s="56"/>
      <c r="AL222" s="56"/>
      <c r="AP222" t="s">
        <v>1450</v>
      </c>
      <c r="AS222" t="s">
        <v>1152</v>
      </c>
      <c r="AT222">
        <v>1</v>
      </c>
      <c r="AV222">
        <v>6</v>
      </c>
      <c r="AW222">
        <v>4</v>
      </c>
      <c r="AX222">
        <v>2</v>
      </c>
      <c r="AY222" t="s">
        <v>1147</v>
      </c>
      <c r="AZ222" t="s">
        <v>1147</v>
      </c>
      <c r="BA222">
        <v>2</v>
      </c>
      <c r="BD222">
        <v>1000000000</v>
      </c>
      <c r="BE222">
        <v>19</v>
      </c>
      <c r="BF222">
        <v>-2.17</v>
      </c>
      <c r="BG222">
        <v>0</v>
      </c>
      <c r="BH222">
        <v>0</v>
      </c>
      <c r="BI222">
        <v>0</v>
      </c>
      <c r="BJ222">
        <v>0</v>
      </c>
      <c r="BK222">
        <v>0</v>
      </c>
      <c r="BL222">
        <v>0</v>
      </c>
      <c r="BM222">
        <v>19</v>
      </c>
      <c r="BN222">
        <v>-2.17</v>
      </c>
      <c r="BO222">
        <v>0</v>
      </c>
      <c r="BP222">
        <v>0</v>
      </c>
      <c r="BR222">
        <v>0</v>
      </c>
      <c r="BS222">
        <v>3</v>
      </c>
      <c r="BX222">
        <v>0</v>
      </c>
      <c r="BY222">
        <v>884.78</v>
      </c>
      <c r="BZ222">
        <v>0</v>
      </c>
      <c r="CA222">
        <v>-3.03</v>
      </c>
      <c r="CC222">
        <v>1</v>
      </c>
      <c r="CD222" s="56">
        <v>42619</v>
      </c>
      <c r="CE222" s="56">
        <v>42619</v>
      </c>
      <c r="CF222" s="56">
        <v>42619</v>
      </c>
      <c r="CG222" s="56">
        <v>42647</v>
      </c>
      <c r="CH222" s="56"/>
      <c r="CI222" s="56"/>
      <c r="CJ222">
        <v>0</v>
      </c>
      <c r="CK222">
        <v>0</v>
      </c>
      <c r="CL222">
        <v>0</v>
      </c>
      <c r="CM222">
        <v>0</v>
      </c>
      <c r="CN222">
        <v>0</v>
      </c>
      <c r="CO222">
        <v>0</v>
      </c>
      <c r="CP222">
        <v>0.65</v>
      </c>
      <c r="CQ222" t="s">
        <v>1378</v>
      </c>
      <c r="CR222" t="s">
        <v>1377</v>
      </c>
      <c r="CS222" t="s">
        <v>1451</v>
      </c>
      <c r="CT222" t="s">
        <v>1724</v>
      </c>
      <c r="CU222" t="s">
        <v>1742</v>
      </c>
      <c r="CV222" t="s">
        <v>1862</v>
      </c>
      <c r="DB222" t="s">
        <v>1863</v>
      </c>
      <c r="DE222" t="s">
        <v>1724</v>
      </c>
    </row>
    <row r="223" spans="1:109" x14ac:dyDescent="0.25">
      <c r="A223" t="s">
        <v>1378</v>
      </c>
      <c r="B223">
        <v>1</v>
      </c>
      <c r="C223" s="56">
        <v>42640</v>
      </c>
      <c r="D223" t="s">
        <v>1449</v>
      </c>
      <c r="E223" t="s">
        <v>2212</v>
      </c>
      <c r="G223" t="s">
        <v>1144</v>
      </c>
      <c r="H223" t="s">
        <v>1144</v>
      </c>
      <c r="I223" t="s">
        <v>1144</v>
      </c>
      <c r="J223" t="s">
        <v>1144</v>
      </c>
      <c r="K223" t="s">
        <v>1144</v>
      </c>
      <c r="L223">
        <v>431.81</v>
      </c>
      <c r="M223">
        <v>2</v>
      </c>
      <c r="N223">
        <v>0</v>
      </c>
      <c r="O223" s="56"/>
      <c r="P223" s="56"/>
      <c r="Q223">
        <v>13718</v>
      </c>
      <c r="R223">
        <v>9</v>
      </c>
      <c r="S223">
        <v>4</v>
      </c>
      <c r="T223">
        <v>2</v>
      </c>
      <c r="U223">
        <v>2</v>
      </c>
      <c r="V223">
        <v>1</v>
      </c>
      <c r="X223" t="s">
        <v>2386</v>
      </c>
      <c r="AA223">
        <v>0</v>
      </c>
      <c r="AB223">
        <v>0</v>
      </c>
      <c r="AC223">
        <v>0</v>
      </c>
      <c r="AD223">
        <v>0</v>
      </c>
      <c r="AE223">
        <v>0</v>
      </c>
      <c r="AF223">
        <v>0</v>
      </c>
      <c r="AG223">
        <v>0</v>
      </c>
      <c r="AJ223" s="56"/>
      <c r="AK223" s="56"/>
      <c r="AL223" s="56"/>
      <c r="AM223">
        <v>1</v>
      </c>
      <c r="AP223" t="s">
        <v>1450</v>
      </c>
      <c r="AS223" t="s">
        <v>1152</v>
      </c>
      <c r="AT223">
        <v>1</v>
      </c>
      <c r="AV223">
        <v>1</v>
      </c>
      <c r="AW223">
        <v>1</v>
      </c>
      <c r="AX223">
        <v>0.5</v>
      </c>
      <c r="AY223" t="s">
        <v>1147</v>
      </c>
      <c r="AZ223" t="s">
        <v>1147</v>
      </c>
      <c r="BA223">
        <v>1</v>
      </c>
      <c r="BD223">
        <v>1000000000</v>
      </c>
      <c r="BE223">
        <v>2</v>
      </c>
      <c r="BF223">
        <v>-1</v>
      </c>
      <c r="BG223">
        <v>0</v>
      </c>
      <c r="BH223">
        <v>0</v>
      </c>
      <c r="BI223">
        <v>0</v>
      </c>
      <c r="BJ223">
        <v>0</v>
      </c>
      <c r="BK223">
        <v>0</v>
      </c>
      <c r="BL223">
        <v>0</v>
      </c>
      <c r="BM223">
        <v>2</v>
      </c>
      <c r="BN223">
        <v>-1</v>
      </c>
      <c r="BO223">
        <v>0</v>
      </c>
      <c r="BP223">
        <v>0</v>
      </c>
      <c r="BR223">
        <v>0</v>
      </c>
      <c r="BS223">
        <v>1</v>
      </c>
      <c r="BX223">
        <v>0</v>
      </c>
      <c r="BY223">
        <v>431.81</v>
      </c>
      <c r="BZ223">
        <v>0</v>
      </c>
      <c r="CA223">
        <v>-11.94</v>
      </c>
      <c r="CC223">
        <v>1</v>
      </c>
      <c r="CD223" s="56">
        <v>42593</v>
      </c>
      <c r="CE223" s="56">
        <v>42612</v>
      </c>
      <c r="CF223" s="56">
        <v>42612</v>
      </c>
      <c r="CG223" s="56">
        <v>42640</v>
      </c>
      <c r="CH223" s="56"/>
      <c r="CI223" s="56"/>
      <c r="CJ223">
        <v>0</v>
      </c>
      <c r="CK223">
        <v>0</v>
      </c>
      <c r="CL223">
        <v>0</v>
      </c>
      <c r="CM223">
        <v>0</v>
      </c>
      <c r="CN223">
        <v>0</v>
      </c>
      <c r="CO223">
        <v>0</v>
      </c>
      <c r="CP223">
        <v>0.71</v>
      </c>
      <c r="CQ223" t="s">
        <v>1378</v>
      </c>
      <c r="CR223" t="s">
        <v>1377</v>
      </c>
      <c r="CS223" t="s">
        <v>1451</v>
      </c>
      <c r="CT223" t="s">
        <v>1724</v>
      </c>
      <c r="CU223" t="s">
        <v>1742</v>
      </c>
      <c r="CV223" t="s">
        <v>2213</v>
      </c>
      <c r="DB223" t="s">
        <v>2161</v>
      </c>
      <c r="DE223" t="s">
        <v>1724</v>
      </c>
    </row>
    <row r="224" spans="1:109" x14ac:dyDescent="0.25">
      <c r="A224" t="s">
        <v>1378</v>
      </c>
      <c r="B224">
        <v>1</v>
      </c>
      <c r="C224" s="56">
        <v>42640</v>
      </c>
      <c r="D224" t="s">
        <v>1449</v>
      </c>
      <c r="E224" t="s">
        <v>1911</v>
      </c>
      <c r="G224" t="s">
        <v>1144</v>
      </c>
      <c r="H224" t="s">
        <v>1144</v>
      </c>
      <c r="I224" t="s">
        <v>1144</v>
      </c>
      <c r="J224" t="s">
        <v>1144</v>
      </c>
      <c r="K224" t="s">
        <v>1144</v>
      </c>
      <c r="L224">
        <v>141.99</v>
      </c>
      <c r="M224">
        <v>230.18</v>
      </c>
      <c r="N224">
        <v>0</v>
      </c>
      <c r="O224" s="56"/>
      <c r="P224" s="56"/>
      <c r="Q224">
        <v>13718</v>
      </c>
      <c r="R224">
        <v>9</v>
      </c>
      <c r="S224">
        <v>4</v>
      </c>
      <c r="T224">
        <v>2</v>
      </c>
      <c r="U224">
        <v>2</v>
      </c>
      <c r="V224">
        <v>1</v>
      </c>
      <c r="X224" t="s">
        <v>2386</v>
      </c>
      <c r="AA224">
        <v>0</v>
      </c>
      <c r="AB224">
        <v>0</v>
      </c>
      <c r="AC224">
        <v>0</v>
      </c>
      <c r="AD224">
        <v>0</v>
      </c>
      <c r="AE224">
        <v>0</v>
      </c>
      <c r="AF224">
        <v>0</v>
      </c>
      <c r="AG224">
        <v>0</v>
      </c>
      <c r="AJ224" s="56"/>
      <c r="AK224" s="56">
        <v>42369</v>
      </c>
      <c r="AL224" s="56"/>
      <c r="AM224">
        <v>2</v>
      </c>
      <c r="AP224" t="s">
        <v>1450</v>
      </c>
      <c r="AS224" t="s">
        <v>1152</v>
      </c>
      <c r="AT224">
        <v>1</v>
      </c>
      <c r="AV224">
        <v>2</v>
      </c>
      <c r="AW224">
        <v>2</v>
      </c>
      <c r="AX224">
        <v>1</v>
      </c>
      <c r="AY224" t="s">
        <v>1147</v>
      </c>
      <c r="AZ224" t="s">
        <v>1147</v>
      </c>
      <c r="BA224">
        <v>2</v>
      </c>
      <c r="BD224">
        <v>1000000000</v>
      </c>
      <c r="BE224">
        <v>3</v>
      </c>
      <c r="BF224">
        <v>-0.5</v>
      </c>
      <c r="BG224">
        <v>0</v>
      </c>
      <c r="BH224">
        <v>0</v>
      </c>
      <c r="BI224">
        <v>0</v>
      </c>
      <c r="BJ224">
        <v>0</v>
      </c>
      <c r="BK224">
        <v>0</v>
      </c>
      <c r="BL224">
        <v>0</v>
      </c>
      <c r="BM224">
        <v>3</v>
      </c>
      <c r="BN224">
        <v>-0.5</v>
      </c>
      <c r="BO224">
        <v>0</v>
      </c>
      <c r="BP224">
        <v>0</v>
      </c>
      <c r="BR224">
        <v>0</v>
      </c>
      <c r="BS224">
        <v>1</v>
      </c>
      <c r="BX224">
        <v>0</v>
      </c>
      <c r="BY224">
        <v>141.99</v>
      </c>
      <c r="BZ224">
        <v>0</v>
      </c>
      <c r="CA224">
        <v>7.45</v>
      </c>
      <c r="CC224">
        <v>1</v>
      </c>
      <c r="CD224" s="56">
        <v>42593</v>
      </c>
      <c r="CE224" s="56">
        <v>42612</v>
      </c>
      <c r="CF224" s="56">
        <v>42612</v>
      </c>
      <c r="CG224" s="56">
        <v>42640</v>
      </c>
      <c r="CH224" s="56"/>
      <c r="CI224" s="56"/>
      <c r="CJ224">
        <v>0</v>
      </c>
      <c r="CK224">
        <v>0</v>
      </c>
      <c r="CL224">
        <v>0</v>
      </c>
      <c r="CM224">
        <v>0</v>
      </c>
      <c r="CN224">
        <v>0</v>
      </c>
      <c r="CO224">
        <v>0</v>
      </c>
      <c r="CP224">
        <v>0.71</v>
      </c>
      <c r="CQ224" t="s">
        <v>1378</v>
      </c>
      <c r="CR224" t="s">
        <v>1377</v>
      </c>
      <c r="CS224" t="s">
        <v>1451</v>
      </c>
      <c r="CT224" t="s">
        <v>1724</v>
      </c>
      <c r="CU224" t="s">
        <v>1742</v>
      </c>
      <c r="CV224" t="s">
        <v>1912</v>
      </c>
      <c r="DB224" t="s">
        <v>1869</v>
      </c>
      <c r="DE224" t="s">
        <v>1724</v>
      </c>
    </row>
    <row r="225" spans="1:109" x14ac:dyDescent="0.25">
      <c r="A225" t="s">
        <v>1378</v>
      </c>
      <c r="B225">
        <v>1</v>
      </c>
      <c r="C225" s="56">
        <v>42640</v>
      </c>
      <c r="D225" t="s">
        <v>1449</v>
      </c>
      <c r="E225" t="s">
        <v>2260</v>
      </c>
      <c r="G225" t="s">
        <v>1144</v>
      </c>
      <c r="H225" t="s">
        <v>1144</v>
      </c>
      <c r="I225" t="s">
        <v>1144</v>
      </c>
      <c r="J225" t="s">
        <v>1144</v>
      </c>
      <c r="K225" t="s">
        <v>1144</v>
      </c>
      <c r="L225">
        <v>554.19000000000005</v>
      </c>
      <c r="M225">
        <v>2</v>
      </c>
      <c r="N225">
        <v>0</v>
      </c>
      <c r="O225" s="56"/>
      <c r="P225" s="56"/>
      <c r="Q225">
        <v>13718</v>
      </c>
      <c r="R225">
        <v>9</v>
      </c>
      <c r="S225">
        <v>4</v>
      </c>
      <c r="T225">
        <v>2</v>
      </c>
      <c r="U225">
        <v>2</v>
      </c>
      <c r="V225">
        <v>1</v>
      </c>
      <c r="W225" t="s">
        <v>2379</v>
      </c>
      <c r="X225" t="s">
        <v>2386</v>
      </c>
      <c r="AA225">
        <v>0</v>
      </c>
      <c r="AB225">
        <v>0</v>
      </c>
      <c r="AC225">
        <v>0</v>
      </c>
      <c r="AD225">
        <v>0</v>
      </c>
      <c r="AE225">
        <v>0</v>
      </c>
      <c r="AF225">
        <v>0</v>
      </c>
      <c r="AG225">
        <v>0</v>
      </c>
      <c r="AJ225" s="56"/>
      <c r="AK225" s="56">
        <v>42369</v>
      </c>
      <c r="AL225" s="56"/>
      <c r="AM225">
        <v>1</v>
      </c>
      <c r="AP225" t="s">
        <v>1450</v>
      </c>
      <c r="AS225" t="s">
        <v>1152</v>
      </c>
      <c r="AT225">
        <v>1</v>
      </c>
      <c r="AV225">
        <v>1</v>
      </c>
      <c r="AW225">
        <v>1</v>
      </c>
      <c r="AX225">
        <v>0.5</v>
      </c>
      <c r="AY225" t="s">
        <v>1145</v>
      </c>
      <c r="AZ225" t="s">
        <v>1145</v>
      </c>
      <c r="BA225">
        <v>1</v>
      </c>
      <c r="BD225">
        <v>1000000000</v>
      </c>
      <c r="BE225">
        <v>1</v>
      </c>
      <c r="BF225">
        <v>0</v>
      </c>
      <c r="BG225">
        <v>0</v>
      </c>
      <c r="BH225">
        <v>0</v>
      </c>
      <c r="BI225">
        <v>0</v>
      </c>
      <c r="BJ225">
        <v>0</v>
      </c>
      <c r="BK225">
        <v>0</v>
      </c>
      <c r="BL225">
        <v>0</v>
      </c>
      <c r="BM225">
        <v>1</v>
      </c>
      <c r="BN225">
        <v>0</v>
      </c>
      <c r="BO225">
        <v>0</v>
      </c>
      <c r="BP225">
        <v>0</v>
      </c>
      <c r="BR225">
        <v>0</v>
      </c>
      <c r="BS225">
        <v>1</v>
      </c>
      <c r="BX225">
        <v>0</v>
      </c>
      <c r="BY225">
        <v>0</v>
      </c>
      <c r="BZ225">
        <v>0</v>
      </c>
      <c r="CA225">
        <v>-11.96</v>
      </c>
      <c r="CC225">
        <v>1</v>
      </c>
      <c r="CD225" s="56">
        <v>42593</v>
      </c>
      <c r="CE225" s="56">
        <v>42612</v>
      </c>
      <c r="CF225" s="56">
        <v>42612</v>
      </c>
      <c r="CG225" s="56">
        <v>42640</v>
      </c>
      <c r="CH225" s="56"/>
      <c r="CI225" s="56"/>
      <c r="CJ225">
        <v>0</v>
      </c>
      <c r="CK225">
        <v>0</v>
      </c>
      <c r="CL225">
        <v>0</v>
      </c>
      <c r="CM225">
        <v>0</v>
      </c>
      <c r="CN225">
        <v>0.71</v>
      </c>
      <c r="CO225">
        <v>0</v>
      </c>
      <c r="CP225">
        <v>0</v>
      </c>
      <c r="CQ225" t="s">
        <v>1378</v>
      </c>
      <c r="CR225" t="s">
        <v>1377</v>
      </c>
      <c r="CS225" t="s">
        <v>1451</v>
      </c>
      <c r="CT225" t="s">
        <v>1724</v>
      </c>
      <c r="CU225" t="s">
        <v>1742</v>
      </c>
      <c r="CV225" t="s">
        <v>2261</v>
      </c>
      <c r="DB225" t="s">
        <v>2134</v>
      </c>
      <c r="DE225" t="s">
        <v>1724</v>
      </c>
    </row>
    <row r="226" spans="1:109" x14ac:dyDescent="0.25">
      <c r="A226" t="s">
        <v>1378</v>
      </c>
      <c r="B226">
        <v>1</v>
      </c>
      <c r="C226" s="56">
        <v>42640</v>
      </c>
      <c r="D226" t="s">
        <v>1449</v>
      </c>
      <c r="E226" t="s">
        <v>1478</v>
      </c>
      <c r="G226" t="s">
        <v>1144</v>
      </c>
      <c r="H226" t="s">
        <v>1144</v>
      </c>
      <c r="I226" t="s">
        <v>1144</v>
      </c>
      <c r="J226" t="s">
        <v>1144</v>
      </c>
      <c r="K226" t="s">
        <v>1144</v>
      </c>
      <c r="L226">
        <v>57.95</v>
      </c>
      <c r="M226">
        <v>99.55</v>
      </c>
      <c r="N226">
        <v>0</v>
      </c>
      <c r="O226" s="56"/>
      <c r="P226" s="56"/>
      <c r="Q226">
        <v>13718</v>
      </c>
      <c r="R226">
        <v>9</v>
      </c>
      <c r="S226">
        <v>4</v>
      </c>
      <c r="T226">
        <v>2</v>
      </c>
      <c r="U226">
        <v>2</v>
      </c>
      <c r="V226">
        <v>1</v>
      </c>
      <c r="X226" t="s">
        <v>2386</v>
      </c>
      <c r="AA226">
        <v>1.17</v>
      </c>
      <c r="AB226">
        <v>8</v>
      </c>
      <c r="AC226">
        <v>0.85</v>
      </c>
      <c r="AD226">
        <v>1.28</v>
      </c>
      <c r="AE226">
        <v>0</v>
      </c>
      <c r="AF226">
        <v>0</v>
      </c>
      <c r="AG226">
        <v>0</v>
      </c>
      <c r="AJ226" s="56">
        <v>42666</v>
      </c>
      <c r="AK226" s="56"/>
      <c r="AL226" s="56"/>
      <c r="AM226">
        <v>4</v>
      </c>
      <c r="AP226" t="s">
        <v>1450</v>
      </c>
      <c r="AS226" t="s">
        <v>1152</v>
      </c>
      <c r="AT226">
        <v>1</v>
      </c>
      <c r="AV226">
        <v>4</v>
      </c>
      <c r="AW226">
        <v>3</v>
      </c>
      <c r="AX226">
        <v>1</v>
      </c>
      <c r="AY226" t="s">
        <v>1147</v>
      </c>
      <c r="AZ226" t="s">
        <v>1147</v>
      </c>
      <c r="BA226">
        <v>4</v>
      </c>
      <c r="BD226">
        <v>1000000000</v>
      </c>
      <c r="BE226">
        <v>6</v>
      </c>
      <c r="BF226">
        <v>-0.5</v>
      </c>
      <c r="BG226">
        <v>0</v>
      </c>
      <c r="BH226">
        <v>0</v>
      </c>
      <c r="BI226">
        <v>0</v>
      </c>
      <c r="BJ226">
        <v>0</v>
      </c>
      <c r="BK226">
        <v>0</v>
      </c>
      <c r="BL226">
        <v>0</v>
      </c>
      <c r="BM226">
        <v>6</v>
      </c>
      <c r="BN226">
        <v>-0.5</v>
      </c>
      <c r="BO226">
        <v>0</v>
      </c>
      <c r="BP226">
        <v>0</v>
      </c>
      <c r="BR226">
        <v>0</v>
      </c>
      <c r="BS226">
        <v>2</v>
      </c>
      <c r="BX226">
        <v>0</v>
      </c>
      <c r="BY226">
        <v>115.9</v>
      </c>
      <c r="BZ226">
        <v>0</v>
      </c>
      <c r="CA226">
        <v>8.61</v>
      </c>
      <c r="CC226">
        <v>1</v>
      </c>
      <c r="CD226" s="56">
        <v>42593</v>
      </c>
      <c r="CE226" s="56">
        <v>42612</v>
      </c>
      <c r="CF226" s="56">
        <v>42612</v>
      </c>
      <c r="CG226" s="56">
        <v>42640</v>
      </c>
      <c r="CH226" s="56"/>
      <c r="CI226" s="56"/>
      <c r="CJ226">
        <v>0.06</v>
      </c>
      <c r="CK226">
        <v>0</v>
      </c>
      <c r="CL226">
        <v>0</v>
      </c>
      <c r="CM226">
        <v>0</v>
      </c>
      <c r="CN226">
        <v>0</v>
      </c>
      <c r="CO226">
        <v>0</v>
      </c>
      <c r="CP226">
        <v>0.71</v>
      </c>
      <c r="CQ226" t="s">
        <v>1378</v>
      </c>
      <c r="CR226" t="s">
        <v>1377</v>
      </c>
      <c r="CS226" t="s">
        <v>1451</v>
      </c>
      <c r="CT226" t="s">
        <v>1724</v>
      </c>
      <c r="CU226" t="s">
        <v>1742</v>
      </c>
      <c r="CV226" t="s">
        <v>2057</v>
      </c>
      <c r="DB226" t="s">
        <v>2054</v>
      </c>
      <c r="DE226" t="s">
        <v>1724</v>
      </c>
    </row>
    <row r="227" spans="1:109" x14ac:dyDescent="0.25">
      <c r="A227" t="s">
        <v>1378</v>
      </c>
      <c r="B227">
        <v>1</v>
      </c>
      <c r="C227" s="56">
        <v>42640</v>
      </c>
      <c r="D227" t="s">
        <v>1449</v>
      </c>
      <c r="E227" t="s">
        <v>2107</v>
      </c>
      <c r="G227" t="s">
        <v>1144</v>
      </c>
      <c r="H227" t="s">
        <v>1144</v>
      </c>
      <c r="I227" t="s">
        <v>1144</v>
      </c>
      <c r="J227" t="s">
        <v>1144</v>
      </c>
      <c r="K227" t="s">
        <v>1144</v>
      </c>
      <c r="L227">
        <v>169.76</v>
      </c>
      <c r="M227">
        <v>2</v>
      </c>
      <c r="N227">
        <v>0</v>
      </c>
      <c r="O227" s="56"/>
      <c r="P227" s="56"/>
      <c r="Q227">
        <v>13718</v>
      </c>
      <c r="R227">
        <v>9</v>
      </c>
      <c r="S227">
        <v>4</v>
      </c>
      <c r="T227">
        <v>2</v>
      </c>
      <c r="U227">
        <v>2</v>
      </c>
      <c r="V227">
        <v>1</v>
      </c>
      <c r="W227" t="s">
        <v>2379</v>
      </c>
      <c r="X227" t="s">
        <v>2386</v>
      </c>
      <c r="AA227">
        <v>0.04</v>
      </c>
      <c r="AB227">
        <v>1</v>
      </c>
      <c r="AC227">
        <v>6.25</v>
      </c>
      <c r="AD227">
        <v>0</v>
      </c>
      <c r="AE227">
        <v>0</v>
      </c>
      <c r="AF227">
        <v>20</v>
      </c>
      <c r="AG227">
        <v>0</v>
      </c>
      <c r="AJ227" s="56"/>
      <c r="AK227" s="56">
        <v>42369</v>
      </c>
      <c r="AL227" s="56">
        <v>42656</v>
      </c>
      <c r="AM227">
        <v>1</v>
      </c>
      <c r="AP227" t="s">
        <v>1450</v>
      </c>
      <c r="AS227" t="s">
        <v>1152</v>
      </c>
      <c r="AT227">
        <v>1</v>
      </c>
      <c r="AV227">
        <v>1</v>
      </c>
      <c r="AW227">
        <v>1</v>
      </c>
      <c r="AX227">
        <v>0.5</v>
      </c>
      <c r="AY227" t="s">
        <v>838</v>
      </c>
      <c r="AZ227" t="s">
        <v>838</v>
      </c>
      <c r="BA227">
        <v>1</v>
      </c>
      <c r="BD227">
        <v>1000000000</v>
      </c>
      <c r="BE227">
        <v>0</v>
      </c>
      <c r="BF227">
        <v>1</v>
      </c>
      <c r="BG227">
        <v>0</v>
      </c>
      <c r="BH227">
        <v>0</v>
      </c>
      <c r="BI227">
        <v>0</v>
      </c>
      <c r="BJ227">
        <v>0</v>
      </c>
      <c r="BK227">
        <v>0</v>
      </c>
      <c r="BL227">
        <v>0</v>
      </c>
      <c r="BM227">
        <v>0</v>
      </c>
      <c r="BN227">
        <v>1</v>
      </c>
      <c r="BO227">
        <v>0</v>
      </c>
      <c r="BP227">
        <v>0</v>
      </c>
      <c r="BR227">
        <v>1</v>
      </c>
      <c r="BS227">
        <v>1</v>
      </c>
      <c r="BX227">
        <v>-83.88</v>
      </c>
      <c r="BY227">
        <v>0</v>
      </c>
      <c r="BZ227">
        <v>0</v>
      </c>
      <c r="CA227">
        <v>-11.86</v>
      </c>
      <c r="CC227">
        <v>1</v>
      </c>
      <c r="CD227" s="56">
        <v>42593</v>
      </c>
      <c r="CE227" s="56">
        <v>42612</v>
      </c>
      <c r="CF227" s="56">
        <v>42612</v>
      </c>
      <c r="CG227" s="56">
        <v>42640</v>
      </c>
      <c r="CH227" s="56"/>
      <c r="CI227" s="56"/>
      <c r="CJ227">
        <v>1</v>
      </c>
      <c r="CK227">
        <v>1</v>
      </c>
      <c r="CL227">
        <v>0.71</v>
      </c>
      <c r="CM227">
        <v>0</v>
      </c>
      <c r="CN227">
        <v>0</v>
      </c>
      <c r="CO227">
        <v>0</v>
      </c>
      <c r="CP227">
        <v>0</v>
      </c>
      <c r="CQ227" t="s">
        <v>1378</v>
      </c>
      <c r="CR227" t="s">
        <v>1377</v>
      </c>
      <c r="CS227" t="s">
        <v>1451</v>
      </c>
      <c r="CT227" t="s">
        <v>1724</v>
      </c>
      <c r="CU227" t="s">
        <v>1742</v>
      </c>
      <c r="CV227" t="s">
        <v>2108</v>
      </c>
      <c r="DB227" t="s">
        <v>2014</v>
      </c>
      <c r="DE227" t="s">
        <v>1724</v>
      </c>
    </row>
    <row r="228" spans="1:109" x14ac:dyDescent="0.25">
      <c r="A228" t="s">
        <v>1378</v>
      </c>
      <c r="B228">
        <v>1</v>
      </c>
      <c r="C228" s="56">
        <v>42640</v>
      </c>
      <c r="D228" t="s">
        <v>1449</v>
      </c>
      <c r="E228" t="s">
        <v>1799</v>
      </c>
      <c r="G228" t="s">
        <v>1144</v>
      </c>
      <c r="H228" t="s">
        <v>1144</v>
      </c>
      <c r="I228" t="s">
        <v>1144</v>
      </c>
      <c r="J228" t="s">
        <v>1144</v>
      </c>
      <c r="K228" t="s">
        <v>1144</v>
      </c>
      <c r="L228">
        <v>919.72</v>
      </c>
      <c r="M228">
        <v>2032.14</v>
      </c>
      <c r="N228">
        <v>0</v>
      </c>
      <c r="O228" s="56"/>
      <c r="P228" s="56"/>
      <c r="Q228">
        <v>13718</v>
      </c>
      <c r="R228">
        <v>9</v>
      </c>
      <c r="S228">
        <v>4</v>
      </c>
      <c r="T228">
        <v>2</v>
      </c>
      <c r="U228">
        <v>2</v>
      </c>
      <c r="V228">
        <v>1</v>
      </c>
      <c r="X228" t="s">
        <v>2385</v>
      </c>
      <c r="AA228">
        <v>0.04</v>
      </c>
      <c r="AB228">
        <v>1</v>
      </c>
      <c r="AC228">
        <v>0</v>
      </c>
      <c r="AD228">
        <v>0</v>
      </c>
      <c r="AE228">
        <v>0</v>
      </c>
      <c r="AF228">
        <v>0</v>
      </c>
      <c r="AG228">
        <v>0</v>
      </c>
      <c r="AJ228" s="56"/>
      <c r="AK228" s="56">
        <v>42369</v>
      </c>
      <c r="AL228" s="56"/>
      <c r="AM228">
        <v>1</v>
      </c>
      <c r="AP228" t="s">
        <v>1450</v>
      </c>
      <c r="AS228" t="s">
        <v>1152</v>
      </c>
      <c r="AT228">
        <v>1</v>
      </c>
      <c r="AV228">
        <v>0</v>
      </c>
      <c r="AW228">
        <v>0</v>
      </c>
      <c r="AX228">
        <v>0</v>
      </c>
      <c r="AY228" t="s">
        <v>1375</v>
      </c>
      <c r="AZ228" t="s">
        <v>1375</v>
      </c>
      <c r="BA228">
        <v>2</v>
      </c>
      <c r="BD228">
        <v>1000000000</v>
      </c>
      <c r="BE228">
        <v>0</v>
      </c>
      <c r="BF228">
        <v>0</v>
      </c>
      <c r="BG228">
        <v>0</v>
      </c>
      <c r="BH228">
        <v>0</v>
      </c>
      <c r="BI228">
        <v>0</v>
      </c>
      <c r="BJ228">
        <v>0</v>
      </c>
      <c r="BK228">
        <v>0</v>
      </c>
      <c r="BL228">
        <v>0</v>
      </c>
      <c r="BM228">
        <v>0</v>
      </c>
      <c r="BN228">
        <v>0</v>
      </c>
      <c r="BO228">
        <v>0</v>
      </c>
      <c r="BP228">
        <v>0</v>
      </c>
      <c r="BR228">
        <v>0</v>
      </c>
      <c r="BS228">
        <v>0</v>
      </c>
      <c r="BX228">
        <v>0</v>
      </c>
      <c r="BY228">
        <v>0</v>
      </c>
      <c r="BZ228">
        <v>0</v>
      </c>
      <c r="CA228">
        <v>0</v>
      </c>
      <c r="CC228">
        <v>1</v>
      </c>
      <c r="CD228" s="56">
        <v>42619</v>
      </c>
      <c r="CE228" s="56">
        <v>42619</v>
      </c>
      <c r="CF228" s="56">
        <v>42619</v>
      </c>
      <c r="CG228" s="56">
        <v>42647</v>
      </c>
      <c r="CH228" s="56"/>
      <c r="CI228" s="56"/>
      <c r="CJ228">
        <v>1</v>
      </c>
      <c r="CK228">
        <v>0</v>
      </c>
      <c r="CL228">
        <v>0.65</v>
      </c>
      <c r="CM228">
        <v>0</v>
      </c>
      <c r="CN228">
        <v>0</v>
      </c>
      <c r="CO228">
        <v>0</v>
      </c>
      <c r="CP228">
        <v>0</v>
      </c>
      <c r="CQ228" t="s">
        <v>1378</v>
      </c>
      <c r="CR228" t="s">
        <v>1377</v>
      </c>
      <c r="CS228" t="s">
        <v>1451</v>
      </c>
      <c r="CT228" t="s">
        <v>1724</v>
      </c>
      <c r="CU228" t="s">
        <v>1742</v>
      </c>
      <c r="CV228" t="s">
        <v>1800</v>
      </c>
      <c r="DB228" t="s">
        <v>1794</v>
      </c>
      <c r="DE228" t="s">
        <v>1724</v>
      </c>
    </row>
    <row r="229" spans="1:109" x14ac:dyDescent="0.25">
      <c r="A229" t="s">
        <v>1378</v>
      </c>
      <c r="B229">
        <v>1</v>
      </c>
      <c r="C229" s="56">
        <v>42640</v>
      </c>
      <c r="D229" t="s">
        <v>1449</v>
      </c>
      <c r="E229" t="s">
        <v>2157</v>
      </c>
      <c r="G229" t="s">
        <v>1144</v>
      </c>
      <c r="H229" t="s">
        <v>1144</v>
      </c>
      <c r="I229" t="s">
        <v>1144</v>
      </c>
      <c r="J229" t="s">
        <v>1144</v>
      </c>
      <c r="K229" t="s">
        <v>1144</v>
      </c>
      <c r="L229">
        <v>2200.12</v>
      </c>
      <c r="M229">
        <v>2</v>
      </c>
      <c r="N229">
        <v>0</v>
      </c>
      <c r="O229" s="56"/>
      <c r="P229" s="56"/>
      <c r="Q229">
        <v>13718</v>
      </c>
      <c r="R229">
        <v>9</v>
      </c>
      <c r="S229">
        <v>4</v>
      </c>
      <c r="T229">
        <v>2</v>
      </c>
      <c r="U229">
        <v>2</v>
      </c>
      <c r="V229">
        <v>1</v>
      </c>
      <c r="X229" t="s">
        <v>2386</v>
      </c>
      <c r="AA229">
        <v>0</v>
      </c>
      <c r="AB229">
        <v>0</v>
      </c>
      <c r="AC229">
        <v>0</v>
      </c>
      <c r="AD229">
        <v>0</v>
      </c>
      <c r="AE229">
        <v>0</v>
      </c>
      <c r="AF229">
        <v>0</v>
      </c>
      <c r="AG229">
        <v>0</v>
      </c>
      <c r="AJ229" s="56"/>
      <c r="AK229" s="56"/>
      <c r="AL229" s="56"/>
      <c r="AP229" t="s">
        <v>1450</v>
      </c>
      <c r="AS229" t="s">
        <v>1152</v>
      </c>
      <c r="AT229">
        <v>1</v>
      </c>
      <c r="AV229">
        <v>0</v>
      </c>
      <c r="AW229">
        <v>0</v>
      </c>
      <c r="AX229">
        <v>0</v>
      </c>
      <c r="AY229" t="s">
        <v>1375</v>
      </c>
      <c r="AZ229" t="s">
        <v>1375</v>
      </c>
      <c r="BA229">
        <v>0</v>
      </c>
      <c r="BD229">
        <v>1000000000</v>
      </c>
      <c r="BE229">
        <v>2</v>
      </c>
      <c r="BF229">
        <v>0</v>
      </c>
      <c r="BG229">
        <v>0</v>
      </c>
      <c r="BH229">
        <v>0</v>
      </c>
      <c r="BI229">
        <v>0</v>
      </c>
      <c r="BJ229">
        <v>0</v>
      </c>
      <c r="BK229">
        <v>0</v>
      </c>
      <c r="BL229">
        <v>0</v>
      </c>
      <c r="BM229">
        <v>2</v>
      </c>
      <c r="BN229">
        <v>0</v>
      </c>
      <c r="BO229">
        <v>0</v>
      </c>
      <c r="BP229">
        <v>0</v>
      </c>
      <c r="BR229">
        <v>0</v>
      </c>
      <c r="BS229">
        <v>0</v>
      </c>
      <c r="BX229">
        <v>0</v>
      </c>
      <c r="BY229">
        <v>0</v>
      </c>
      <c r="BZ229">
        <v>0</v>
      </c>
      <c r="CA229">
        <v>0</v>
      </c>
      <c r="CC229">
        <v>1</v>
      </c>
      <c r="CD229" s="56">
        <v>42593</v>
      </c>
      <c r="CE229" s="56">
        <v>42612</v>
      </c>
      <c r="CF229" s="56">
        <v>42612</v>
      </c>
      <c r="CG229" s="56">
        <v>42640</v>
      </c>
      <c r="CH229" s="56"/>
      <c r="CI229" s="56"/>
      <c r="CJ229">
        <v>0</v>
      </c>
      <c r="CK229">
        <v>0</v>
      </c>
      <c r="CL229">
        <v>0</v>
      </c>
      <c r="CM229">
        <v>0</v>
      </c>
      <c r="CN229">
        <v>0</v>
      </c>
      <c r="CO229">
        <v>0</v>
      </c>
      <c r="CP229">
        <v>0.71</v>
      </c>
      <c r="CQ229" t="s">
        <v>1378</v>
      </c>
      <c r="CR229" t="s">
        <v>1377</v>
      </c>
      <c r="CS229" t="s">
        <v>1451</v>
      </c>
      <c r="CT229" t="s">
        <v>1724</v>
      </c>
      <c r="CU229" t="s">
        <v>1742</v>
      </c>
      <c r="CV229" t="s">
        <v>2147</v>
      </c>
      <c r="DB229" t="s">
        <v>2145</v>
      </c>
      <c r="DE229" t="s">
        <v>1724</v>
      </c>
    </row>
    <row r="230" spans="1:109" x14ac:dyDescent="0.25">
      <c r="A230" t="s">
        <v>1378</v>
      </c>
      <c r="B230">
        <v>1</v>
      </c>
      <c r="C230" s="56">
        <v>42640</v>
      </c>
      <c r="D230" t="s">
        <v>1449</v>
      </c>
      <c r="E230" t="s">
        <v>1390</v>
      </c>
      <c r="G230" t="s">
        <v>1144</v>
      </c>
      <c r="H230" t="s">
        <v>1144</v>
      </c>
      <c r="I230" t="s">
        <v>1144</v>
      </c>
      <c r="J230" t="s">
        <v>1144</v>
      </c>
      <c r="K230" t="s">
        <v>1144</v>
      </c>
      <c r="L230">
        <v>672.44</v>
      </c>
      <c r="M230">
        <v>1059.4100000000001</v>
      </c>
      <c r="N230">
        <v>0</v>
      </c>
      <c r="O230" s="56"/>
      <c r="P230" s="56"/>
      <c r="Q230">
        <v>13718</v>
      </c>
      <c r="R230">
        <v>9</v>
      </c>
      <c r="S230">
        <v>4</v>
      </c>
      <c r="T230">
        <v>2</v>
      </c>
      <c r="U230">
        <v>2</v>
      </c>
      <c r="V230">
        <v>1</v>
      </c>
      <c r="W230" t="s">
        <v>2379</v>
      </c>
      <c r="X230" t="s">
        <v>2386</v>
      </c>
      <c r="AA230">
        <v>0</v>
      </c>
      <c r="AB230">
        <v>0</v>
      </c>
      <c r="AC230">
        <v>0</v>
      </c>
      <c r="AD230">
        <v>0</v>
      </c>
      <c r="AE230">
        <v>0</v>
      </c>
      <c r="AF230">
        <v>0</v>
      </c>
      <c r="AG230">
        <v>0</v>
      </c>
      <c r="AJ230" s="56"/>
      <c r="AK230" s="56"/>
      <c r="AL230" s="56"/>
      <c r="AM230">
        <v>3</v>
      </c>
      <c r="AP230" t="s">
        <v>1450</v>
      </c>
      <c r="AS230" t="s">
        <v>1152</v>
      </c>
      <c r="AT230">
        <v>1</v>
      </c>
      <c r="AV230">
        <v>3</v>
      </c>
      <c r="AW230">
        <v>2</v>
      </c>
      <c r="AX230">
        <v>1</v>
      </c>
      <c r="AY230" t="s">
        <v>1145</v>
      </c>
      <c r="AZ230" t="s">
        <v>1145</v>
      </c>
      <c r="BA230">
        <v>3</v>
      </c>
      <c r="BD230">
        <v>1000000000</v>
      </c>
      <c r="BE230">
        <v>2</v>
      </c>
      <c r="BF230">
        <v>0.33</v>
      </c>
      <c r="BG230">
        <v>0</v>
      </c>
      <c r="BH230">
        <v>0</v>
      </c>
      <c r="BI230">
        <v>0</v>
      </c>
      <c r="BJ230">
        <v>0</v>
      </c>
      <c r="BK230">
        <v>0</v>
      </c>
      <c r="BL230">
        <v>0</v>
      </c>
      <c r="BM230">
        <v>2</v>
      </c>
      <c r="BN230">
        <v>0.33</v>
      </c>
      <c r="BO230">
        <v>0</v>
      </c>
      <c r="BP230">
        <v>0</v>
      </c>
      <c r="BR230">
        <v>1</v>
      </c>
      <c r="BS230">
        <v>2</v>
      </c>
      <c r="BX230">
        <v>0</v>
      </c>
      <c r="BY230">
        <v>0</v>
      </c>
      <c r="BZ230">
        <v>0</v>
      </c>
      <c r="CA230">
        <v>6.91</v>
      </c>
      <c r="CC230">
        <v>1</v>
      </c>
      <c r="CD230" s="56">
        <v>42593</v>
      </c>
      <c r="CE230" s="56">
        <v>42612</v>
      </c>
      <c r="CF230" s="56">
        <v>42612</v>
      </c>
      <c r="CG230" s="56">
        <v>42640</v>
      </c>
      <c r="CH230" s="56"/>
      <c r="CI230" s="56"/>
      <c r="CJ230">
        <v>0</v>
      </c>
      <c r="CK230">
        <v>0</v>
      </c>
      <c r="CL230">
        <v>0</v>
      </c>
      <c r="CM230">
        <v>0</v>
      </c>
      <c r="CN230">
        <v>0.71</v>
      </c>
      <c r="CO230">
        <v>0</v>
      </c>
      <c r="CP230">
        <v>0</v>
      </c>
      <c r="CQ230" t="s">
        <v>1378</v>
      </c>
      <c r="CR230" t="s">
        <v>1377</v>
      </c>
      <c r="CS230" t="s">
        <v>1451</v>
      </c>
      <c r="CT230" t="s">
        <v>1724</v>
      </c>
      <c r="CU230" t="s">
        <v>1742</v>
      </c>
      <c r="CV230" t="s">
        <v>1846</v>
      </c>
      <c r="DB230" t="s">
        <v>1847</v>
      </c>
      <c r="DE230" t="s">
        <v>1724</v>
      </c>
    </row>
    <row r="231" spans="1:109" x14ac:dyDescent="0.25">
      <c r="A231" t="s">
        <v>1378</v>
      </c>
      <c r="B231">
        <v>1</v>
      </c>
      <c r="C231" s="56">
        <v>42640</v>
      </c>
      <c r="D231" t="s">
        <v>1449</v>
      </c>
      <c r="E231" t="s">
        <v>1442</v>
      </c>
      <c r="G231" t="s">
        <v>1144</v>
      </c>
      <c r="H231" t="s">
        <v>1144</v>
      </c>
      <c r="I231" t="s">
        <v>1144</v>
      </c>
      <c r="J231" t="s">
        <v>1144</v>
      </c>
      <c r="K231" t="s">
        <v>1144</v>
      </c>
      <c r="L231">
        <v>447.87</v>
      </c>
      <c r="M231">
        <v>2</v>
      </c>
      <c r="N231">
        <v>0</v>
      </c>
      <c r="O231" s="56"/>
      <c r="P231" s="56"/>
      <c r="Q231">
        <v>13718</v>
      </c>
      <c r="R231">
        <v>9</v>
      </c>
      <c r="S231">
        <v>4</v>
      </c>
      <c r="T231">
        <v>2</v>
      </c>
      <c r="U231">
        <v>2</v>
      </c>
      <c r="V231">
        <v>1</v>
      </c>
      <c r="X231" t="s">
        <v>2386</v>
      </c>
      <c r="AA231">
        <v>0.04</v>
      </c>
      <c r="AB231">
        <v>1</v>
      </c>
      <c r="AC231">
        <v>6.25</v>
      </c>
      <c r="AD231">
        <v>18.75</v>
      </c>
      <c r="AE231">
        <v>0</v>
      </c>
      <c r="AF231">
        <v>0</v>
      </c>
      <c r="AG231">
        <v>0</v>
      </c>
      <c r="AJ231" s="56"/>
      <c r="AK231" s="56">
        <v>42369</v>
      </c>
      <c r="AL231" s="56"/>
      <c r="AM231">
        <v>1</v>
      </c>
      <c r="AP231" t="s">
        <v>1450</v>
      </c>
      <c r="AS231" t="s">
        <v>1152</v>
      </c>
      <c r="AT231">
        <v>1</v>
      </c>
      <c r="AV231">
        <v>1</v>
      </c>
      <c r="AW231">
        <v>1</v>
      </c>
      <c r="AX231">
        <v>0.5</v>
      </c>
      <c r="AY231" t="s">
        <v>1147</v>
      </c>
      <c r="AZ231" t="s">
        <v>1147</v>
      </c>
      <c r="BA231">
        <v>1</v>
      </c>
      <c r="BD231">
        <v>1000000000</v>
      </c>
      <c r="BE231">
        <v>3</v>
      </c>
      <c r="BF231">
        <v>-2</v>
      </c>
      <c r="BG231">
        <v>0</v>
      </c>
      <c r="BH231">
        <v>0</v>
      </c>
      <c r="BI231">
        <v>0</v>
      </c>
      <c r="BJ231">
        <v>0</v>
      </c>
      <c r="BK231">
        <v>0</v>
      </c>
      <c r="BL231">
        <v>0</v>
      </c>
      <c r="BM231">
        <v>3</v>
      </c>
      <c r="BN231">
        <v>-2</v>
      </c>
      <c r="BO231">
        <v>0</v>
      </c>
      <c r="BP231">
        <v>0</v>
      </c>
      <c r="BR231">
        <v>0</v>
      </c>
      <c r="BS231">
        <v>1</v>
      </c>
      <c r="BX231">
        <v>0</v>
      </c>
      <c r="BY231">
        <v>895.74</v>
      </c>
      <c r="BZ231">
        <v>0</v>
      </c>
      <c r="CA231">
        <v>-11.95</v>
      </c>
      <c r="CC231">
        <v>1</v>
      </c>
      <c r="CD231" s="56">
        <v>42593</v>
      </c>
      <c r="CE231" s="56">
        <v>42612</v>
      </c>
      <c r="CF231" s="56">
        <v>42612</v>
      </c>
      <c r="CG231" s="56">
        <v>42640</v>
      </c>
      <c r="CH231" s="56"/>
      <c r="CI231" s="56"/>
      <c r="CJ231">
        <v>0.27</v>
      </c>
      <c r="CK231">
        <v>0</v>
      </c>
      <c r="CL231">
        <v>0</v>
      </c>
      <c r="CM231">
        <v>0</v>
      </c>
      <c r="CN231">
        <v>0.11</v>
      </c>
      <c r="CO231">
        <v>0</v>
      </c>
      <c r="CP231">
        <v>0.61</v>
      </c>
      <c r="CQ231" t="s">
        <v>1378</v>
      </c>
      <c r="CR231" t="s">
        <v>1377</v>
      </c>
      <c r="CS231" t="s">
        <v>1451</v>
      </c>
      <c r="CT231" t="s">
        <v>1724</v>
      </c>
      <c r="CU231" t="s">
        <v>1742</v>
      </c>
      <c r="CV231" t="s">
        <v>2199</v>
      </c>
      <c r="DB231" t="s">
        <v>2161</v>
      </c>
      <c r="DE231" t="s">
        <v>1724</v>
      </c>
    </row>
    <row r="232" spans="1:109" x14ac:dyDescent="0.25">
      <c r="A232" t="s">
        <v>1378</v>
      </c>
      <c r="B232">
        <v>1</v>
      </c>
      <c r="C232" s="56">
        <v>42640</v>
      </c>
      <c r="D232" t="s">
        <v>1449</v>
      </c>
      <c r="E232" t="s">
        <v>1401</v>
      </c>
      <c r="G232" t="s">
        <v>1144</v>
      </c>
      <c r="H232" t="s">
        <v>1144</v>
      </c>
      <c r="I232" t="s">
        <v>1144</v>
      </c>
      <c r="J232" t="s">
        <v>1144</v>
      </c>
      <c r="K232" t="s">
        <v>1144</v>
      </c>
      <c r="L232">
        <v>372.37</v>
      </c>
      <c r="M232">
        <v>717.51</v>
      </c>
      <c r="N232">
        <v>0</v>
      </c>
      <c r="O232" s="56"/>
      <c r="P232" s="56"/>
      <c r="Q232">
        <v>13718</v>
      </c>
      <c r="R232">
        <v>9</v>
      </c>
      <c r="S232">
        <v>4</v>
      </c>
      <c r="T232">
        <v>2</v>
      </c>
      <c r="U232">
        <v>2</v>
      </c>
      <c r="V232">
        <v>1</v>
      </c>
      <c r="X232" t="s">
        <v>2385</v>
      </c>
      <c r="AA232">
        <v>0.08</v>
      </c>
      <c r="AB232">
        <v>1</v>
      </c>
      <c r="AC232">
        <v>9.3800000000000008</v>
      </c>
      <c r="AD232">
        <v>31.25</v>
      </c>
      <c r="AE232">
        <v>0</v>
      </c>
      <c r="AF232">
        <v>0</v>
      </c>
      <c r="AG232">
        <v>0</v>
      </c>
      <c r="AJ232" s="56"/>
      <c r="AK232" s="56"/>
      <c r="AL232" s="56">
        <v>42322</v>
      </c>
      <c r="AM232">
        <v>5</v>
      </c>
      <c r="AP232" t="s">
        <v>1450</v>
      </c>
      <c r="AS232" t="s">
        <v>1152</v>
      </c>
      <c r="AT232">
        <v>1</v>
      </c>
      <c r="AV232">
        <v>3</v>
      </c>
      <c r="AW232">
        <v>2</v>
      </c>
      <c r="AX232">
        <v>1</v>
      </c>
      <c r="AY232" t="s">
        <v>1147</v>
      </c>
      <c r="AZ232" t="s">
        <v>1147</v>
      </c>
      <c r="BA232">
        <v>5</v>
      </c>
      <c r="BD232">
        <v>1000000000</v>
      </c>
      <c r="BE232">
        <v>10</v>
      </c>
      <c r="BF232">
        <v>-2.33</v>
      </c>
      <c r="BG232">
        <v>0</v>
      </c>
      <c r="BH232">
        <v>0</v>
      </c>
      <c r="BI232">
        <v>0</v>
      </c>
      <c r="BJ232">
        <v>0</v>
      </c>
      <c r="BK232">
        <v>0</v>
      </c>
      <c r="BL232">
        <v>0</v>
      </c>
      <c r="BM232">
        <v>10</v>
      </c>
      <c r="BN232">
        <v>-2.33</v>
      </c>
      <c r="BO232">
        <v>0</v>
      </c>
      <c r="BP232">
        <v>0</v>
      </c>
      <c r="BR232">
        <v>0</v>
      </c>
      <c r="BS232">
        <v>2</v>
      </c>
      <c r="BX232">
        <v>0</v>
      </c>
      <c r="BY232">
        <v>2606.59</v>
      </c>
      <c r="BZ232">
        <v>0</v>
      </c>
      <c r="CA232">
        <v>11.12</v>
      </c>
      <c r="CC232">
        <v>1</v>
      </c>
      <c r="CD232" s="56">
        <v>42619</v>
      </c>
      <c r="CE232" s="56">
        <v>42619</v>
      </c>
      <c r="CF232" s="56">
        <v>42619</v>
      </c>
      <c r="CG232" s="56">
        <v>42647</v>
      </c>
      <c r="CH232" s="56"/>
      <c r="CI232" s="56"/>
      <c r="CJ232">
        <v>0</v>
      </c>
      <c r="CK232">
        <v>0</v>
      </c>
      <c r="CL232">
        <v>0</v>
      </c>
      <c r="CM232">
        <v>0</v>
      </c>
      <c r="CN232">
        <v>0</v>
      </c>
      <c r="CO232">
        <v>0</v>
      </c>
      <c r="CP232">
        <v>0.65</v>
      </c>
      <c r="CQ232" t="s">
        <v>1378</v>
      </c>
      <c r="CR232" t="s">
        <v>1377</v>
      </c>
      <c r="CS232" t="s">
        <v>1451</v>
      </c>
      <c r="CT232" t="s">
        <v>1724</v>
      </c>
      <c r="CU232" t="s">
        <v>1742</v>
      </c>
      <c r="CV232" t="s">
        <v>1896</v>
      </c>
      <c r="DB232" t="s">
        <v>1888</v>
      </c>
      <c r="DE232" t="s">
        <v>1724</v>
      </c>
    </row>
    <row r="233" spans="1:109" x14ac:dyDescent="0.25">
      <c r="A233" t="s">
        <v>1378</v>
      </c>
      <c r="B233">
        <v>1</v>
      </c>
      <c r="C233" s="56">
        <v>42640</v>
      </c>
      <c r="D233" t="s">
        <v>1449</v>
      </c>
      <c r="E233" t="s">
        <v>2245</v>
      </c>
      <c r="G233" t="s">
        <v>1144</v>
      </c>
      <c r="H233" t="s">
        <v>1144</v>
      </c>
      <c r="I233" t="s">
        <v>1144</v>
      </c>
      <c r="J233" t="s">
        <v>1144</v>
      </c>
      <c r="K233" t="s">
        <v>1144</v>
      </c>
      <c r="L233">
        <v>427.27</v>
      </c>
      <c r="M233">
        <v>2</v>
      </c>
      <c r="N233">
        <v>0</v>
      </c>
      <c r="O233" s="56"/>
      <c r="P233" s="56"/>
      <c r="Q233">
        <v>13718</v>
      </c>
      <c r="R233">
        <v>9</v>
      </c>
      <c r="S233">
        <v>4</v>
      </c>
      <c r="T233">
        <v>2</v>
      </c>
      <c r="U233">
        <v>2</v>
      </c>
      <c r="V233">
        <v>1</v>
      </c>
      <c r="W233" t="s">
        <v>2379</v>
      </c>
      <c r="X233" t="s">
        <v>2386</v>
      </c>
      <c r="AA233">
        <v>0</v>
      </c>
      <c r="AB233">
        <v>0</v>
      </c>
      <c r="AC233">
        <v>0</v>
      </c>
      <c r="AD233">
        <v>0</v>
      </c>
      <c r="AE233">
        <v>0</v>
      </c>
      <c r="AF233">
        <v>0</v>
      </c>
      <c r="AG233">
        <v>0</v>
      </c>
      <c r="AJ233" s="56"/>
      <c r="AK233" s="56">
        <v>42369</v>
      </c>
      <c r="AL233" s="56"/>
      <c r="AM233">
        <v>1</v>
      </c>
      <c r="AP233" t="s">
        <v>1450</v>
      </c>
      <c r="AS233" t="s">
        <v>1152</v>
      </c>
      <c r="AT233">
        <v>1</v>
      </c>
      <c r="AV233">
        <v>1</v>
      </c>
      <c r="AW233">
        <v>1</v>
      </c>
      <c r="AX233">
        <v>0.5</v>
      </c>
      <c r="AY233" t="s">
        <v>1145</v>
      </c>
      <c r="AZ233" t="s">
        <v>1145</v>
      </c>
      <c r="BA233">
        <v>1</v>
      </c>
      <c r="BD233">
        <v>1000000000</v>
      </c>
      <c r="BE233">
        <v>1</v>
      </c>
      <c r="BF233">
        <v>0</v>
      </c>
      <c r="BG233">
        <v>0</v>
      </c>
      <c r="BH233">
        <v>0</v>
      </c>
      <c r="BI233">
        <v>0</v>
      </c>
      <c r="BJ233">
        <v>0</v>
      </c>
      <c r="BK233">
        <v>0</v>
      </c>
      <c r="BL233">
        <v>0</v>
      </c>
      <c r="BM233">
        <v>1</v>
      </c>
      <c r="BN233">
        <v>0</v>
      </c>
      <c r="BO233">
        <v>0</v>
      </c>
      <c r="BP233">
        <v>0</v>
      </c>
      <c r="BR233">
        <v>0</v>
      </c>
      <c r="BS233">
        <v>1</v>
      </c>
      <c r="BX233">
        <v>0</v>
      </c>
      <c r="BY233">
        <v>0</v>
      </c>
      <c r="BZ233">
        <v>0</v>
      </c>
      <c r="CA233">
        <v>-11.94</v>
      </c>
      <c r="CC233">
        <v>1</v>
      </c>
      <c r="CD233" s="56">
        <v>42593</v>
      </c>
      <c r="CE233" s="56">
        <v>42612</v>
      </c>
      <c r="CF233" s="56">
        <v>42612</v>
      </c>
      <c r="CG233" s="56">
        <v>42640</v>
      </c>
      <c r="CH233" s="56"/>
      <c r="CI233" s="56"/>
      <c r="CJ233">
        <v>0</v>
      </c>
      <c r="CK233">
        <v>0</v>
      </c>
      <c r="CL233">
        <v>0</v>
      </c>
      <c r="CM233">
        <v>0</v>
      </c>
      <c r="CN233">
        <v>0.71</v>
      </c>
      <c r="CO233">
        <v>0</v>
      </c>
      <c r="CP233">
        <v>0</v>
      </c>
      <c r="CQ233" t="s">
        <v>1378</v>
      </c>
      <c r="CR233" t="s">
        <v>1377</v>
      </c>
      <c r="CS233" t="s">
        <v>1451</v>
      </c>
      <c r="CT233" t="s">
        <v>1724</v>
      </c>
      <c r="CU233" t="s">
        <v>1742</v>
      </c>
      <c r="CV233" t="s">
        <v>2236</v>
      </c>
      <c r="DB233" t="s">
        <v>2134</v>
      </c>
      <c r="DE233" t="s">
        <v>1724</v>
      </c>
    </row>
    <row r="234" spans="1:109" x14ac:dyDescent="0.25">
      <c r="A234" t="s">
        <v>1378</v>
      </c>
      <c r="B234">
        <v>1</v>
      </c>
      <c r="C234" s="56">
        <v>42640</v>
      </c>
      <c r="D234" t="s">
        <v>1449</v>
      </c>
      <c r="E234" t="s">
        <v>1407</v>
      </c>
      <c r="G234" t="s">
        <v>1144</v>
      </c>
      <c r="H234" t="s">
        <v>1144</v>
      </c>
      <c r="I234" t="s">
        <v>1144</v>
      </c>
      <c r="J234" t="s">
        <v>1144</v>
      </c>
      <c r="K234" t="s">
        <v>1144</v>
      </c>
      <c r="L234">
        <v>343.27</v>
      </c>
      <c r="M234">
        <v>1020.89</v>
      </c>
      <c r="N234">
        <v>0</v>
      </c>
      <c r="O234" s="56"/>
      <c r="P234" s="56"/>
      <c r="Q234">
        <v>13718</v>
      </c>
      <c r="R234">
        <v>9</v>
      </c>
      <c r="S234">
        <v>4</v>
      </c>
      <c r="T234">
        <v>2</v>
      </c>
      <c r="U234">
        <v>2</v>
      </c>
      <c r="V234">
        <v>1</v>
      </c>
      <c r="W234" t="s">
        <v>1376</v>
      </c>
      <c r="X234" t="s">
        <v>2385</v>
      </c>
      <c r="AA234">
        <v>0.08</v>
      </c>
      <c r="AB234">
        <v>1</v>
      </c>
      <c r="AC234">
        <v>6.25</v>
      </c>
      <c r="AD234">
        <v>6.25</v>
      </c>
      <c r="AE234">
        <v>0</v>
      </c>
      <c r="AF234">
        <v>0</v>
      </c>
      <c r="AG234">
        <v>0</v>
      </c>
      <c r="AJ234" s="56">
        <v>42666</v>
      </c>
      <c r="AK234" s="56"/>
      <c r="AL234" s="56"/>
      <c r="AM234">
        <v>5</v>
      </c>
      <c r="AP234" t="s">
        <v>1450</v>
      </c>
      <c r="AS234" t="s">
        <v>1152</v>
      </c>
      <c r="AT234">
        <v>1</v>
      </c>
      <c r="AV234">
        <v>2</v>
      </c>
      <c r="AW234">
        <v>2</v>
      </c>
      <c r="AX234">
        <v>1</v>
      </c>
      <c r="AY234" t="s">
        <v>1145</v>
      </c>
      <c r="AZ234" t="s">
        <v>1145</v>
      </c>
      <c r="BA234">
        <v>5</v>
      </c>
      <c r="BD234">
        <v>1000000000</v>
      </c>
      <c r="BE234">
        <v>2</v>
      </c>
      <c r="BF234">
        <v>0</v>
      </c>
      <c r="BG234">
        <v>0</v>
      </c>
      <c r="BH234">
        <v>0</v>
      </c>
      <c r="BI234">
        <v>0</v>
      </c>
      <c r="BJ234">
        <v>0</v>
      </c>
      <c r="BK234">
        <v>0</v>
      </c>
      <c r="BL234">
        <v>0</v>
      </c>
      <c r="BM234">
        <v>2</v>
      </c>
      <c r="BN234">
        <v>0</v>
      </c>
      <c r="BO234">
        <v>0</v>
      </c>
      <c r="BP234">
        <v>0</v>
      </c>
      <c r="BR234">
        <v>0</v>
      </c>
      <c r="BS234">
        <v>1</v>
      </c>
      <c r="BX234">
        <v>0</v>
      </c>
      <c r="BY234">
        <v>0</v>
      </c>
      <c r="BZ234">
        <v>0</v>
      </c>
      <c r="CA234">
        <v>23.69</v>
      </c>
      <c r="CC234">
        <v>1</v>
      </c>
      <c r="CD234" s="56">
        <v>42619</v>
      </c>
      <c r="CE234" s="56">
        <v>42619</v>
      </c>
      <c r="CF234" s="56">
        <v>42619</v>
      </c>
      <c r="CG234" s="56">
        <v>42647</v>
      </c>
      <c r="CH234" s="56"/>
      <c r="CI234" s="56"/>
      <c r="CJ234">
        <v>0</v>
      </c>
      <c r="CK234">
        <v>0</v>
      </c>
      <c r="CL234">
        <v>0</v>
      </c>
      <c r="CM234">
        <v>0</v>
      </c>
      <c r="CN234">
        <v>0.65</v>
      </c>
      <c r="CO234">
        <v>0</v>
      </c>
      <c r="CP234">
        <v>0</v>
      </c>
      <c r="CQ234" t="s">
        <v>1378</v>
      </c>
      <c r="CR234" t="s">
        <v>1377</v>
      </c>
      <c r="CS234" t="s">
        <v>1451</v>
      </c>
      <c r="CT234" t="s">
        <v>1724</v>
      </c>
      <c r="CU234" t="s">
        <v>1742</v>
      </c>
      <c r="CV234" t="s">
        <v>1961</v>
      </c>
      <c r="DB234" t="s">
        <v>1962</v>
      </c>
      <c r="DE234" t="s">
        <v>1724</v>
      </c>
    </row>
    <row r="235" spans="1:109" x14ac:dyDescent="0.25">
      <c r="A235" t="s">
        <v>1378</v>
      </c>
      <c r="B235">
        <v>1</v>
      </c>
      <c r="C235" s="56">
        <v>42640</v>
      </c>
      <c r="D235" t="s">
        <v>1449</v>
      </c>
      <c r="E235" t="s">
        <v>1491</v>
      </c>
      <c r="G235" t="s">
        <v>1144</v>
      </c>
      <c r="H235" t="s">
        <v>1144</v>
      </c>
      <c r="I235" t="s">
        <v>1144</v>
      </c>
      <c r="J235" t="s">
        <v>1144</v>
      </c>
      <c r="K235" t="s">
        <v>1144</v>
      </c>
      <c r="L235">
        <v>586.12</v>
      </c>
      <c r="M235">
        <v>2</v>
      </c>
      <c r="N235">
        <v>0</v>
      </c>
      <c r="O235" s="56"/>
      <c r="P235" s="56"/>
      <c r="Q235">
        <v>13718</v>
      </c>
      <c r="R235">
        <v>9</v>
      </c>
      <c r="S235">
        <v>4</v>
      </c>
      <c r="T235">
        <v>2</v>
      </c>
      <c r="U235">
        <v>2</v>
      </c>
      <c r="V235">
        <v>1</v>
      </c>
      <c r="W235" t="s">
        <v>2379</v>
      </c>
      <c r="X235" t="s">
        <v>2387</v>
      </c>
      <c r="AA235">
        <v>0.04</v>
      </c>
      <c r="AB235">
        <v>1</v>
      </c>
      <c r="AC235">
        <v>12.5</v>
      </c>
      <c r="AD235">
        <v>6.25</v>
      </c>
      <c r="AE235">
        <v>0</v>
      </c>
      <c r="AF235">
        <v>0</v>
      </c>
      <c r="AG235">
        <v>0</v>
      </c>
      <c r="AJ235" s="56"/>
      <c r="AK235" s="56"/>
      <c r="AL235" s="56">
        <v>42656</v>
      </c>
      <c r="AM235">
        <v>1</v>
      </c>
      <c r="AP235" t="s">
        <v>1450</v>
      </c>
      <c r="AS235" t="s">
        <v>1152</v>
      </c>
      <c r="AT235">
        <v>1</v>
      </c>
      <c r="AV235">
        <v>2</v>
      </c>
      <c r="AW235">
        <v>2</v>
      </c>
      <c r="AX235">
        <v>1</v>
      </c>
      <c r="AY235" t="s">
        <v>1146</v>
      </c>
      <c r="AZ235" t="s">
        <v>1146</v>
      </c>
      <c r="BA235">
        <v>1</v>
      </c>
      <c r="BD235">
        <v>1000000000</v>
      </c>
      <c r="BE235">
        <v>1</v>
      </c>
      <c r="BF235">
        <v>0.5</v>
      </c>
      <c r="BG235">
        <v>0</v>
      </c>
      <c r="BH235">
        <v>0</v>
      </c>
      <c r="BI235">
        <v>0</v>
      </c>
      <c r="BJ235">
        <v>0</v>
      </c>
      <c r="BK235">
        <v>0</v>
      </c>
      <c r="BL235">
        <v>0</v>
      </c>
      <c r="BM235">
        <v>1</v>
      </c>
      <c r="BN235">
        <v>0.5</v>
      </c>
      <c r="BO235">
        <v>0</v>
      </c>
      <c r="BP235">
        <v>0</v>
      </c>
      <c r="BR235">
        <v>1</v>
      </c>
      <c r="BS235">
        <v>1</v>
      </c>
      <c r="BX235">
        <v>0</v>
      </c>
      <c r="BY235">
        <v>0</v>
      </c>
      <c r="BZ235">
        <v>0</v>
      </c>
      <c r="CA235">
        <v>-11.96</v>
      </c>
      <c r="CC235">
        <v>1</v>
      </c>
      <c r="CD235" s="56">
        <v>42592</v>
      </c>
      <c r="CE235" s="56">
        <v>42612</v>
      </c>
      <c r="CF235" s="56">
        <v>42612</v>
      </c>
      <c r="CG235" s="56">
        <v>42640</v>
      </c>
      <c r="CH235" s="56"/>
      <c r="CI235" s="56"/>
      <c r="CJ235">
        <v>0.36</v>
      </c>
      <c r="CK235">
        <v>1</v>
      </c>
      <c r="CL235">
        <v>0</v>
      </c>
      <c r="CM235">
        <v>0.43</v>
      </c>
      <c r="CN235">
        <v>0.28999999999999998</v>
      </c>
      <c r="CO235">
        <v>0</v>
      </c>
      <c r="CP235">
        <v>0</v>
      </c>
      <c r="CQ235" t="s">
        <v>1378</v>
      </c>
      <c r="CR235" t="s">
        <v>1377</v>
      </c>
      <c r="CS235" t="s">
        <v>1451</v>
      </c>
      <c r="CT235" t="s">
        <v>1724</v>
      </c>
      <c r="CU235" t="s">
        <v>1742</v>
      </c>
      <c r="CV235" t="s">
        <v>2300</v>
      </c>
      <c r="DB235" t="s">
        <v>2286</v>
      </c>
      <c r="DE235" t="s">
        <v>1724</v>
      </c>
    </row>
    <row r="236" spans="1:109" x14ac:dyDescent="0.25">
      <c r="A236" t="s">
        <v>1378</v>
      </c>
      <c r="B236">
        <v>1</v>
      </c>
      <c r="C236" s="56">
        <v>42640</v>
      </c>
      <c r="D236" t="s">
        <v>1449</v>
      </c>
      <c r="E236" t="s">
        <v>1471</v>
      </c>
      <c r="G236" t="s">
        <v>1144</v>
      </c>
      <c r="H236" t="s">
        <v>1144</v>
      </c>
      <c r="I236" t="s">
        <v>1144</v>
      </c>
      <c r="J236" t="s">
        <v>1144</v>
      </c>
      <c r="K236" t="s">
        <v>1144</v>
      </c>
      <c r="L236">
        <v>359.38</v>
      </c>
      <c r="M236">
        <v>732.52</v>
      </c>
      <c r="N236">
        <v>0</v>
      </c>
      <c r="O236" s="56"/>
      <c r="P236" s="56"/>
      <c r="Q236">
        <v>13718</v>
      </c>
      <c r="R236">
        <v>9</v>
      </c>
      <c r="S236">
        <v>4</v>
      </c>
      <c r="T236">
        <v>2</v>
      </c>
      <c r="U236">
        <v>2</v>
      </c>
      <c r="V236">
        <v>1</v>
      </c>
      <c r="X236" t="s">
        <v>2385</v>
      </c>
      <c r="AA236">
        <v>0.59</v>
      </c>
      <c r="AB236">
        <v>4</v>
      </c>
      <c r="AC236">
        <v>2.12</v>
      </c>
      <c r="AD236">
        <v>2.54</v>
      </c>
      <c r="AE236">
        <v>0</v>
      </c>
      <c r="AF236">
        <v>0</v>
      </c>
      <c r="AG236">
        <v>0</v>
      </c>
      <c r="AJ236" s="56"/>
      <c r="AK236" s="56">
        <v>42369</v>
      </c>
      <c r="AL236" s="56"/>
      <c r="AM236">
        <v>6</v>
      </c>
      <c r="AP236" t="s">
        <v>1450</v>
      </c>
      <c r="AS236" t="s">
        <v>1152</v>
      </c>
      <c r="AT236">
        <v>1</v>
      </c>
      <c r="AV236">
        <v>5</v>
      </c>
      <c r="AW236">
        <v>3</v>
      </c>
      <c r="AX236">
        <v>2</v>
      </c>
      <c r="AY236" t="s">
        <v>1147</v>
      </c>
      <c r="AZ236" t="s">
        <v>1147</v>
      </c>
      <c r="BA236">
        <v>6</v>
      </c>
      <c r="BD236">
        <v>1000000000</v>
      </c>
      <c r="BE236">
        <v>6</v>
      </c>
      <c r="BF236">
        <v>-0.2</v>
      </c>
      <c r="BG236">
        <v>0</v>
      </c>
      <c r="BH236">
        <v>0</v>
      </c>
      <c r="BI236">
        <v>0</v>
      </c>
      <c r="BJ236">
        <v>0</v>
      </c>
      <c r="BK236">
        <v>0</v>
      </c>
      <c r="BL236">
        <v>0</v>
      </c>
      <c r="BM236">
        <v>6</v>
      </c>
      <c r="BN236">
        <v>-0.2</v>
      </c>
      <c r="BO236">
        <v>0</v>
      </c>
      <c r="BP236">
        <v>0</v>
      </c>
      <c r="BR236">
        <v>0</v>
      </c>
      <c r="BS236">
        <v>3</v>
      </c>
      <c r="BX236">
        <v>0</v>
      </c>
      <c r="BY236">
        <v>359.38</v>
      </c>
      <c r="BZ236">
        <v>0</v>
      </c>
      <c r="CA236">
        <v>12.46</v>
      </c>
      <c r="CC236">
        <v>1</v>
      </c>
      <c r="CD236" s="56">
        <v>42619</v>
      </c>
      <c r="CE236" s="56">
        <v>42619</v>
      </c>
      <c r="CF236" s="56">
        <v>42619</v>
      </c>
      <c r="CG236" s="56">
        <v>42647</v>
      </c>
      <c r="CH236" s="56"/>
      <c r="CI236" s="56"/>
      <c r="CJ236">
        <v>0</v>
      </c>
      <c r="CK236">
        <v>0</v>
      </c>
      <c r="CL236">
        <v>0</v>
      </c>
      <c r="CM236">
        <v>0</v>
      </c>
      <c r="CN236">
        <v>0</v>
      </c>
      <c r="CO236">
        <v>0</v>
      </c>
      <c r="CP236">
        <v>0.65</v>
      </c>
      <c r="CQ236" t="s">
        <v>1378</v>
      </c>
      <c r="CR236" t="s">
        <v>1377</v>
      </c>
      <c r="CS236" t="s">
        <v>1451</v>
      </c>
      <c r="CT236" t="s">
        <v>1724</v>
      </c>
      <c r="CU236" t="s">
        <v>1742</v>
      </c>
      <c r="CV236" t="s">
        <v>2004</v>
      </c>
      <c r="DB236" t="s">
        <v>1997</v>
      </c>
      <c r="DE236" t="s">
        <v>1724</v>
      </c>
    </row>
    <row r="237" spans="1:109" x14ac:dyDescent="0.25">
      <c r="A237" t="s">
        <v>1378</v>
      </c>
      <c r="B237">
        <v>1</v>
      </c>
      <c r="C237" s="56">
        <v>42640</v>
      </c>
      <c r="D237" t="s">
        <v>1449</v>
      </c>
      <c r="E237" t="s">
        <v>1446</v>
      </c>
      <c r="G237" t="s">
        <v>1144</v>
      </c>
      <c r="H237" t="s">
        <v>1144</v>
      </c>
      <c r="I237" t="s">
        <v>1144</v>
      </c>
      <c r="J237" t="s">
        <v>1144</v>
      </c>
      <c r="K237" t="s">
        <v>1144</v>
      </c>
      <c r="L237">
        <v>226.27</v>
      </c>
      <c r="M237">
        <v>878.08</v>
      </c>
      <c r="N237">
        <v>0</v>
      </c>
      <c r="O237" s="56"/>
      <c r="P237" s="56"/>
      <c r="Q237">
        <v>13718</v>
      </c>
      <c r="R237">
        <v>9</v>
      </c>
      <c r="S237">
        <v>4</v>
      </c>
      <c r="T237">
        <v>2</v>
      </c>
      <c r="U237">
        <v>2</v>
      </c>
      <c r="V237">
        <v>1</v>
      </c>
      <c r="X237" t="s">
        <v>2385</v>
      </c>
      <c r="AA237">
        <v>0.16</v>
      </c>
      <c r="AB237">
        <v>1</v>
      </c>
      <c r="AC237">
        <v>3.13</v>
      </c>
      <c r="AD237">
        <v>12.5</v>
      </c>
      <c r="AE237">
        <v>0</v>
      </c>
      <c r="AF237">
        <v>0</v>
      </c>
      <c r="AG237">
        <v>0</v>
      </c>
      <c r="AJ237" s="56">
        <v>42666</v>
      </c>
      <c r="AK237" s="56"/>
      <c r="AL237" s="56"/>
      <c r="AM237">
        <v>7</v>
      </c>
      <c r="AP237" t="s">
        <v>1450</v>
      </c>
      <c r="AS237" t="s">
        <v>1152</v>
      </c>
      <c r="AT237">
        <v>1</v>
      </c>
      <c r="AV237">
        <v>2</v>
      </c>
      <c r="AW237">
        <v>2</v>
      </c>
      <c r="AX237">
        <v>1</v>
      </c>
      <c r="AY237" t="s">
        <v>1147</v>
      </c>
      <c r="AZ237" t="s">
        <v>1147</v>
      </c>
      <c r="BA237">
        <v>7</v>
      </c>
      <c r="BD237">
        <v>1000000000</v>
      </c>
      <c r="BE237">
        <v>8</v>
      </c>
      <c r="BF237">
        <v>-3</v>
      </c>
      <c r="BG237">
        <v>0</v>
      </c>
      <c r="BH237">
        <v>0</v>
      </c>
      <c r="BI237">
        <v>0</v>
      </c>
      <c r="BJ237">
        <v>0</v>
      </c>
      <c r="BK237">
        <v>0</v>
      </c>
      <c r="BL237">
        <v>0</v>
      </c>
      <c r="BM237">
        <v>8</v>
      </c>
      <c r="BN237">
        <v>-3</v>
      </c>
      <c r="BO237">
        <v>0</v>
      </c>
      <c r="BP237">
        <v>0</v>
      </c>
      <c r="BR237">
        <v>0</v>
      </c>
      <c r="BS237">
        <v>1</v>
      </c>
      <c r="BX237">
        <v>0</v>
      </c>
      <c r="BY237">
        <v>1357.62</v>
      </c>
      <c r="BZ237">
        <v>0</v>
      </c>
      <c r="CA237">
        <v>34.57</v>
      </c>
      <c r="CC237">
        <v>1</v>
      </c>
      <c r="CD237" s="56">
        <v>42619</v>
      </c>
      <c r="CE237" s="56">
        <v>42619</v>
      </c>
      <c r="CF237" s="56">
        <v>42619</v>
      </c>
      <c r="CG237" s="56">
        <v>42647</v>
      </c>
      <c r="CH237" s="56"/>
      <c r="CI237" s="56"/>
      <c r="CJ237">
        <v>0</v>
      </c>
      <c r="CK237">
        <v>0</v>
      </c>
      <c r="CL237">
        <v>0</v>
      </c>
      <c r="CM237">
        <v>0</v>
      </c>
      <c r="CN237">
        <v>0</v>
      </c>
      <c r="CO237">
        <v>0</v>
      </c>
      <c r="CP237">
        <v>0.65</v>
      </c>
      <c r="CQ237" t="s">
        <v>1378</v>
      </c>
      <c r="CR237" t="s">
        <v>1377</v>
      </c>
      <c r="CS237" t="s">
        <v>1451</v>
      </c>
      <c r="CT237" t="s">
        <v>1724</v>
      </c>
      <c r="CU237" t="s">
        <v>1742</v>
      </c>
      <c r="CV237" t="s">
        <v>2357</v>
      </c>
      <c r="DB237" t="s">
        <v>2351</v>
      </c>
      <c r="DE237" t="s">
        <v>1724</v>
      </c>
    </row>
    <row r="238" spans="1:109" x14ac:dyDescent="0.25">
      <c r="A238" t="s">
        <v>1378</v>
      </c>
      <c r="B238">
        <v>1</v>
      </c>
      <c r="C238" s="56">
        <v>42640</v>
      </c>
      <c r="D238" t="s">
        <v>1449</v>
      </c>
      <c r="E238" t="s">
        <v>1828</v>
      </c>
      <c r="G238" t="s">
        <v>1144</v>
      </c>
      <c r="H238" t="s">
        <v>1144</v>
      </c>
      <c r="I238" t="s">
        <v>1144</v>
      </c>
      <c r="J238" t="s">
        <v>1144</v>
      </c>
      <c r="K238" t="s">
        <v>1144</v>
      </c>
      <c r="L238">
        <v>27.82</v>
      </c>
      <c r="M238">
        <v>91.5</v>
      </c>
      <c r="N238">
        <v>0</v>
      </c>
      <c r="O238" s="56"/>
      <c r="P238" s="56"/>
      <c r="Q238">
        <v>13718</v>
      </c>
      <c r="R238">
        <v>9</v>
      </c>
      <c r="S238">
        <v>4</v>
      </c>
      <c r="T238">
        <v>2</v>
      </c>
      <c r="U238">
        <v>2</v>
      </c>
      <c r="V238">
        <v>1</v>
      </c>
      <c r="W238" t="s">
        <v>1376</v>
      </c>
      <c r="X238" t="s">
        <v>2385</v>
      </c>
      <c r="AA238">
        <v>0</v>
      </c>
      <c r="AB238">
        <v>0</v>
      </c>
      <c r="AC238">
        <v>0</v>
      </c>
      <c r="AD238">
        <v>0</v>
      </c>
      <c r="AE238">
        <v>0</v>
      </c>
      <c r="AF238">
        <v>0</v>
      </c>
      <c r="AG238">
        <v>0</v>
      </c>
      <c r="AJ238" s="56"/>
      <c r="AK238" s="56">
        <v>42369</v>
      </c>
      <c r="AL238" s="56"/>
      <c r="AM238">
        <v>3</v>
      </c>
      <c r="AP238" t="s">
        <v>1450</v>
      </c>
      <c r="AS238" t="s">
        <v>1152</v>
      </c>
      <c r="AT238">
        <v>1</v>
      </c>
      <c r="AV238">
        <v>2</v>
      </c>
      <c r="AW238">
        <v>2</v>
      </c>
      <c r="AX238">
        <v>1</v>
      </c>
      <c r="AY238" t="s">
        <v>1145</v>
      </c>
      <c r="AZ238" t="s">
        <v>1145</v>
      </c>
      <c r="BA238">
        <v>3</v>
      </c>
      <c r="BD238">
        <v>1000000000</v>
      </c>
      <c r="BE238">
        <v>2</v>
      </c>
      <c r="BF238">
        <v>0</v>
      </c>
      <c r="BG238">
        <v>0</v>
      </c>
      <c r="BH238">
        <v>0</v>
      </c>
      <c r="BI238">
        <v>0</v>
      </c>
      <c r="BJ238">
        <v>0</v>
      </c>
      <c r="BK238">
        <v>0</v>
      </c>
      <c r="BL238">
        <v>0</v>
      </c>
      <c r="BM238">
        <v>2</v>
      </c>
      <c r="BN238">
        <v>0</v>
      </c>
      <c r="BO238">
        <v>0</v>
      </c>
      <c r="BP238">
        <v>0</v>
      </c>
      <c r="BR238">
        <v>0</v>
      </c>
      <c r="BS238">
        <v>1</v>
      </c>
      <c r="BX238">
        <v>0</v>
      </c>
      <c r="BY238">
        <v>0</v>
      </c>
      <c r="BZ238">
        <v>0</v>
      </c>
      <c r="CA238">
        <v>27.47</v>
      </c>
      <c r="CC238">
        <v>1</v>
      </c>
      <c r="CD238" s="56">
        <v>42619</v>
      </c>
      <c r="CE238" s="56">
        <v>42619</v>
      </c>
      <c r="CF238" s="56">
        <v>42619</v>
      </c>
      <c r="CG238" s="56">
        <v>42647</v>
      </c>
      <c r="CH238" s="56"/>
      <c r="CI238" s="56"/>
      <c r="CJ238">
        <v>0</v>
      </c>
      <c r="CK238">
        <v>0</v>
      </c>
      <c r="CL238">
        <v>0</v>
      </c>
      <c r="CM238">
        <v>0</v>
      </c>
      <c r="CN238">
        <v>0.65</v>
      </c>
      <c r="CO238">
        <v>0</v>
      </c>
      <c r="CP238">
        <v>0</v>
      </c>
      <c r="CQ238" t="s">
        <v>1378</v>
      </c>
      <c r="CR238" t="s">
        <v>1377</v>
      </c>
      <c r="CS238" t="s">
        <v>1451</v>
      </c>
      <c r="CT238" t="s">
        <v>1724</v>
      </c>
      <c r="CU238" t="s">
        <v>1742</v>
      </c>
      <c r="CV238" t="s">
        <v>1829</v>
      </c>
      <c r="DB238" t="s">
        <v>1830</v>
      </c>
      <c r="DE238" t="s">
        <v>1724</v>
      </c>
    </row>
    <row r="239" spans="1:109" x14ac:dyDescent="0.25">
      <c r="A239" t="s">
        <v>1378</v>
      </c>
      <c r="B239">
        <v>1</v>
      </c>
      <c r="C239" s="56">
        <v>42640</v>
      </c>
      <c r="D239" t="s">
        <v>1449</v>
      </c>
      <c r="E239" t="s">
        <v>2187</v>
      </c>
      <c r="G239" t="s">
        <v>1144</v>
      </c>
      <c r="H239" t="s">
        <v>1144</v>
      </c>
      <c r="I239" t="s">
        <v>1144</v>
      </c>
      <c r="J239" t="s">
        <v>1144</v>
      </c>
      <c r="K239" t="s">
        <v>1144</v>
      </c>
      <c r="L239">
        <v>431.81</v>
      </c>
      <c r="M239">
        <v>2</v>
      </c>
      <c r="N239">
        <v>0</v>
      </c>
      <c r="O239" s="56"/>
      <c r="P239" s="56"/>
      <c r="Q239">
        <v>13718</v>
      </c>
      <c r="R239">
        <v>9</v>
      </c>
      <c r="S239">
        <v>4</v>
      </c>
      <c r="T239">
        <v>2</v>
      </c>
      <c r="U239">
        <v>2</v>
      </c>
      <c r="V239">
        <v>1</v>
      </c>
      <c r="X239" t="s">
        <v>2386</v>
      </c>
      <c r="AA239">
        <v>0</v>
      </c>
      <c r="AB239">
        <v>0</v>
      </c>
      <c r="AC239">
        <v>0</v>
      </c>
      <c r="AD239">
        <v>0</v>
      </c>
      <c r="AE239">
        <v>0</v>
      </c>
      <c r="AF239">
        <v>0</v>
      </c>
      <c r="AG239">
        <v>0</v>
      </c>
      <c r="AJ239" s="56"/>
      <c r="AK239" s="56"/>
      <c r="AL239" s="56"/>
      <c r="AM239">
        <v>1</v>
      </c>
      <c r="AP239" t="s">
        <v>1450</v>
      </c>
      <c r="AS239" t="s">
        <v>1152</v>
      </c>
      <c r="AT239">
        <v>1</v>
      </c>
      <c r="AV239">
        <v>1</v>
      </c>
      <c r="AW239">
        <v>1</v>
      </c>
      <c r="AX239">
        <v>0.5</v>
      </c>
      <c r="AY239" t="s">
        <v>1147</v>
      </c>
      <c r="AZ239" t="s">
        <v>1147</v>
      </c>
      <c r="BA239">
        <v>1</v>
      </c>
      <c r="BD239">
        <v>1000000000</v>
      </c>
      <c r="BE239">
        <v>2</v>
      </c>
      <c r="BF239">
        <v>-1</v>
      </c>
      <c r="BG239">
        <v>0</v>
      </c>
      <c r="BH239">
        <v>0</v>
      </c>
      <c r="BI239">
        <v>0</v>
      </c>
      <c r="BJ239">
        <v>0</v>
      </c>
      <c r="BK239">
        <v>0</v>
      </c>
      <c r="BL239">
        <v>0</v>
      </c>
      <c r="BM239">
        <v>2</v>
      </c>
      <c r="BN239">
        <v>-1</v>
      </c>
      <c r="BO239">
        <v>0</v>
      </c>
      <c r="BP239">
        <v>0</v>
      </c>
      <c r="BR239">
        <v>0</v>
      </c>
      <c r="BS239">
        <v>1</v>
      </c>
      <c r="BX239">
        <v>0</v>
      </c>
      <c r="BY239">
        <v>431.81</v>
      </c>
      <c r="BZ239">
        <v>0</v>
      </c>
      <c r="CA239">
        <v>-11.94</v>
      </c>
      <c r="CC239">
        <v>1</v>
      </c>
      <c r="CD239" s="56">
        <v>42593</v>
      </c>
      <c r="CE239" s="56">
        <v>42612</v>
      </c>
      <c r="CF239" s="56">
        <v>42612</v>
      </c>
      <c r="CG239" s="56">
        <v>42640</v>
      </c>
      <c r="CH239" s="56"/>
      <c r="CI239" s="56"/>
      <c r="CJ239">
        <v>0</v>
      </c>
      <c r="CK239">
        <v>0</v>
      </c>
      <c r="CL239">
        <v>0</v>
      </c>
      <c r="CM239">
        <v>0</v>
      </c>
      <c r="CN239">
        <v>0</v>
      </c>
      <c r="CO239">
        <v>0</v>
      </c>
      <c r="CP239">
        <v>0.71</v>
      </c>
      <c r="CQ239" t="s">
        <v>1378</v>
      </c>
      <c r="CR239" t="s">
        <v>1377</v>
      </c>
      <c r="CS239" t="s">
        <v>1451</v>
      </c>
      <c r="CT239" t="s">
        <v>1724</v>
      </c>
      <c r="CU239" t="s">
        <v>1742</v>
      </c>
      <c r="CV239" t="s">
        <v>2188</v>
      </c>
      <c r="DB239" t="s">
        <v>2161</v>
      </c>
      <c r="DE239" t="s">
        <v>1724</v>
      </c>
    </row>
    <row r="240" spans="1:109" x14ac:dyDescent="0.25">
      <c r="A240" t="s">
        <v>1378</v>
      </c>
      <c r="B240">
        <v>1</v>
      </c>
      <c r="C240" s="56">
        <v>42640</v>
      </c>
      <c r="D240" t="s">
        <v>1449</v>
      </c>
      <c r="E240" t="s">
        <v>1883</v>
      </c>
      <c r="G240" t="s">
        <v>1144</v>
      </c>
      <c r="H240" t="s">
        <v>1144</v>
      </c>
      <c r="I240" t="s">
        <v>1144</v>
      </c>
      <c r="J240" t="s">
        <v>1144</v>
      </c>
      <c r="K240" t="s">
        <v>1144</v>
      </c>
      <c r="L240">
        <v>89.68</v>
      </c>
      <c r="M240">
        <v>230.18</v>
      </c>
      <c r="N240">
        <v>0</v>
      </c>
      <c r="O240" s="56"/>
      <c r="P240" s="56"/>
      <c r="Q240">
        <v>13718</v>
      </c>
      <c r="R240">
        <v>9</v>
      </c>
      <c r="S240">
        <v>4</v>
      </c>
      <c r="T240">
        <v>2</v>
      </c>
      <c r="U240">
        <v>2</v>
      </c>
      <c r="V240">
        <v>1</v>
      </c>
      <c r="X240" t="s">
        <v>2385</v>
      </c>
      <c r="AA240">
        <v>0</v>
      </c>
      <c r="AB240">
        <v>0</v>
      </c>
      <c r="AC240">
        <v>0</v>
      </c>
      <c r="AD240">
        <v>0</v>
      </c>
      <c r="AE240">
        <v>0</v>
      </c>
      <c r="AF240">
        <v>0</v>
      </c>
      <c r="AG240">
        <v>0</v>
      </c>
      <c r="AJ240" s="56"/>
      <c r="AK240" s="56">
        <v>42369</v>
      </c>
      <c r="AL240" s="56"/>
      <c r="AM240">
        <v>5</v>
      </c>
      <c r="AP240" t="s">
        <v>1450</v>
      </c>
      <c r="AS240" t="s">
        <v>1152</v>
      </c>
      <c r="AT240">
        <v>1</v>
      </c>
      <c r="AV240">
        <v>2</v>
      </c>
      <c r="AW240">
        <v>2</v>
      </c>
      <c r="AX240">
        <v>1</v>
      </c>
      <c r="AY240" t="s">
        <v>1147</v>
      </c>
      <c r="AZ240" t="s">
        <v>1147</v>
      </c>
      <c r="BA240">
        <v>5</v>
      </c>
      <c r="BD240">
        <v>1000000000</v>
      </c>
      <c r="BE240">
        <v>5</v>
      </c>
      <c r="BF240">
        <v>-1.5</v>
      </c>
      <c r="BG240">
        <v>0</v>
      </c>
      <c r="BH240">
        <v>0</v>
      </c>
      <c r="BI240">
        <v>0</v>
      </c>
      <c r="BJ240">
        <v>0</v>
      </c>
      <c r="BK240">
        <v>0</v>
      </c>
      <c r="BL240">
        <v>0</v>
      </c>
      <c r="BM240">
        <v>5</v>
      </c>
      <c r="BN240">
        <v>-1.5</v>
      </c>
      <c r="BO240">
        <v>0</v>
      </c>
      <c r="BP240">
        <v>0</v>
      </c>
      <c r="BR240">
        <v>0</v>
      </c>
      <c r="BS240">
        <v>1</v>
      </c>
      <c r="BX240">
        <v>0</v>
      </c>
      <c r="BY240">
        <v>269.04000000000002</v>
      </c>
      <c r="BZ240">
        <v>0</v>
      </c>
      <c r="CA240">
        <v>18.8</v>
      </c>
      <c r="CC240">
        <v>1</v>
      </c>
      <c r="CD240" s="56">
        <v>42619</v>
      </c>
      <c r="CE240" s="56">
        <v>42619</v>
      </c>
      <c r="CF240" s="56">
        <v>42619</v>
      </c>
      <c r="CG240" s="56">
        <v>42647</v>
      </c>
      <c r="CH240" s="56"/>
      <c r="CI240" s="56"/>
      <c r="CJ240">
        <v>0</v>
      </c>
      <c r="CK240">
        <v>0</v>
      </c>
      <c r="CL240">
        <v>0</v>
      </c>
      <c r="CM240">
        <v>0</v>
      </c>
      <c r="CN240">
        <v>0</v>
      </c>
      <c r="CO240">
        <v>0</v>
      </c>
      <c r="CP240">
        <v>0.65</v>
      </c>
      <c r="CQ240" t="s">
        <v>1378</v>
      </c>
      <c r="CR240" t="s">
        <v>1377</v>
      </c>
      <c r="CS240" t="s">
        <v>1451</v>
      </c>
      <c r="CT240" t="s">
        <v>1724</v>
      </c>
      <c r="CU240" t="s">
        <v>1742</v>
      </c>
      <c r="CV240" t="s">
        <v>1884</v>
      </c>
      <c r="DB240" t="s">
        <v>1869</v>
      </c>
      <c r="DE240" t="s">
        <v>1724</v>
      </c>
    </row>
    <row r="241" spans="1:109" x14ac:dyDescent="0.25">
      <c r="A241" t="s">
        <v>1378</v>
      </c>
      <c r="B241">
        <v>1</v>
      </c>
      <c r="C241" s="56">
        <v>42640</v>
      </c>
      <c r="D241" t="s">
        <v>1449</v>
      </c>
      <c r="E241" t="s">
        <v>2235</v>
      </c>
      <c r="G241" t="s">
        <v>1144</v>
      </c>
      <c r="H241" t="s">
        <v>1144</v>
      </c>
      <c r="I241" t="s">
        <v>1144</v>
      </c>
      <c r="J241" t="s">
        <v>1144</v>
      </c>
      <c r="K241" t="s">
        <v>1144</v>
      </c>
      <c r="L241">
        <v>391.5</v>
      </c>
      <c r="M241">
        <v>2</v>
      </c>
      <c r="N241">
        <v>0</v>
      </c>
      <c r="O241" s="56"/>
      <c r="P241" s="56"/>
      <c r="Q241">
        <v>13718</v>
      </c>
      <c r="R241">
        <v>9</v>
      </c>
      <c r="S241">
        <v>4</v>
      </c>
      <c r="T241">
        <v>2</v>
      </c>
      <c r="U241">
        <v>2</v>
      </c>
      <c r="V241">
        <v>1</v>
      </c>
      <c r="X241" t="s">
        <v>2386</v>
      </c>
      <c r="AA241">
        <v>0</v>
      </c>
      <c r="AB241">
        <v>0</v>
      </c>
      <c r="AC241">
        <v>0</v>
      </c>
      <c r="AD241">
        <v>0</v>
      </c>
      <c r="AE241">
        <v>0</v>
      </c>
      <c r="AF241">
        <v>0</v>
      </c>
      <c r="AG241">
        <v>0</v>
      </c>
      <c r="AJ241" s="56"/>
      <c r="AK241" s="56">
        <v>42369</v>
      </c>
      <c r="AL241" s="56"/>
      <c r="AM241">
        <v>1</v>
      </c>
      <c r="AP241" t="s">
        <v>1450</v>
      </c>
      <c r="AS241" t="s">
        <v>1152</v>
      </c>
      <c r="AT241">
        <v>1</v>
      </c>
      <c r="AV241">
        <v>1</v>
      </c>
      <c r="AW241">
        <v>1</v>
      </c>
      <c r="AX241">
        <v>0.5</v>
      </c>
      <c r="AY241" t="s">
        <v>1147</v>
      </c>
      <c r="AZ241" t="s">
        <v>1147</v>
      </c>
      <c r="BA241">
        <v>1</v>
      </c>
      <c r="BD241">
        <v>1000000000</v>
      </c>
      <c r="BE241">
        <v>2</v>
      </c>
      <c r="BF241">
        <v>-1</v>
      </c>
      <c r="BG241">
        <v>0</v>
      </c>
      <c r="BH241">
        <v>0</v>
      </c>
      <c r="BI241">
        <v>0</v>
      </c>
      <c r="BJ241">
        <v>0</v>
      </c>
      <c r="BK241">
        <v>0</v>
      </c>
      <c r="BL241">
        <v>0</v>
      </c>
      <c r="BM241">
        <v>2</v>
      </c>
      <c r="BN241">
        <v>-1</v>
      </c>
      <c r="BO241">
        <v>0</v>
      </c>
      <c r="BP241">
        <v>0</v>
      </c>
      <c r="BR241">
        <v>0</v>
      </c>
      <c r="BS241">
        <v>1</v>
      </c>
      <c r="BX241">
        <v>0</v>
      </c>
      <c r="BY241">
        <v>391.5</v>
      </c>
      <c r="BZ241">
        <v>0</v>
      </c>
      <c r="CA241">
        <v>-11.94</v>
      </c>
      <c r="CC241">
        <v>1</v>
      </c>
      <c r="CD241" s="56">
        <v>42593</v>
      </c>
      <c r="CE241" s="56">
        <v>42612</v>
      </c>
      <c r="CF241" s="56">
        <v>42612</v>
      </c>
      <c r="CG241" s="56">
        <v>42640</v>
      </c>
      <c r="CH241" s="56"/>
      <c r="CI241" s="56"/>
      <c r="CJ241">
        <v>0</v>
      </c>
      <c r="CK241">
        <v>0</v>
      </c>
      <c r="CL241">
        <v>0</v>
      </c>
      <c r="CM241">
        <v>0</v>
      </c>
      <c r="CN241">
        <v>0</v>
      </c>
      <c r="CO241">
        <v>0</v>
      </c>
      <c r="CP241">
        <v>0.71</v>
      </c>
      <c r="CQ241" t="s">
        <v>1378</v>
      </c>
      <c r="CR241" t="s">
        <v>1377</v>
      </c>
      <c r="CS241" t="s">
        <v>1451</v>
      </c>
      <c r="CT241" t="s">
        <v>1724</v>
      </c>
      <c r="CU241" t="s">
        <v>1742</v>
      </c>
      <c r="CV241" t="s">
        <v>2236</v>
      </c>
      <c r="DB241" t="s">
        <v>2134</v>
      </c>
      <c r="DE241" t="s">
        <v>1724</v>
      </c>
    </row>
    <row r="242" spans="1:109" x14ac:dyDescent="0.25">
      <c r="A242" t="s">
        <v>1378</v>
      </c>
      <c r="B242">
        <v>1</v>
      </c>
      <c r="C242" s="56">
        <v>42640</v>
      </c>
      <c r="D242" t="s">
        <v>1449</v>
      </c>
      <c r="E242" t="s">
        <v>1951</v>
      </c>
      <c r="G242" t="s">
        <v>1144</v>
      </c>
      <c r="H242" t="s">
        <v>1144</v>
      </c>
      <c r="I242" t="s">
        <v>1144</v>
      </c>
      <c r="J242" t="s">
        <v>1144</v>
      </c>
      <c r="K242" t="s">
        <v>1144</v>
      </c>
      <c r="L242">
        <v>0</v>
      </c>
      <c r="M242">
        <v>230.18</v>
      </c>
      <c r="N242">
        <v>0</v>
      </c>
      <c r="O242" s="56"/>
      <c r="P242" s="56"/>
      <c r="Q242">
        <v>13718</v>
      </c>
      <c r="R242">
        <v>9</v>
      </c>
      <c r="S242">
        <v>4</v>
      </c>
      <c r="T242">
        <v>2</v>
      </c>
      <c r="U242">
        <v>2</v>
      </c>
      <c r="V242">
        <v>1</v>
      </c>
      <c r="X242" t="s">
        <v>2386</v>
      </c>
      <c r="AA242">
        <v>0</v>
      </c>
      <c r="AB242">
        <v>0</v>
      </c>
      <c r="AC242">
        <v>0</v>
      </c>
      <c r="AD242">
        <v>0</v>
      </c>
      <c r="AE242">
        <v>0</v>
      </c>
      <c r="AF242">
        <v>0</v>
      </c>
      <c r="AG242">
        <v>0</v>
      </c>
      <c r="AJ242" s="56"/>
      <c r="AK242" s="56"/>
      <c r="AL242" s="56"/>
      <c r="AP242" t="s">
        <v>1450</v>
      </c>
      <c r="AS242" t="s">
        <v>1152</v>
      </c>
      <c r="AT242">
        <v>1</v>
      </c>
      <c r="AV242">
        <v>0</v>
      </c>
      <c r="AW242">
        <v>0</v>
      </c>
      <c r="AX242">
        <v>0</v>
      </c>
      <c r="AY242" t="s">
        <v>1375</v>
      </c>
      <c r="AZ242" t="s">
        <v>1375</v>
      </c>
      <c r="BA242">
        <v>0</v>
      </c>
      <c r="BD242">
        <v>1000000000</v>
      </c>
      <c r="BE242">
        <v>0</v>
      </c>
      <c r="BF242">
        <v>0</v>
      </c>
      <c r="BG242">
        <v>0</v>
      </c>
      <c r="BH242">
        <v>0</v>
      </c>
      <c r="BI242">
        <v>0</v>
      </c>
      <c r="BJ242">
        <v>0</v>
      </c>
      <c r="BK242">
        <v>0</v>
      </c>
      <c r="BL242">
        <v>0</v>
      </c>
      <c r="BM242">
        <v>0</v>
      </c>
      <c r="BN242">
        <v>0</v>
      </c>
      <c r="BO242">
        <v>0</v>
      </c>
      <c r="BP242">
        <v>0</v>
      </c>
      <c r="BR242">
        <v>0</v>
      </c>
      <c r="BS242">
        <v>0</v>
      </c>
      <c r="BX242">
        <v>0</v>
      </c>
      <c r="BY242">
        <v>0</v>
      </c>
      <c r="BZ242">
        <v>0</v>
      </c>
      <c r="CA242">
        <v>0</v>
      </c>
      <c r="CC242">
        <v>1</v>
      </c>
      <c r="CD242" s="56">
        <v>42593</v>
      </c>
      <c r="CE242" s="56">
        <v>42612</v>
      </c>
      <c r="CF242" s="56">
        <v>42612</v>
      </c>
      <c r="CG242" s="56">
        <v>42640</v>
      </c>
      <c r="CH242" s="56"/>
      <c r="CI242" s="56"/>
      <c r="CJ242">
        <v>1</v>
      </c>
      <c r="CK242">
        <v>0</v>
      </c>
      <c r="CL242">
        <v>0.71</v>
      </c>
      <c r="CM242">
        <v>0</v>
      </c>
      <c r="CN242">
        <v>0</v>
      </c>
      <c r="CO242">
        <v>0</v>
      </c>
      <c r="CP242">
        <v>0</v>
      </c>
      <c r="CQ242" t="s">
        <v>1378</v>
      </c>
      <c r="CR242" t="s">
        <v>1377</v>
      </c>
      <c r="CS242" t="s">
        <v>1451</v>
      </c>
      <c r="CT242" t="s">
        <v>1724</v>
      </c>
      <c r="CU242" t="s">
        <v>1742</v>
      </c>
      <c r="CV242" t="s">
        <v>1945</v>
      </c>
      <c r="DB242" t="s">
        <v>1869</v>
      </c>
      <c r="DE242" t="s">
        <v>1724</v>
      </c>
    </row>
    <row r="243" spans="1:109" x14ac:dyDescent="0.25">
      <c r="A243" t="s">
        <v>1378</v>
      </c>
      <c r="B243">
        <v>1</v>
      </c>
      <c r="C243" s="56">
        <v>42640</v>
      </c>
      <c r="D243" t="s">
        <v>1449</v>
      </c>
      <c r="E243" t="s">
        <v>1932</v>
      </c>
      <c r="G243" t="s">
        <v>1144</v>
      </c>
      <c r="H243" t="s">
        <v>1144</v>
      </c>
      <c r="I243" t="s">
        <v>1144</v>
      </c>
      <c r="J243" t="s">
        <v>1144</v>
      </c>
      <c r="K243" t="s">
        <v>1144</v>
      </c>
      <c r="L243">
        <v>0</v>
      </c>
      <c r="M243">
        <v>230.18</v>
      </c>
      <c r="N243">
        <v>0</v>
      </c>
      <c r="O243" s="56"/>
      <c r="P243" s="56"/>
      <c r="Q243">
        <v>13718</v>
      </c>
      <c r="R243">
        <v>9</v>
      </c>
      <c r="S243">
        <v>4</v>
      </c>
      <c r="T243">
        <v>2</v>
      </c>
      <c r="U243">
        <v>2</v>
      </c>
      <c r="V243">
        <v>1</v>
      </c>
      <c r="X243" t="s">
        <v>2386</v>
      </c>
      <c r="AA243">
        <v>0</v>
      </c>
      <c r="AB243">
        <v>0</v>
      </c>
      <c r="AC243">
        <v>0</v>
      </c>
      <c r="AD243">
        <v>0</v>
      </c>
      <c r="AE243">
        <v>0</v>
      </c>
      <c r="AF243">
        <v>0</v>
      </c>
      <c r="AG243">
        <v>0</v>
      </c>
      <c r="AJ243" s="56"/>
      <c r="AK243" s="56"/>
      <c r="AL243" s="56"/>
      <c r="AP243" t="s">
        <v>1450</v>
      </c>
      <c r="AS243" t="s">
        <v>1152</v>
      </c>
      <c r="AT243">
        <v>1</v>
      </c>
      <c r="AV243">
        <v>0</v>
      </c>
      <c r="AW243">
        <v>0</v>
      </c>
      <c r="AX243">
        <v>0</v>
      </c>
      <c r="AY243" t="s">
        <v>1375</v>
      </c>
      <c r="AZ243" t="s">
        <v>1375</v>
      </c>
      <c r="BA243">
        <v>0</v>
      </c>
      <c r="BD243">
        <v>1000000000</v>
      </c>
      <c r="BE243">
        <v>0</v>
      </c>
      <c r="BF243">
        <v>0</v>
      </c>
      <c r="BG243">
        <v>0</v>
      </c>
      <c r="BH243">
        <v>0</v>
      </c>
      <c r="BI243">
        <v>0</v>
      </c>
      <c r="BJ243">
        <v>0</v>
      </c>
      <c r="BK243">
        <v>0</v>
      </c>
      <c r="BL243">
        <v>0</v>
      </c>
      <c r="BM243">
        <v>0</v>
      </c>
      <c r="BN243">
        <v>0</v>
      </c>
      <c r="BO243">
        <v>0</v>
      </c>
      <c r="BP243">
        <v>0</v>
      </c>
      <c r="BR243">
        <v>0</v>
      </c>
      <c r="BS243">
        <v>0</v>
      </c>
      <c r="BX243">
        <v>0</v>
      </c>
      <c r="BY243">
        <v>0</v>
      </c>
      <c r="BZ243">
        <v>0</v>
      </c>
      <c r="CA243">
        <v>0</v>
      </c>
      <c r="CC243">
        <v>1</v>
      </c>
      <c r="CD243" s="56">
        <v>42593</v>
      </c>
      <c r="CE243" s="56">
        <v>42612</v>
      </c>
      <c r="CF243" s="56">
        <v>42612</v>
      </c>
      <c r="CG243" s="56">
        <v>42640</v>
      </c>
      <c r="CH243" s="56"/>
      <c r="CI243" s="56"/>
      <c r="CJ243">
        <v>1</v>
      </c>
      <c r="CK243">
        <v>0</v>
      </c>
      <c r="CL243">
        <v>0.71</v>
      </c>
      <c r="CM243">
        <v>0</v>
      </c>
      <c r="CN243">
        <v>0</v>
      </c>
      <c r="CO243">
        <v>0</v>
      </c>
      <c r="CP243">
        <v>0</v>
      </c>
      <c r="CQ243" t="s">
        <v>1378</v>
      </c>
      <c r="CR243" t="s">
        <v>1377</v>
      </c>
      <c r="CS243" t="s">
        <v>1451</v>
      </c>
      <c r="CT243" t="s">
        <v>1724</v>
      </c>
      <c r="CU243" t="s">
        <v>1742</v>
      </c>
      <c r="CV243" t="s">
        <v>1933</v>
      </c>
      <c r="DB243" t="s">
        <v>1869</v>
      </c>
      <c r="DE243" t="s">
        <v>1724</v>
      </c>
    </row>
    <row r="244" spans="1:109" x14ac:dyDescent="0.25">
      <c r="A244" t="s">
        <v>1378</v>
      </c>
      <c r="B244">
        <v>1</v>
      </c>
      <c r="C244" s="56">
        <v>42640</v>
      </c>
      <c r="D244" t="s">
        <v>1449</v>
      </c>
      <c r="E244" t="s">
        <v>2284</v>
      </c>
      <c r="G244" t="s">
        <v>1144</v>
      </c>
      <c r="H244" t="s">
        <v>1144</v>
      </c>
      <c r="I244" t="s">
        <v>1144</v>
      </c>
      <c r="J244" t="s">
        <v>1144</v>
      </c>
      <c r="K244" t="s">
        <v>1144</v>
      </c>
      <c r="L244">
        <v>584.66</v>
      </c>
      <c r="M244">
        <v>2</v>
      </c>
      <c r="N244">
        <v>0</v>
      </c>
      <c r="O244" s="56"/>
      <c r="P244" s="56"/>
      <c r="Q244">
        <v>13718</v>
      </c>
      <c r="R244">
        <v>9</v>
      </c>
      <c r="S244">
        <v>4</v>
      </c>
      <c r="T244">
        <v>2</v>
      </c>
      <c r="U244">
        <v>2</v>
      </c>
      <c r="V244">
        <v>1</v>
      </c>
      <c r="W244" t="s">
        <v>2379</v>
      </c>
      <c r="X244" t="s">
        <v>2387</v>
      </c>
      <c r="AA244">
        <v>0.04</v>
      </c>
      <c r="AB244">
        <v>1</v>
      </c>
      <c r="AC244">
        <v>12.5</v>
      </c>
      <c r="AD244">
        <v>12.5</v>
      </c>
      <c r="AE244">
        <v>0</v>
      </c>
      <c r="AF244">
        <v>0</v>
      </c>
      <c r="AG244">
        <v>0</v>
      </c>
      <c r="AJ244" s="56"/>
      <c r="AK244" s="56"/>
      <c r="AL244" s="56"/>
      <c r="AM244">
        <v>1</v>
      </c>
      <c r="AP244" t="s">
        <v>1450</v>
      </c>
      <c r="AS244" t="s">
        <v>1152</v>
      </c>
      <c r="AT244">
        <v>1</v>
      </c>
      <c r="AV244">
        <v>2</v>
      </c>
      <c r="AW244">
        <v>2</v>
      </c>
      <c r="AX244">
        <v>1</v>
      </c>
      <c r="AY244" t="s">
        <v>1145</v>
      </c>
      <c r="AZ244" t="s">
        <v>1145</v>
      </c>
      <c r="BA244">
        <v>1</v>
      </c>
      <c r="BD244">
        <v>1000000000</v>
      </c>
      <c r="BE244">
        <v>2</v>
      </c>
      <c r="BF244">
        <v>0</v>
      </c>
      <c r="BG244">
        <v>0</v>
      </c>
      <c r="BH244">
        <v>0</v>
      </c>
      <c r="BI244">
        <v>0</v>
      </c>
      <c r="BJ244">
        <v>0</v>
      </c>
      <c r="BK244">
        <v>0</v>
      </c>
      <c r="BL244">
        <v>0</v>
      </c>
      <c r="BM244">
        <v>2</v>
      </c>
      <c r="BN244">
        <v>0</v>
      </c>
      <c r="BO244">
        <v>0</v>
      </c>
      <c r="BP244">
        <v>0</v>
      </c>
      <c r="BR244">
        <v>0</v>
      </c>
      <c r="BS244">
        <v>1</v>
      </c>
      <c r="BX244">
        <v>0</v>
      </c>
      <c r="BY244">
        <v>0</v>
      </c>
      <c r="BZ244">
        <v>0</v>
      </c>
      <c r="CA244">
        <v>-11.96</v>
      </c>
      <c r="CC244">
        <v>1</v>
      </c>
      <c r="CD244" s="56">
        <v>42592</v>
      </c>
      <c r="CE244" s="56">
        <v>42612</v>
      </c>
      <c r="CF244" s="56">
        <v>42612</v>
      </c>
      <c r="CG244" s="56">
        <v>42640</v>
      </c>
      <c r="CH244" s="56"/>
      <c r="CI244" s="56"/>
      <c r="CJ244">
        <v>0</v>
      </c>
      <c r="CK244">
        <v>0</v>
      </c>
      <c r="CL244">
        <v>0</v>
      </c>
      <c r="CM244">
        <v>0</v>
      </c>
      <c r="CN244">
        <v>0.71</v>
      </c>
      <c r="CO244">
        <v>0</v>
      </c>
      <c r="CP244">
        <v>0</v>
      </c>
      <c r="CQ244" t="s">
        <v>1378</v>
      </c>
      <c r="CR244" t="s">
        <v>1377</v>
      </c>
      <c r="CS244" t="s">
        <v>1451</v>
      </c>
      <c r="CT244" t="s">
        <v>1724</v>
      </c>
      <c r="CU244" t="s">
        <v>1742</v>
      </c>
      <c r="CV244" t="s">
        <v>2285</v>
      </c>
      <c r="DB244" t="s">
        <v>2286</v>
      </c>
      <c r="DE244" t="s">
        <v>1724</v>
      </c>
    </row>
    <row r="245" spans="1:109" x14ac:dyDescent="0.25">
      <c r="A245" t="s">
        <v>1378</v>
      </c>
      <c r="B245">
        <v>1</v>
      </c>
      <c r="C245" s="56">
        <v>42640</v>
      </c>
      <c r="D245" t="s">
        <v>1449</v>
      </c>
      <c r="E245" t="s">
        <v>1469</v>
      </c>
      <c r="G245" t="s">
        <v>1144</v>
      </c>
      <c r="H245" t="s">
        <v>1144</v>
      </c>
      <c r="I245" t="s">
        <v>1144</v>
      </c>
      <c r="J245" t="s">
        <v>1144</v>
      </c>
      <c r="K245" t="s">
        <v>1144</v>
      </c>
      <c r="L245">
        <v>544.6</v>
      </c>
      <c r="M245">
        <v>1056.52</v>
      </c>
      <c r="N245">
        <v>0</v>
      </c>
      <c r="O245" s="56"/>
      <c r="P245" s="56"/>
      <c r="Q245">
        <v>13718</v>
      </c>
      <c r="R245">
        <v>9</v>
      </c>
      <c r="S245">
        <v>4</v>
      </c>
      <c r="T245">
        <v>2</v>
      </c>
      <c r="U245">
        <v>2</v>
      </c>
      <c r="V245">
        <v>1</v>
      </c>
      <c r="X245" t="s">
        <v>2386</v>
      </c>
      <c r="AA245">
        <v>0.74</v>
      </c>
      <c r="AB245">
        <v>5</v>
      </c>
      <c r="AC245">
        <v>2.0299999999999998</v>
      </c>
      <c r="AD245">
        <v>2.36</v>
      </c>
      <c r="AE245">
        <v>0</v>
      </c>
      <c r="AF245">
        <v>0</v>
      </c>
      <c r="AG245">
        <v>0</v>
      </c>
      <c r="AJ245" s="56"/>
      <c r="AK245" s="56"/>
      <c r="AL245" s="56">
        <v>42322</v>
      </c>
      <c r="AM245">
        <v>6</v>
      </c>
      <c r="AP245" t="s">
        <v>1450</v>
      </c>
      <c r="AS245" t="s">
        <v>1152</v>
      </c>
      <c r="AT245">
        <v>1</v>
      </c>
      <c r="AV245">
        <v>6</v>
      </c>
      <c r="AW245">
        <v>4</v>
      </c>
      <c r="AX245">
        <v>2</v>
      </c>
      <c r="AY245" t="s">
        <v>1147</v>
      </c>
      <c r="AZ245" t="s">
        <v>1147</v>
      </c>
      <c r="BA245">
        <v>6</v>
      </c>
      <c r="BD245">
        <v>1000000000</v>
      </c>
      <c r="BE245">
        <v>7</v>
      </c>
      <c r="BF245">
        <v>-0.17</v>
      </c>
      <c r="BG245">
        <v>0</v>
      </c>
      <c r="BH245">
        <v>0</v>
      </c>
      <c r="BI245">
        <v>0</v>
      </c>
      <c r="BJ245">
        <v>0</v>
      </c>
      <c r="BK245">
        <v>0</v>
      </c>
      <c r="BL245">
        <v>0</v>
      </c>
      <c r="BM245">
        <v>7</v>
      </c>
      <c r="BN245">
        <v>-0.17</v>
      </c>
      <c r="BO245">
        <v>0</v>
      </c>
      <c r="BP245">
        <v>0</v>
      </c>
      <c r="BR245">
        <v>0</v>
      </c>
      <c r="BS245">
        <v>3</v>
      </c>
      <c r="BX245">
        <v>0</v>
      </c>
      <c r="BY245">
        <v>544.6</v>
      </c>
      <c r="BZ245">
        <v>0</v>
      </c>
      <c r="CA245">
        <v>11.28</v>
      </c>
      <c r="CC245">
        <v>1</v>
      </c>
      <c r="CD245" s="56">
        <v>42593</v>
      </c>
      <c r="CE245" s="56">
        <v>42612</v>
      </c>
      <c r="CF245" s="56">
        <v>42612</v>
      </c>
      <c r="CG245" s="56">
        <v>42640</v>
      </c>
      <c r="CH245" s="56"/>
      <c r="CI245" s="56"/>
      <c r="CJ245">
        <v>0.17</v>
      </c>
      <c r="CK245">
        <v>0</v>
      </c>
      <c r="CL245">
        <v>0</v>
      </c>
      <c r="CM245">
        <v>0</v>
      </c>
      <c r="CN245">
        <v>0.11</v>
      </c>
      <c r="CO245">
        <v>0.32</v>
      </c>
      <c r="CP245">
        <v>0.28999999999999998</v>
      </c>
      <c r="CQ245" t="s">
        <v>1378</v>
      </c>
      <c r="CR245" t="s">
        <v>1377</v>
      </c>
      <c r="CS245" t="s">
        <v>1451</v>
      </c>
      <c r="CT245" t="s">
        <v>1724</v>
      </c>
      <c r="CU245" t="s">
        <v>1742</v>
      </c>
      <c r="CV245" t="s">
        <v>1992</v>
      </c>
      <c r="DB245" t="s">
        <v>1978</v>
      </c>
      <c r="DE245" t="s">
        <v>1724</v>
      </c>
    </row>
    <row r="246" spans="1:109" x14ac:dyDescent="0.25">
      <c r="A246" t="s">
        <v>1378</v>
      </c>
      <c r="B246">
        <v>1</v>
      </c>
      <c r="C246" s="56">
        <v>42640</v>
      </c>
      <c r="D246" t="s">
        <v>1449</v>
      </c>
      <c r="E246" t="s">
        <v>2341</v>
      </c>
      <c r="G246" t="s">
        <v>1144</v>
      </c>
      <c r="H246" t="s">
        <v>1144</v>
      </c>
      <c r="I246" t="s">
        <v>1144</v>
      </c>
      <c r="J246" t="s">
        <v>1144</v>
      </c>
      <c r="K246" t="s">
        <v>1144</v>
      </c>
      <c r="L246">
        <v>1147.3699999999999</v>
      </c>
      <c r="M246">
        <v>2</v>
      </c>
      <c r="N246">
        <v>0</v>
      </c>
      <c r="O246" s="56"/>
      <c r="P246" s="56"/>
      <c r="Q246">
        <v>13718</v>
      </c>
      <c r="R246">
        <v>9</v>
      </c>
      <c r="S246">
        <v>4</v>
      </c>
      <c r="T246">
        <v>2</v>
      </c>
      <c r="U246">
        <v>2</v>
      </c>
      <c r="V246">
        <v>1</v>
      </c>
      <c r="W246" t="s">
        <v>1376</v>
      </c>
      <c r="X246" t="s">
        <v>2385</v>
      </c>
      <c r="AA246">
        <v>0</v>
      </c>
      <c r="AB246">
        <v>0</v>
      </c>
      <c r="AC246">
        <v>0</v>
      </c>
      <c r="AD246">
        <v>0</v>
      </c>
      <c r="AE246">
        <v>0</v>
      </c>
      <c r="AF246">
        <v>0</v>
      </c>
      <c r="AG246">
        <v>0</v>
      </c>
      <c r="AJ246" s="56"/>
      <c r="AK246" s="56"/>
      <c r="AL246" s="56">
        <v>42322</v>
      </c>
      <c r="AM246">
        <v>1</v>
      </c>
      <c r="AP246" t="s">
        <v>1450</v>
      </c>
      <c r="AS246" t="s">
        <v>1152</v>
      </c>
      <c r="AT246">
        <v>1</v>
      </c>
      <c r="AV246">
        <v>3</v>
      </c>
      <c r="AW246">
        <v>2</v>
      </c>
      <c r="AX246">
        <v>1</v>
      </c>
      <c r="AY246" t="s">
        <v>1148</v>
      </c>
      <c r="AZ246" t="s">
        <v>1148</v>
      </c>
      <c r="BA246">
        <v>4</v>
      </c>
      <c r="BD246">
        <v>1000000000</v>
      </c>
      <c r="BE246">
        <v>3</v>
      </c>
      <c r="BF246">
        <v>0</v>
      </c>
      <c r="BG246">
        <v>0</v>
      </c>
      <c r="BH246">
        <v>0</v>
      </c>
      <c r="BI246">
        <v>0</v>
      </c>
      <c r="BJ246">
        <v>0</v>
      </c>
      <c r="BK246">
        <v>0</v>
      </c>
      <c r="BL246">
        <v>0</v>
      </c>
      <c r="BM246">
        <v>3</v>
      </c>
      <c r="BN246">
        <v>0</v>
      </c>
      <c r="BO246">
        <v>0</v>
      </c>
      <c r="BP246">
        <v>0</v>
      </c>
      <c r="BR246">
        <v>0</v>
      </c>
      <c r="BS246">
        <v>2</v>
      </c>
      <c r="BX246">
        <v>0</v>
      </c>
      <c r="BY246">
        <v>0</v>
      </c>
      <c r="BZ246">
        <v>0</v>
      </c>
      <c r="CA246">
        <v>-11.98</v>
      </c>
      <c r="CC246">
        <v>1</v>
      </c>
      <c r="CD246" s="56">
        <v>42619</v>
      </c>
      <c r="CE246" s="56">
        <v>42619</v>
      </c>
      <c r="CF246" s="56">
        <v>42619</v>
      </c>
      <c r="CG246" s="56">
        <v>42647</v>
      </c>
      <c r="CH246" s="56"/>
      <c r="CI246" s="56"/>
      <c r="CJ246">
        <v>0</v>
      </c>
      <c r="CK246">
        <v>0</v>
      </c>
      <c r="CL246">
        <v>0</v>
      </c>
      <c r="CM246">
        <v>0</v>
      </c>
      <c r="CN246">
        <v>0</v>
      </c>
      <c r="CO246">
        <v>0.65</v>
      </c>
      <c r="CP246">
        <v>0</v>
      </c>
      <c r="CQ246" t="s">
        <v>1378</v>
      </c>
      <c r="CR246" t="s">
        <v>1377</v>
      </c>
      <c r="CS246" t="s">
        <v>1451</v>
      </c>
      <c r="CT246" t="s">
        <v>1724</v>
      </c>
      <c r="CU246" t="s">
        <v>1742</v>
      </c>
      <c r="CV246" t="s">
        <v>2342</v>
      </c>
      <c r="DB246" t="s">
        <v>2145</v>
      </c>
      <c r="DE246" t="s">
        <v>1724</v>
      </c>
    </row>
    <row r="247" spans="1:109" x14ac:dyDescent="0.25">
      <c r="A247" t="s">
        <v>1378</v>
      </c>
      <c r="B247">
        <v>1</v>
      </c>
      <c r="C247" s="56">
        <v>42640</v>
      </c>
      <c r="D247" t="s">
        <v>1449</v>
      </c>
      <c r="E247" t="s">
        <v>2041</v>
      </c>
      <c r="G247" t="s">
        <v>1144</v>
      </c>
      <c r="H247" t="s">
        <v>1144</v>
      </c>
      <c r="I247" t="s">
        <v>1144</v>
      </c>
      <c r="J247" t="s">
        <v>1144</v>
      </c>
      <c r="K247" t="s">
        <v>1144</v>
      </c>
      <c r="L247">
        <v>219.34</v>
      </c>
      <c r="M247">
        <v>2</v>
      </c>
      <c r="N247">
        <v>0</v>
      </c>
      <c r="O247" s="56"/>
      <c r="P247" s="56"/>
      <c r="Q247">
        <v>13718</v>
      </c>
      <c r="R247">
        <v>9</v>
      </c>
      <c r="S247">
        <v>4</v>
      </c>
      <c r="T247">
        <v>2</v>
      </c>
      <c r="U247">
        <v>2</v>
      </c>
      <c r="V247">
        <v>1</v>
      </c>
      <c r="W247" t="s">
        <v>2379</v>
      </c>
      <c r="X247" t="s">
        <v>2387</v>
      </c>
      <c r="AA247">
        <v>0</v>
      </c>
      <c r="AB247">
        <v>0</v>
      </c>
      <c r="AC247">
        <v>0</v>
      </c>
      <c r="AD247">
        <v>0</v>
      </c>
      <c r="AE247">
        <v>0</v>
      </c>
      <c r="AF247">
        <v>0</v>
      </c>
      <c r="AG247">
        <v>0</v>
      </c>
      <c r="AJ247" s="56"/>
      <c r="AK247" s="56"/>
      <c r="AL247" s="56">
        <v>42322</v>
      </c>
      <c r="AM247">
        <v>1</v>
      </c>
      <c r="AP247" t="s">
        <v>1450</v>
      </c>
      <c r="AS247" t="s">
        <v>1152</v>
      </c>
      <c r="AT247">
        <v>1</v>
      </c>
      <c r="AV247">
        <v>2</v>
      </c>
      <c r="AW247">
        <v>2</v>
      </c>
      <c r="AX247">
        <v>1</v>
      </c>
      <c r="AY247" t="s">
        <v>1145</v>
      </c>
      <c r="AZ247" t="s">
        <v>1145</v>
      </c>
      <c r="BA247">
        <v>1</v>
      </c>
      <c r="BD247">
        <v>1000000000</v>
      </c>
      <c r="BE247">
        <v>2</v>
      </c>
      <c r="BF247">
        <v>0</v>
      </c>
      <c r="BG247">
        <v>0</v>
      </c>
      <c r="BH247">
        <v>0</v>
      </c>
      <c r="BI247">
        <v>0</v>
      </c>
      <c r="BJ247">
        <v>0</v>
      </c>
      <c r="BK247">
        <v>0</v>
      </c>
      <c r="BL247">
        <v>0</v>
      </c>
      <c r="BM247">
        <v>2</v>
      </c>
      <c r="BN247">
        <v>0</v>
      </c>
      <c r="BO247">
        <v>0</v>
      </c>
      <c r="BP247">
        <v>0</v>
      </c>
      <c r="BR247">
        <v>0</v>
      </c>
      <c r="BS247">
        <v>1</v>
      </c>
      <c r="BX247">
        <v>0</v>
      </c>
      <c r="BY247">
        <v>0</v>
      </c>
      <c r="BZ247">
        <v>0</v>
      </c>
      <c r="CA247">
        <v>-11.89</v>
      </c>
      <c r="CC247">
        <v>1</v>
      </c>
      <c r="CD247" s="56">
        <v>42592</v>
      </c>
      <c r="CE247" s="56">
        <v>42612</v>
      </c>
      <c r="CF247" s="56">
        <v>42612</v>
      </c>
      <c r="CG247" s="56">
        <v>42640</v>
      </c>
      <c r="CH247" s="56"/>
      <c r="CI247" s="56"/>
      <c r="CJ247">
        <v>0</v>
      </c>
      <c r="CK247">
        <v>0</v>
      </c>
      <c r="CL247">
        <v>0</v>
      </c>
      <c r="CM247">
        <v>0</v>
      </c>
      <c r="CN247">
        <v>0.71</v>
      </c>
      <c r="CO247">
        <v>0</v>
      </c>
      <c r="CP247">
        <v>0</v>
      </c>
      <c r="CQ247" t="s">
        <v>1378</v>
      </c>
      <c r="CR247" t="s">
        <v>1377</v>
      </c>
      <c r="CS247" t="s">
        <v>1451</v>
      </c>
      <c r="CT247" t="s">
        <v>1724</v>
      </c>
      <c r="CU247" t="s">
        <v>1742</v>
      </c>
      <c r="CV247" t="s">
        <v>2042</v>
      </c>
      <c r="DB247" t="s">
        <v>2014</v>
      </c>
      <c r="DE247" t="s">
        <v>1724</v>
      </c>
    </row>
    <row r="248" spans="1:109" x14ac:dyDescent="0.25">
      <c r="A248" t="s">
        <v>1378</v>
      </c>
      <c r="B248">
        <v>1</v>
      </c>
      <c r="C248" s="56">
        <v>42640</v>
      </c>
      <c r="D248" t="s">
        <v>1449</v>
      </c>
      <c r="E248" t="s">
        <v>1480</v>
      </c>
      <c r="G248" t="s">
        <v>1144</v>
      </c>
      <c r="H248" t="s">
        <v>1144</v>
      </c>
      <c r="I248" t="s">
        <v>1144</v>
      </c>
      <c r="J248" t="s">
        <v>1144</v>
      </c>
      <c r="K248" t="s">
        <v>1144</v>
      </c>
      <c r="L248">
        <v>135</v>
      </c>
      <c r="M248">
        <v>293.95</v>
      </c>
      <c r="N248">
        <v>0</v>
      </c>
      <c r="O248" s="56"/>
      <c r="P248" s="56"/>
      <c r="Q248">
        <v>13718</v>
      </c>
      <c r="R248">
        <v>9</v>
      </c>
      <c r="S248">
        <v>4</v>
      </c>
      <c r="T248">
        <v>2</v>
      </c>
      <c r="U248">
        <v>2</v>
      </c>
      <c r="V248">
        <v>1</v>
      </c>
      <c r="X248" t="s">
        <v>2385</v>
      </c>
      <c r="AA248">
        <v>0.31</v>
      </c>
      <c r="AB248">
        <v>2</v>
      </c>
      <c r="AC248">
        <v>2.42</v>
      </c>
      <c r="AD248">
        <v>3.23</v>
      </c>
      <c r="AE248">
        <v>0</v>
      </c>
      <c r="AF248">
        <v>0</v>
      </c>
      <c r="AG248">
        <v>0</v>
      </c>
      <c r="AJ248" s="56"/>
      <c r="AK248" s="56"/>
      <c r="AL248" s="56"/>
      <c r="AM248">
        <v>4</v>
      </c>
      <c r="AP248" t="s">
        <v>1450</v>
      </c>
      <c r="AS248" t="s">
        <v>1152</v>
      </c>
      <c r="AT248">
        <v>1</v>
      </c>
      <c r="AV248">
        <v>3</v>
      </c>
      <c r="AW248">
        <v>2</v>
      </c>
      <c r="AX248">
        <v>1</v>
      </c>
      <c r="AY248" t="s">
        <v>1147</v>
      </c>
      <c r="AZ248" t="s">
        <v>1147</v>
      </c>
      <c r="BA248">
        <v>4</v>
      </c>
      <c r="BD248">
        <v>1000000000</v>
      </c>
      <c r="BE248">
        <v>4</v>
      </c>
      <c r="BF248">
        <v>-0.33</v>
      </c>
      <c r="BG248">
        <v>0</v>
      </c>
      <c r="BH248">
        <v>0</v>
      </c>
      <c r="BI248">
        <v>0</v>
      </c>
      <c r="BJ248">
        <v>0</v>
      </c>
      <c r="BK248">
        <v>0</v>
      </c>
      <c r="BL248">
        <v>0</v>
      </c>
      <c r="BM248">
        <v>4</v>
      </c>
      <c r="BN248">
        <v>-0.33</v>
      </c>
      <c r="BO248">
        <v>0</v>
      </c>
      <c r="BP248">
        <v>0</v>
      </c>
      <c r="BR248">
        <v>0</v>
      </c>
      <c r="BS248">
        <v>2</v>
      </c>
      <c r="BX248">
        <v>0</v>
      </c>
      <c r="BY248">
        <v>135</v>
      </c>
      <c r="BZ248">
        <v>0</v>
      </c>
      <c r="CA248">
        <v>14.13</v>
      </c>
      <c r="CC248">
        <v>1</v>
      </c>
      <c r="CD248" s="56">
        <v>42619</v>
      </c>
      <c r="CE248" s="56">
        <v>42619</v>
      </c>
      <c r="CF248" s="56">
        <v>42619</v>
      </c>
      <c r="CG248" s="56">
        <v>42647</v>
      </c>
      <c r="CH248" s="56"/>
      <c r="CI248" s="56"/>
      <c r="CJ248">
        <v>0</v>
      </c>
      <c r="CK248">
        <v>0</v>
      </c>
      <c r="CL248">
        <v>0</v>
      </c>
      <c r="CM248">
        <v>0</v>
      </c>
      <c r="CN248">
        <v>0</v>
      </c>
      <c r="CO248">
        <v>0</v>
      </c>
      <c r="CP248">
        <v>0.65</v>
      </c>
      <c r="CQ248" t="s">
        <v>1378</v>
      </c>
      <c r="CR248" t="s">
        <v>1377</v>
      </c>
      <c r="CS248" t="s">
        <v>1451</v>
      </c>
      <c r="CT248" t="s">
        <v>1724</v>
      </c>
      <c r="CU248" t="s">
        <v>1742</v>
      </c>
      <c r="CV248" t="s">
        <v>2093</v>
      </c>
      <c r="DB248" t="s">
        <v>2059</v>
      </c>
      <c r="DE248" t="s">
        <v>1724</v>
      </c>
    </row>
    <row r="249" spans="1:109" x14ac:dyDescent="0.25">
      <c r="A249" t="s">
        <v>1378</v>
      </c>
      <c r="B249">
        <v>1</v>
      </c>
      <c r="C249" s="56">
        <v>42640</v>
      </c>
      <c r="D249" t="s">
        <v>1449</v>
      </c>
      <c r="E249" t="s">
        <v>1458</v>
      </c>
      <c r="G249" t="s">
        <v>1144</v>
      </c>
      <c r="H249" t="s">
        <v>1144</v>
      </c>
      <c r="I249" t="s">
        <v>1144</v>
      </c>
      <c r="J249" t="s">
        <v>1144</v>
      </c>
      <c r="K249" t="s">
        <v>1144</v>
      </c>
      <c r="L249">
        <v>738.79</v>
      </c>
      <c r="M249">
        <v>1637.27</v>
      </c>
      <c r="N249">
        <v>0</v>
      </c>
      <c r="O249" s="56"/>
      <c r="P249" s="56"/>
      <c r="Q249">
        <v>13718</v>
      </c>
      <c r="R249">
        <v>9</v>
      </c>
      <c r="S249">
        <v>4</v>
      </c>
      <c r="T249">
        <v>2</v>
      </c>
      <c r="U249">
        <v>2</v>
      </c>
      <c r="V249">
        <v>1</v>
      </c>
      <c r="W249" t="s">
        <v>1376</v>
      </c>
      <c r="X249" t="s">
        <v>2385</v>
      </c>
      <c r="AA249">
        <v>0.12</v>
      </c>
      <c r="AB249">
        <v>1</v>
      </c>
      <c r="AC249">
        <v>6.25</v>
      </c>
      <c r="AD249">
        <v>2.08</v>
      </c>
      <c r="AE249">
        <v>0</v>
      </c>
      <c r="AF249">
        <v>0</v>
      </c>
      <c r="AG249">
        <v>0</v>
      </c>
      <c r="AJ249" s="56"/>
      <c r="AK249" s="56"/>
      <c r="AL249" s="56"/>
      <c r="AP249" t="s">
        <v>1450</v>
      </c>
      <c r="AS249" t="s">
        <v>1152</v>
      </c>
      <c r="AT249">
        <v>1</v>
      </c>
      <c r="AV249">
        <v>3</v>
      </c>
      <c r="AW249">
        <v>2</v>
      </c>
      <c r="AX249">
        <v>1</v>
      </c>
      <c r="AY249" t="s">
        <v>1146</v>
      </c>
      <c r="AZ249" t="s">
        <v>1146</v>
      </c>
      <c r="BA249">
        <v>2</v>
      </c>
      <c r="BD249">
        <v>1000000000</v>
      </c>
      <c r="BE249">
        <v>1</v>
      </c>
      <c r="BF249">
        <v>0.67</v>
      </c>
      <c r="BG249">
        <v>0</v>
      </c>
      <c r="BH249">
        <v>0</v>
      </c>
      <c r="BI249">
        <v>0</v>
      </c>
      <c r="BJ249">
        <v>0</v>
      </c>
      <c r="BK249">
        <v>0</v>
      </c>
      <c r="BL249">
        <v>0</v>
      </c>
      <c r="BM249">
        <v>1</v>
      </c>
      <c r="BN249">
        <v>0.67</v>
      </c>
      <c r="BO249">
        <v>0</v>
      </c>
      <c r="BP249">
        <v>0</v>
      </c>
      <c r="BR249">
        <v>2</v>
      </c>
      <c r="BS249">
        <v>2</v>
      </c>
      <c r="BX249">
        <v>0</v>
      </c>
      <c r="BY249">
        <v>0</v>
      </c>
      <c r="BZ249">
        <v>0</v>
      </c>
      <c r="CA249">
        <v>14.59</v>
      </c>
      <c r="CC249">
        <v>1</v>
      </c>
      <c r="CD249" s="56">
        <v>42619</v>
      </c>
      <c r="CE249" s="56">
        <v>42619</v>
      </c>
      <c r="CF249" s="56">
        <v>42619</v>
      </c>
      <c r="CG249" s="56">
        <v>42647</v>
      </c>
      <c r="CH249" s="56"/>
      <c r="CI249" s="56"/>
      <c r="CJ249">
        <v>0</v>
      </c>
      <c r="CK249">
        <v>0</v>
      </c>
      <c r="CL249">
        <v>0</v>
      </c>
      <c r="CM249">
        <v>0.65</v>
      </c>
      <c r="CN249">
        <v>0</v>
      </c>
      <c r="CO249">
        <v>0</v>
      </c>
      <c r="CP249">
        <v>0</v>
      </c>
      <c r="CQ249" t="s">
        <v>1378</v>
      </c>
      <c r="CR249" t="s">
        <v>1377</v>
      </c>
      <c r="CS249" t="s">
        <v>1451</v>
      </c>
      <c r="CT249" t="s">
        <v>1724</v>
      </c>
      <c r="CU249" t="s">
        <v>1742</v>
      </c>
      <c r="CV249" t="s">
        <v>1784</v>
      </c>
      <c r="DB249" t="s">
        <v>1783</v>
      </c>
      <c r="DE249" t="s">
        <v>1724</v>
      </c>
    </row>
    <row r="250" spans="1:109" x14ac:dyDescent="0.25">
      <c r="A250" t="s">
        <v>1378</v>
      </c>
      <c r="B250">
        <v>1</v>
      </c>
      <c r="C250" s="56">
        <v>42640</v>
      </c>
      <c r="D250" t="s">
        <v>1449</v>
      </c>
      <c r="E250" t="s">
        <v>2148</v>
      </c>
      <c r="G250" t="s">
        <v>1144</v>
      </c>
      <c r="H250" t="s">
        <v>1144</v>
      </c>
      <c r="I250" t="s">
        <v>1144</v>
      </c>
      <c r="J250" t="s">
        <v>1144</v>
      </c>
      <c r="K250" t="s">
        <v>1144</v>
      </c>
      <c r="L250">
        <v>2111.4299999999998</v>
      </c>
      <c r="M250">
        <v>2</v>
      </c>
      <c r="N250">
        <v>0</v>
      </c>
      <c r="O250" s="56"/>
      <c r="P250" s="56"/>
      <c r="Q250">
        <v>13718</v>
      </c>
      <c r="R250">
        <v>9</v>
      </c>
      <c r="S250">
        <v>4</v>
      </c>
      <c r="T250">
        <v>2</v>
      </c>
      <c r="U250">
        <v>2</v>
      </c>
      <c r="V250">
        <v>1</v>
      </c>
      <c r="X250" t="s">
        <v>2385</v>
      </c>
      <c r="AA250">
        <v>0.04</v>
      </c>
      <c r="AB250">
        <v>1</v>
      </c>
      <c r="AC250">
        <v>0</v>
      </c>
      <c r="AD250">
        <v>0</v>
      </c>
      <c r="AE250">
        <v>0</v>
      </c>
      <c r="AF250">
        <v>0</v>
      </c>
      <c r="AG250">
        <v>0</v>
      </c>
      <c r="AJ250" s="56"/>
      <c r="AK250" s="56"/>
      <c r="AL250" s="56"/>
      <c r="AP250" t="s">
        <v>1450</v>
      </c>
      <c r="AS250" t="s">
        <v>1152</v>
      </c>
      <c r="AT250">
        <v>1</v>
      </c>
      <c r="AV250">
        <v>0</v>
      </c>
      <c r="AW250">
        <v>0</v>
      </c>
      <c r="AX250">
        <v>0</v>
      </c>
      <c r="AY250" t="s">
        <v>1375</v>
      </c>
      <c r="AZ250" t="s">
        <v>1375</v>
      </c>
      <c r="BA250">
        <v>2</v>
      </c>
      <c r="BD250">
        <v>1000000000</v>
      </c>
      <c r="BE250">
        <v>0</v>
      </c>
      <c r="BF250">
        <v>0</v>
      </c>
      <c r="BG250">
        <v>0</v>
      </c>
      <c r="BH250">
        <v>0</v>
      </c>
      <c r="BI250">
        <v>0</v>
      </c>
      <c r="BJ250">
        <v>0</v>
      </c>
      <c r="BK250">
        <v>0</v>
      </c>
      <c r="BL250">
        <v>0</v>
      </c>
      <c r="BM250">
        <v>0</v>
      </c>
      <c r="BN250">
        <v>0</v>
      </c>
      <c r="BO250">
        <v>0</v>
      </c>
      <c r="BP250">
        <v>0</v>
      </c>
      <c r="BR250">
        <v>0</v>
      </c>
      <c r="BS250">
        <v>0</v>
      </c>
      <c r="BX250">
        <v>0</v>
      </c>
      <c r="BY250">
        <v>0</v>
      </c>
      <c r="BZ250">
        <v>0</v>
      </c>
      <c r="CA250">
        <v>0</v>
      </c>
      <c r="CC250">
        <v>1</v>
      </c>
      <c r="CD250" s="56">
        <v>42619</v>
      </c>
      <c r="CE250" s="56">
        <v>42619</v>
      </c>
      <c r="CF250" s="56">
        <v>42619</v>
      </c>
      <c r="CG250" s="56">
        <v>42647</v>
      </c>
      <c r="CH250" s="56"/>
      <c r="CI250" s="56"/>
      <c r="CJ250">
        <v>1</v>
      </c>
      <c r="CK250">
        <v>0</v>
      </c>
      <c r="CL250">
        <v>0.65</v>
      </c>
      <c r="CM250">
        <v>0</v>
      </c>
      <c r="CN250">
        <v>0</v>
      </c>
      <c r="CO250">
        <v>0</v>
      </c>
      <c r="CP250">
        <v>0</v>
      </c>
      <c r="CQ250" t="s">
        <v>1378</v>
      </c>
      <c r="CR250" t="s">
        <v>1377</v>
      </c>
      <c r="CS250" t="s">
        <v>1451</v>
      </c>
      <c r="CT250" t="s">
        <v>1724</v>
      </c>
      <c r="CU250" t="s">
        <v>1742</v>
      </c>
      <c r="CV250" t="s">
        <v>2147</v>
      </c>
      <c r="DB250" t="s">
        <v>2145</v>
      </c>
      <c r="DE250" t="s">
        <v>1724</v>
      </c>
    </row>
    <row r="251" spans="1:109" x14ac:dyDescent="0.25">
      <c r="A251" t="s">
        <v>1378</v>
      </c>
      <c r="B251">
        <v>1</v>
      </c>
      <c r="C251" s="56">
        <v>42640</v>
      </c>
      <c r="D251" t="s">
        <v>1449</v>
      </c>
      <c r="E251" t="s">
        <v>1941</v>
      </c>
      <c r="G251" t="s">
        <v>1144</v>
      </c>
      <c r="H251" t="s">
        <v>1144</v>
      </c>
      <c r="I251" t="s">
        <v>1144</v>
      </c>
      <c r="J251" t="s">
        <v>1144</v>
      </c>
      <c r="K251" t="s">
        <v>1144</v>
      </c>
      <c r="L251">
        <v>107.86</v>
      </c>
      <c r="M251">
        <v>230.18</v>
      </c>
      <c r="N251">
        <v>0</v>
      </c>
      <c r="O251" s="56"/>
      <c r="P251" s="56"/>
      <c r="Q251">
        <v>13718</v>
      </c>
      <c r="R251">
        <v>9</v>
      </c>
      <c r="S251">
        <v>4</v>
      </c>
      <c r="T251">
        <v>2</v>
      </c>
      <c r="U251">
        <v>2</v>
      </c>
      <c r="V251">
        <v>1</v>
      </c>
      <c r="X251" t="s">
        <v>2385</v>
      </c>
      <c r="AA251">
        <v>0</v>
      </c>
      <c r="AB251">
        <v>0</v>
      </c>
      <c r="AC251">
        <v>0</v>
      </c>
      <c r="AD251">
        <v>0</v>
      </c>
      <c r="AE251">
        <v>0</v>
      </c>
      <c r="AF251">
        <v>0</v>
      </c>
      <c r="AG251">
        <v>0</v>
      </c>
      <c r="AJ251" s="56"/>
      <c r="AK251" s="56"/>
      <c r="AL251" s="56"/>
      <c r="AP251" t="s">
        <v>1450</v>
      </c>
      <c r="AS251" t="s">
        <v>1152</v>
      </c>
      <c r="AT251">
        <v>1</v>
      </c>
      <c r="AV251">
        <v>0</v>
      </c>
      <c r="AW251">
        <v>0</v>
      </c>
      <c r="AX251">
        <v>0</v>
      </c>
      <c r="AY251" t="s">
        <v>1375</v>
      </c>
      <c r="AZ251" t="s">
        <v>1375</v>
      </c>
      <c r="BA251">
        <v>2</v>
      </c>
      <c r="BD251">
        <v>1000000000</v>
      </c>
      <c r="BE251">
        <v>5</v>
      </c>
      <c r="BF251">
        <v>0</v>
      </c>
      <c r="BG251">
        <v>0</v>
      </c>
      <c r="BH251">
        <v>0</v>
      </c>
      <c r="BI251">
        <v>0</v>
      </c>
      <c r="BJ251">
        <v>0</v>
      </c>
      <c r="BK251">
        <v>0</v>
      </c>
      <c r="BL251">
        <v>0</v>
      </c>
      <c r="BM251">
        <v>5</v>
      </c>
      <c r="BN251">
        <v>0</v>
      </c>
      <c r="BO251">
        <v>0</v>
      </c>
      <c r="BP251">
        <v>0</v>
      </c>
      <c r="BR251">
        <v>0</v>
      </c>
      <c r="BS251">
        <v>0</v>
      </c>
      <c r="BX251">
        <v>0</v>
      </c>
      <c r="BY251">
        <v>0</v>
      </c>
      <c r="BZ251">
        <v>0</v>
      </c>
      <c r="CA251">
        <v>0</v>
      </c>
      <c r="CC251">
        <v>1</v>
      </c>
      <c r="CD251" s="56">
        <v>42619</v>
      </c>
      <c r="CE251" s="56">
        <v>42619</v>
      </c>
      <c r="CF251" s="56">
        <v>42619</v>
      </c>
      <c r="CG251" s="56">
        <v>42647</v>
      </c>
      <c r="CH251" s="56"/>
      <c r="CI251" s="56"/>
      <c r="CJ251">
        <v>0</v>
      </c>
      <c r="CK251">
        <v>0</v>
      </c>
      <c r="CL251">
        <v>0</v>
      </c>
      <c r="CM251">
        <v>0</v>
      </c>
      <c r="CN251">
        <v>0</v>
      </c>
      <c r="CO251">
        <v>0</v>
      </c>
      <c r="CP251">
        <v>0.65</v>
      </c>
      <c r="CQ251" t="s">
        <v>1378</v>
      </c>
      <c r="CR251" t="s">
        <v>1377</v>
      </c>
      <c r="CS251" t="s">
        <v>1451</v>
      </c>
      <c r="CT251" t="s">
        <v>1724</v>
      </c>
      <c r="CU251" t="s">
        <v>1742</v>
      </c>
      <c r="CV251" t="s">
        <v>1936</v>
      </c>
      <c r="DB251" t="s">
        <v>1869</v>
      </c>
      <c r="DE251" t="s">
        <v>1724</v>
      </c>
    </row>
    <row r="252" spans="1:109" x14ac:dyDescent="0.25">
      <c r="A252" t="s">
        <v>1378</v>
      </c>
      <c r="B252">
        <v>1</v>
      </c>
      <c r="C252" s="56">
        <v>42640</v>
      </c>
      <c r="D252" t="s">
        <v>1449</v>
      </c>
      <c r="E252" t="s">
        <v>1465</v>
      </c>
      <c r="G252" t="s">
        <v>1144</v>
      </c>
      <c r="H252" t="s">
        <v>1144</v>
      </c>
      <c r="I252" t="s">
        <v>1144</v>
      </c>
      <c r="J252" t="s">
        <v>1144</v>
      </c>
      <c r="K252" t="s">
        <v>1144</v>
      </c>
      <c r="L252">
        <v>103.5</v>
      </c>
      <c r="M252">
        <v>230.18</v>
      </c>
      <c r="N252">
        <v>0</v>
      </c>
      <c r="O252" s="56"/>
      <c r="P252" s="56"/>
      <c r="Q252">
        <v>13718</v>
      </c>
      <c r="R252">
        <v>9</v>
      </c>
      <c r="S252">
        <v>4</v>
      </c>
      <c r="T252">
        <v>2</v>
      </c>
      <c r="U252">
        <v>2</v>
      </c>
      <c r="V252">
        <v>1</v>
      </c>
      <c r="X252" t="s">
        <v>2386</v>
      </c>
      <c r="AA252">
        <v>0</v>
      </c>
      <c r="AB252">
        <v>0</v>
      </c>
      <c r="AC252">
        <v>0</v>
      </c>
      <c r="AD252">
        <v>0</v>
      </c>
      <c r="AE252">
        <v>0</v>
      </c>
      <c r="AF252">
        <v>0</v>
      </c>
      <c r="AG252">
        <v>0</v>
      </c>
      <c r="AJ252" s="56"/>
      <c r="AK252" s="56"/>
      <c r="AL252" s="56"/>
      <c r="AP252" t="s">
        <v>1450</v>
      </c>
      <c r="AS252" t="s">
        <v>1152</v>
      </c>
      <c r="AT252">
        <v>1</v>
      </c>
      <c r="AV252">
        <v>0</v>
      </c>
      <c r="AW252">
        <v>0</v>
      </c>
      <c r="AX252">
        <v>0</v>
      </c>
      <c r="AY252" t="s">
        <v>1375</v>
      </c>
      <c r="AZ252" t="s">
        <v>1375</v>
      </c>
      <c r="BA252">
        <v>0</v>
      </c>
      <c r="BD252">
        <v>1000000000</v>
      </c>
      <c r="BE252">
        <v>2</v>
      </c>
      <c r="BF252">
        <v>0</v>
      </c>
      <c r="BG252">
        <v>0</v>
      </c>
      <c r="BH252">
        <v>0</v>
      </c>
      <c r="BI252">
        <v>0</v>
      </c>
      <c r="BJ252">
        <v>0</v>
      </c>
      <c r="BK252">
        <v>0</v>
      </c>
      <c r="BL252">
        <v>0</v>
      </c>
      <c r="BM252">
        <v>2</v>
      </c>
      <c r="BN252">
        <v>0</v>
      </c>
      <c r="BO252">
        <v>0</v>
      </c>
      <c r="BP252">
        <v>0</v>
      </c>
      <c r="BR252">
        <v>0</v>
      </c>
      <c r="BS252">
        <v>0</v>
      </c>
      <c r="BX252">
        <v>0</v>
      </c>
      <c r="BY252">
        <v>0</v>
      </c>
      <c r="BZ252">
        <v>0</v>
      </c>
      <c r="CA252">
        <v>0</v>
      </c>
      <c r="CC252">
        <v>1</v>
      </c>
      <c r="CD252" s="56">
        <v>42593</v>
      </c>
      <c r="CE252" s="56">
        <v>42612</v>
      </c>
      <c r="CF252" s="56">
        <v>42612</v>
      </c>
      <c r="CG252" s="56">
        <v>42640</v>
      </c>
      <c r="CH252" s="56"/>
      <c r="CI252" s="56"/>
      <c r="CJ252">
        <v>0</v>
      </c>
      <c r="CK252">
        <v>0</v>
      </c>
      <c r="CL252">
        <v>0</v>
      </c>
      <c r="CM252">
        <v>0</v>
      </c>
      <c r="CN252">
        <v>0</v>
      </c>
      <c r="CO252">
        <v>0</v>
      </c>
      <c r="CP252">
        <v>0.71</v>
      </c>
      <c r="CQ252" t="s">
        <v>1378</v>
      </c>
      <c r="CR252" t="s">
        <v>1377</v>
      </c>
      <c r="CS252" t="s">
        <v>1451</v>
      </c>
      <c r="CT252" t="s">
        <v>1724</v>
      </c>
      <c r="CU252" t="s">
        <v>1742</v>
      </c>
      <c r="CV252" t="s">
        <v>1921</v>
      </c>
      <c r="DB252" t="s">
        <v>1869</v>
      </c>
      <c r="DE252" t="s">
        <v>1724</v>
      </c>
    </row>
    <row r="253" spans="1:109" x14ac:dyDescent="0.25">
      <c r="A253" t="s">
        <v>1378</v>
      </c>
      <c r="B253">
        <v>1</v>
      </c>
      <c r="C253" s="56">
        <v>42640</v>
      </c>
      <c r="D253" t="s">
        <v>1449</v>
      </c>
      <c r="E253" t="s">
        <v>1487</v>
      </c>
      <c r="G253" t="s">
        <v>1144</v>
      </c>
      <c r="H253" t="s">
        <v>1144</v>
      </c>
      <c r="I253" t="s">
        <v>1144</v>
      </c>
      <c r="J253" t="s">
        <v>1144</v>
      </c>
      <c r="K253" t="s">
        <v>1144</v>
      </c>
      <c r="L253">
        <v>561.58000000000004</v>
      </c>
      <c r="M253">
        <v>2</v>
      </c>
      <c r="N253">
        <v>0</v>
      </c>
      <c r="O253" s="56"/>
      <c r="P253" s="56"/>
      <c r="Q253">
        <v>13718</v>
      </c>
      <c r="R253">
        <v>9</v>
      </c>
      <c r="S253">
        <v>4</v>
      </c>
      <c r="T253">
        <v>2</v>
      </c>
      <c r="U253">
        <v>2</v>
      </c>
      <c r="V253">
        <v>1</v>
      </c>
      <c r="W253" t="s">
        <v>2379</v>
      </c>
      <c r="X253" t="s">
        <v>2387</v>
      </c>
      <c r="AA253">
        <v>0.04</v>
      </c>
      <c r="AB253">
        <v>1</v>
      </c>
      <c r="AC253">
        <v>12.5</v>
      </c>
      <c r="AD253">
        <v>12.5</v>
      </c>
      <c r="AE253">
        <v>0</v>
      </c>
      <c r="AF253">
        <v>0</v>
      </c>
      <c r="AG253">
        <v>0</v>
      </c>
      <c r="AJ253" s="56"/>
      <c r="AK253" s="56"/>
      <c r="AL253" s="56"/>
      <c r="AM253">
        <v>1</v>
      </c>
      <c r="AP253" t="s">
        <v>1450</v>
      </c>
      <c r="AS253" t="s">
        <v>1152</v>
      </c>
      <c r="AT253">
        <v>1</v>
      </c>
      <c r="AV253">
        <v>2</v>
      </c>
      <c r="AW253">
        <v>2</v>
      </c>
      <c r="AX253">
        <v>1</v>
      </c>
      <c r="AY253" t="s">
        <v>1145</v>
      </c>
      <c r="AZ253" t="s">
        <v>1145</v>
      </c>
      <c r="BA253">
        <v>1</v>
      </c>
      <c r="BD253">
        <v>1000000000</v>
      </c>
      <c r="BE253">
        <v>2</v>
      </c>
      <c r="BF253">
        <v>0</v>
      </c>
      <c r="BG253">
        <v>0</v>
      </c>
      <c r="BH253">
        <v>0</v>
      </c>
      <c r="BI253">
        <v>0</v>
      </c>
      <c r="BJ253">
        <v>0</v>
      </c>
      <c r="BK253">
        <v>0</v>
      </c>
      <c r="BL253">
        <v>0</v>
      </c>
      <c r="BM253">
        <v>2</v>
      </c>
      <c r="BN253">
        <v>0</v>
      </c>
      <c r="BO253">
        <v>0</v>
      </c>
      <c r="BP253">
        <v>0</v>
      </c>
      <c r="BR253">
        <v>0</v>
      </c>
      <c r="BS253">
        <v>1</v>
      </c>
      <c r="BX253">
        <v>0</v>
      </c>
      <c r="BY253">
        <v>0</v>
      </c>
      <c r="BZ253">
        <v>0</v>
      </c>
      <c r="CA253">
        <v>-11.96</v>
      </c>
      <c r="CC253">
        <v>1</v>
      </c>
      <c r="CD253" s="56">
        <v>42592</v>
      </c>
      <c r="CE253" s="56">
        <v>42612</v>
      </c>
      <c r="CF253" s="56">
        <v>42612</v>
      </c>
      <c r="CG253" s="56">
        <v>42640</v>
      </c>
      <c r="CH253" s="56"/>
      <c r="CI253" s="56"/>
      <c r="CJ253">
        <v>0</v>
      </c>
      <c r="CK253">
        <v>0</v>
      </c>
      <c r="CL253">
        <v>0</v>
      </c>
      <c r="CM253">
        <v>0</v>
      </c>
      <c r="CN253">
        <v>0.71</v>
      </c>
      <c r="CO253">
        <v>0</v>
      </c>
      <c r="CP253">
        <v>0</v>
      </c>
      <c r="CQ253" t="s">
        <v>1378</v>
      </c>
      <c r="CR253" t="s">
        <v>1377</v>
      </c>
      <c r="CS253" t="s">
        <v>1451</v>
      </c>
      <c r="CT253" t="s">
        <v>1724</v>
      </c>
      <c r="CU253" t="s">
        <v>1742</v>
      </c>
      <c r="CV253" t="s">
        <v>2269</v>
      </c>
      <c r="DB253" t="s">
        <v>2265</v>
      </c>
      <c r="DE253" t="s">
        <v>1724</v>
      </c>
    </row>
    <row r="254" spans="1:109" x14ac:dyDescent="0.25">
      <c r="A254" t="s">
        <v>1378</v>
      </c>
      <c r="B254">
        <v>1</v>
      </c>
      <c r="C254" s="56">
        <v>42640</v>
      </c>
      <c r="D254" t="s">
        <v>1449</v>
      </c>
      <c r="E254" t="s">
        <v>1468</v>
      </c>
      <c r="G254" t="s">
        <v>1144</v>
      </c>
      <c r="H254" t="s">
        <v>1144</v>
      </c>
      <c r="I254" t="s">
        <v>1144</v>
      </c>
      <c r="J254" t="s">
        <v>1144</v>
      </c>
      <c r="K254" t="s">
        <v>1144</v>
      </c>
      <c r="L254">
        <v>544.6</v>
      </c>
      <c r="M254">
        <v>1056.52</v>
      </c>
      <c r="N254">
        <v>0</v>
      </c>
      <c r="O254" s="56"/>
      <c r="P254" s="56"/>
      <c r="Q254">
        <v>13718</v>
      </c>
      <c r="R254">
        <v>9</v>
      </c>
      <c r="S254">
        <v>4</v>
      </c>
      <c r="T254">
        <v>2</v>
      </c>
      <c r="U254">
        <v>2</v>
      </c>
      <c r="V254">
        <v>1</v>
      </c>
      <c r="W254" t="s">
        <v>1376</v>
      </c>
      <c r="X254" t="s">
        <v>2385</v>
      </c>
      <c r="AA254">
        <v>0.63</v>
      </c>
      <c r="AB254">
        <v>4</v>
      </c>
      <c r="AC254">
        <v>2.38</v>
      </c>
      <c r="AD254">
        <v>2.38</v>
      </c>
      <c r="AE254">
        <v>0</v>
      </c>
      <c r="AF254">
        <v>0</v>
      </c>
      <c r="AG254">
        <v>0</v>
      </c>
      <c r="AJ254" s="56"/>
      <c r="AK254" s="56">
        <v>42369</v>
      </c>
      <c r="AL254" s="56"/>
      <c r="AM254">
        <v>5</v>
      </c>
      <c r="AP254" t="s">
        <v>1450</v>
      </c>
      <c r="AS254" t="s">
        <v>1152</v>
      </c>
      <c r="AT254">
        <v>1</v>
      </c>
      <c r="AV254">
        <v>6</v>
      </c>
      <c r="AW254">
        <v>4</v>
      </c>
      <c r="AX254">
        <v>2</v>
      </c>
      <c r="AY254" t="s">
        <v>1148</v>
      </c>
      <c r="AZ254" t="s">
        <v>1148</v>
      </c>
      <c r="BA254">
        <v>5</v>
      </c>
      <c r="BD254">
        <v>1000000000</v>
      </c>
      <c r="BE254">
        <v>6</v>
      </c>
      <c r="BF254">
        <v>0</v>
      </c>
      <c r="BG254">
        <v>0</v>
      </c>
      <c r="BH254">
        <v>0</v>
      </c>
      <c r="BI254">
        <v>0</v>
      </c>
      <c r="BJ254">
        <v>0</v>
      </c>
      <c r="BK254">
        <v>0</v>
      </c>
      <c r="BL254">
        <v>0</v>
      </c>
      <c r="BM254">
        <v>6</v>
      </c>
      <c r="BN254">
        <v>0</v>
      </c>
      <c r="BO254">
        <v>0</v>
      </c>
      <c r="BP254">
        <v>0</v>
      </c>
      <c r="BR254">
        <v>0</v>
      </c>
      <c r="BS254">
        <v>3</v>
      </c>
      <c r="BX254">
        <v>0</v>
      </c>
      <c r="BY254">
        <v>0</v>
      </c>
      <c r="BZ254">
        <v>0</v>
      </c>
      <c r="CA254">
        <v>11.28</v>
      </c>
      <c r="CC254">
        <v>1</v>
      </c>
      <c r="CD254" s="56">
        <v>42619</v>
      </c>
      <c r="CE254" s="56">
        <v>42619</v>
      </c>
      <c r="CF254" s="56">
        <v>42619</v>
      </c>
      <c r="CG254" s="56">
        <v>42647</v>
      </c>
      <c r="CH254" s="56"/>
      <c r="CI254" s="56"/>
      <c r="CJ254">
        <v>0.09</v>
      </c>
      <c r="CK254">
        <v>0</v>
      </c>
      <c r="CL254">
        <v>0</v>
      </c>
      <c r="CM254">
        <v>0</v>
      </c>
      <c r="CN254">
        <v>0</v>
      </c>
      <c r="CO254">
        <v>0.65</v>
      </c>
      <c r="CP254">
        <v>0</v>
      </c>
      <c r="CQ254" t="s">
        <v>1378</v>
      </c>
      <c r="CR254" t="s">
        <v>1377</v>
      </c>
      <c r="CS254" t="s">
        <v>1451</v>
      </c>
      <c r="CT254" t="s">
        <v>1724</v>
      </c>
      <c r="CU254" t="s">
        <v>1742</v>
      </c>
      <c r="CV254" t="s">
        <v>1981</v>
      </c>
      <c r="DB254" t="s">
        <v>1978</v>
      </c>
      <c r="DE254" t="s">
        <v>1724</v>
      </c>
    </row>
    <row r="255" spans="1:109" x14ac:dyDescent="0.25">
      <c r="A255" t="s">
        <v>1378</v>
      </c>
      <c r="B255">
        <v>1</v>
      </c>
      <c r="C255" s="56">
        <v>42640</v>
      </c>
      <c r="D255" t="s">
        <v>1449</v>
      </c>
      <c r="E255" t="s">
        <v>1445</v>
      </c>
      <c r="G255" t="s">
        <v>1144</v>
      </c>
      <c r="H255" t="s">
        <v>1144</v>
      </c>
      <c r="I255" t="s">
        <v>1144</v>
      </c>
      <c r="J255" t="s">
        <v>1144</v>
      </c>
      <c r="K255" t="s">
        <v>1144</v>
      </c>
      <c r="L255">
        <v>467.45</v>
      </c>
      <c r="M255">
        <v>2</v>
      </c>
      <c r="N255">
        <v>0</v>
      </c>
      <c r="O255" s="56"/>
      <c r="P255" s="56"/>
      <c r="Q255">
        <v>13718</v>
      </c>
      <c r="R255">
        <v>9</v>
      </c>
      <c r="S255">
        <v>4</v>
      </c>
      <c r="T255">
        <v>2</v>
      </c>
      <c r="U255">
        <v>2</v>
      </c>
      <c r="V255">
        <v>1</v>
      </c>
      <c r="W255" t="s">
        <v>2379</v>
      </c>
      <c r="X255" t="s">
        <v>2386</v>
      </c>
      <c r="AA255">
        <v>0.08</v>
      </c>
      <c r="AB255">
        <v>1</v>
      </c>
      <c r="AC255">
        <v>9.3800000000000008</v>
      </c>
      <c r="AD255">
        <v>9.3800000000000008</v>
      </c>
      <c r="AE255">
        <v>0</v>
      </c>
      <c r="AF255">
        <v>0</v>
      </c>
      <c r="AG255">
        <v>0</v>
      </c>
      <c r="AJ255" s="56"/>
      <c r="AK255" s="56">
        <v>42369</v>
      </c>
      <c r="AL255" s="56">
        <v>42322</v>
      </c>
      <c r="AM255">
        <v>3</v>
      </c>
      <c r="AP255" t="s">
        <v>1450</v>
      </c>
      <c r="AS255" t="s">
        <v>1152</v>
      </c>
      <c r="AT255">
        <v>1</v>
      </c>
      <c r="AV255">
        <v>3</v>
      </c>
      <c r="AW255">
        <v>2</v>
      </c>
      <c r="AX255">
        <v>1</v>
      </c>
      <c r="AY255" t="s">
        <v>1148</v>
      </c>
      <c r="AZ255" t="s">
        <v>1148</v>
      </c>
      <c r="BA255">
        <v>3</v>
      </c>
      <c r="BD255">
        <v>1000000000</v>
      </c>
      <c r="BE255">
        <v>3</v>
      </c>
      <c r="BF255">
        <v>0</v>
      </c>
      <c r="BG255">
        <v>0</v>
      </c>
      <c r="BH255">
        <v>0</v>
      </c>
      <c r="BI255">
        <v>0</v>
      </c>
      <c r="BJ255">
        <v>0</v>
      </c>
      <c r="BK255">
        <v>0</v>
      </c>
      <c r="BL255">
        <v>0</v>
      </c>
      <c r="BM255">
        <v>3</v>
      </c>
      <c r="BN255">
        <v>0</v>
      </c>
      <c r="BO255">
        <v>0</v>
      </c>
      <c r="BP255">
        <v>0</v>
      </c>
      <c r="BR255">
        <v>0</v>
      </c>
      <c r="BS255">
        <v>2</v>
      </c>
      <c r="BX255">
        <v>0</v>
      </c>
      <c r="BY255">
        <v>0</v>
      </c>
      <c r="BZ255">
        <v>0</v>
      </c>
      <c r="CA255">
        <v>-11.95</v>
      </c>
      <c r="CC255">
        <v>1</v>
      </c>
      <c r="CD255" s="56">
        <v>42593</v>
      </c>
      <c r="CE255" s="56">
        <v>42612</v>
      </c>
      <c r="CF255" s="56">
        <v>42612</v>
      </c>
      <c r="CG255" s="56">
        <v>42640</v>
      </c>
      <c r="CH255" s="56"/>
      <c r="CI255" s="56"/>
      <c r="CJ255">
        <v>0.13</v>
      </c>
      <c r="CK255">
        <v>0</v>
      </c>
      <c r="CL255">
        <v>0</v>
      </c>
      <c r="CM255">
        <v>0</v>
      </c>
      <c r="CN255">
        <v>0.11</v>
      </c>
      <c r="CO255">
        <v>0.61</v>
      </c>
      <c r="CP255">
        <v>0</v>
      </c>
      <c r="CQ255" t="s">
        <v>1378</v>
      </c>
      <c r="CR255" t="s">
        <v>1377</v>
      </c>
      <c r="CS255" t="s">
        <v>1451</v>
      </c>
      <c r="CT255" t="s">
        <v>1724</v>
      </c>
      <c r="CU255" t="s">
        <v>1742</v>
      </c>
      <c r="CV255" t="s">
        <v>2325</v>
      </c>
      <c r="DB255" t="s">
        <v>2324</v>
      </c>
      <c r="DE255" t="s">
        <v>1724</v>
      </c>
    </row>
    <row r="256" spans="1:109" x14ac:dyDescent="0.25">
      <c r="A256" t="s">
        <v>1378</v>
      </c>
      <c r="B256">
        <v>1</v>
      </c>
      <c r="C256" s="56">
        <v>42640</v>
      </c>
      <c r="D256" t="s">
        <v>1449</v>
      </c>
      <c r="E256" t="s">
        <v>2025</v>
      </c>
      <c r="G256" t="s">
        <v>1144</v>
      </c>
      <c r="H256" t="s">
        <v>1144</v>
      </c>
      <c r="I256" t="s">
        <v>1144</v>
      </c>
      <c r="J256" t="s">
        <v>1144</v>
      </c>
      <c r="K256" t="s">
        <v>1144</v>
      </c>
      <c r="L256">
        <v>180.3</v>
      </c>
      <c r="M256">
        <v>2</v>
      </c>
      <c r="N256">
        <v>0</v>
      </c>
      <c r="O256" s="56"/>
      <c r="P256" s="56"/>
      <c r="Q256">
        <v>13718</v>
      </c>
      <c r="R256">
        <v>9</v>
      </c>
      <c r="S256">
        <v>4</v>
      </c>
      <c r="T256">
        <v>2</v>
      </c>
      <c r="U256">
        <v>2</v>
      </c>
      <c r="V256">
        <v>1</v>
      </c>
      <c r="W256" t="s">
        <v>2379</v>
      </c>
      <c r="X256" t="s">
        <v>2386</v>
      </c>
      <c r="AA256">
        <v>0</v>
      </c>
      <c r="AB256">
        <v>0</v>
      </c>
      <c r="AC256">
        <v>0</v>
      </c>
      <c r="AD256">
        <v>0</v>
      </c>
      <c r="AE256">
        <v>0</v>
      </c>
      <c r="AF256">
        <v>0</v>
      </c>
      <c r="AG256">
        <v>0</v>
      </c>
      <c r="AJ256" s="56"/>
      <c r="AK256" s="56">
        <v>42369</v>
      </c>
      <c r="AL256" s="56"/>
      <c r="AM256">
        <v>1</v>
      </c>
      <c r="AP256" t="s">
        <v>1450</v>
      </c>
      <c r="AS256" t="s">
        <v>1152</v>
      </c>
      <c r="AT256">
        <v>1</v>
      </c>
      <c r="AV256">
        <v>1</v>
      </c>
      <c r="AW256">
        <v>1</v>
      </c>
      <c r="AX256">
        <v>0.5</v>
      </c>
      <c r="AY256" t="s">
        <v>1145</v>
      </c>
      <c r="AZ256" t="s">
        <v>1145</v>
      </c>
      <c r="BA256">
        <v>1</v>
      </c>
      <c r="BD256">
        <v>1000000000</v>
      </c>
      <c r="BE256">
        <v>1</v>
      </c>
      <c r="BF256">
        <v>0</v>
      </c>
      <c r="BG256">
        <v>0</v>
      </c>
      <c r="BH256">
        <v>0</v>
      </c>
      <c r="BI256">
        <v>0</v>
      </c>
      <c r="BJ256">
        <v>0</v>
      </c>
      <c r="BK256">
        <v>0</v>
      </c>
      <c r="BL256">
        <v>0</v>
      </c>
      <c r="BM256">
        <v>1</v>
      </c>
      <c r="BN256">
        <v>0</v>
      </c>
      <c r="BO256">
        <v>0</v>
      </c>
      <c r="BP256">
        <v>0</v>
      </c>
      <c r="BR256">
        <v>0</v>
      </c>
      <c r="BS256">
        <v>1</v>
      </c>
      <c r="BX256">
        <v>0</v>
      </c>
      <c r="BY256">
        <v>0</v>
      </c>
      <c r="BZ256">
        <v>0</v>
      </c>
      <c r="CA256">
        <v>-11.87</v>
      </c>
      <c r="CC256">
        <v>1</v>
      </c>
      <c r="CD256" s="56">
        <v>42593</v>
      </c>
      <c r="CE256" s="56">
        <v>42612</v>
      </c>
      <c r="CF256" s="56">
        <v>42612</v>
      </c>
      <c r="CG256" s="56">
        <v>42640</v>
      </c>
      <c r="CH256" s="56"/>
      <c r="CI256" s="56"/>
      <c r="CJ256">
        <v>0</v>
      </c>
      <c r="CK256">
        <v>0</v>
      </c>
      <c r="CL256">
        <v>0</v>
      </c>
      <c r="CM256">
        <v>0</v>
      </c>
      <c r="CN256">
        <v>0.71</v>
      </c>
      <c r="CO256">
        <v>0</v>
      </c>
      <c r="CP256">
        <v>0</v>
      </c>
      <c r="CQ256" t="s">
        <v>1378</v>
      </c>
      <c r="CR256" t="s">
        <v>1377</v>
      </c>
      <c r="CS256" t="s">
        <v>1451</v>
      </c>
      <c r="CT256" t="s">
        <v>1724</v>
      </c>
      <c r="CU256" t="s">
        <v>1742</v>
      </c>
      <c r="CV256" t="s">
        <v>2026</v>
      </c>
      <c r="DB256" t="s">
        <v>2014</v>
      </c>
      <c r="DE256" t="s">
        <v>1724</v>
      </c>
    </row>
    <row r="257" spans="1:109" x14ac:dyDescent="0.25">
      <c r="A257" t="s">
        <v>1378</v>
      </c>
      <c r="B257">
        <v>1</v>
      </c>
      <c r="C257" s="56">
        <v>42640</v>
      </c>
      <c r="D257" t="s">
        <v>1449</v>
      </c>
      <c r="E257" t="s">
        <v>2078</v>
      </c>
      <c r="G257" t="s">
        <v>1144</v>
      </c>
      <c r="H257" t="s">
        <v>1144</v>
      </c>
      <c r="I257" t="s">
        <v>1144</v>
      </c>
      <c r="J257" t="s">
        <v>1144</v>
      </c>
      <c r="K257" t="s">
        <v>1144</v>
      </c>
      <c r="L257">
        <v>118.4</v>
      </c>
      <c r="M257">
        <v>293.95</v>
      </c>
      <c r="N257">
        <v>0</v>
      </c>
      <c r="O257" s="56"/>
      <c r="P257" s="56"/>
      <c r="Q257">
        <v>13718</v>
      </c>
      <c r="R257">
        <v>9</v>
      </c>
      <c r="S257">
        <v>4</v>
      </c>
      <c r="T257">
        <v>2</v>
      </c>
      <c r="U257">
        <v>2</v>
      </c>
      <c r="V257">
        <v>1</v>
      </c>
      <c r="W257" t="s">
        <v>2379</v>
      </c>
      <c r="X257" t="s">
        <v>2386</v>
      </c>
      <c r="AA257">
        <v>0</v>
      </c>
      <c r="AB257">
        <v>0</v>
      </c>
      <c r="AC257">
        <v>0</v>
      </c>
      <c r="AD257">
        <v>0</v>
      </c>
      <c r="AE257">
        <v>0</v>
      </c>
      <c r="AF257">
        <v>0</v>
      </c>
      <c r="AG257">
        <v>0</v>
      </c>
      <c r="AJ257" s="56"/>
      <c r="AK257" s="56">
        <v>42369</v>
      </c>
      <c r="AL257" s="56"/>
      <c r="AM257">
        <v>2</v>
      </c>
      <c r="AP257" t="s">
        <v>1450</v>
      </c>
      <c r="AS257" t="s">
        <v>1152</v>
      </c>
      <c r="AT257">
        <v>1</v>
      </c>
      <c r="AV257">
        <v>2</v>
      </c>
      <c r="AW257">
        <v>2</v>
      </c>
      <c r="AX257">
        <v>1</v>
      </c>
      <c r="AY257" t="s">
        <v>1145</v>
      </c>
      <c r="AZ257" t="s">
        <v>1145</v>
      </c>
      <c r="BA257">
        <v>2</v>
      </c>
      <c r="BD257">
        <v>1000000000</v>
      </c>
      <c r="BE257">
        <v>2</v>
      </c>
      <c r="BF257">
        <v>0</v>
      </c>
      <c r="BG257">
        <v>0</v>
      </c>
      <c r="BH257">
        <v>0</v>
      </c>
      <c r="BI257">
        <v>0</v>
      </c>
      <c r="BJ257">
        <v>0</v>
      </c>
      <c r="BK257">
        <v>0</v>
      </c>
      <c r="BL257">
        <v>0</v>
      </c>
      <c r="BM257">
        <v>2</v>
      </c>
      <c r="BN257">
        <v>0</v>
      </c>
      <c r="BO257">
        <v>0</v>
      </c>
      <c r="BP257">
        <v>0</v>
      </c>
      <c r="BR257">
        <v>0</v>
      </c>
      <c r="BS257">
        <v>1</v>
      </c>
      <c r="BX257">
        <v>0</v>
      </c>
      <c r="BY257">
        <v>0</v>
      </c>
      <c r="BZ257">
        <v>0</v>
      </c>
      <c r="CA257">
        <v>17.79</v>
      </c>
      <c r="CC257">
        <v>1</v>
      </c>
      <c r="CD257" s="56">
        <v>42593</v>
      </c>
      <c r="CE257" s="56">
        <v>42612</v>
      </c>
      <c r="CF257" s="56">
        <v>42612</v>
      </c>
      <c r="CG257" s="56">
        <v>42640</v>
      </c>
      <c r="CH257" s="56"/>
      <c r="CI257" s="56"/>
      <c r="CJ257">
        <v>0</v>
      </c>
      <c r="CK257">
        <v>0</v>
      </c>
      <c r="CL257">
        <v>0</v>
      </c>
      <c r="CM257">
        <v>0</v>
      </c>
      <c r="CN257">
        <v>0.71</v>
      </c>
      <c r="CO257">
        <v>0</v>
      </c>
      <c r="CP257">
        <v>0</v>
      </c>
      <c r="CQ257" t="s">
        <v>1378</v>
      </c>
      <c r="CR257" t="s">
        <v>1377</v>
      </c>
      <c r="CS257" t="s">
        <v>1451</v>
      </c>
      <c r="CT257" t="s">
        <v>1724</v>
      </c>
      <c r="CU257" t="s">
        <v>1742</v>
      </c>
      <c r="CV257" t="s">
        <v>2079</v>
      </c>
      <c r="DB257" t="s">
        <v>2059</v>
      </c>
      <c r="DE257" t="s">
        <v>1724</v>
      </c>
    </row>
    <row r="258" spans="1:109" x14ac:dyDescent="0.25">
      <c r="A258" t="s">
        <v>1378</v>
      </c>
      <c r="B258">
        <v>1</v>
      </c>
      <c r="C258" s="56">
        <v>42640</v>
      </c>
      <c r="D258" t="s">
        <v>1449</v>
      </c>
      <c r="E258" t="s">
        <v>1456</v>
      </c>
      <c r="G258" t="s">
        <v>1144</v>
      </c>
      <c r="H258" t="s">
        <v>1144</v>
      </c>
      <c r="I258" t="s">
        <v>1144</v>
      </c>
      <c r="J258" t="s">
        <v>1144</v>
      </c>
      <c r="K258" t="s">
        <v>1144</v>
      </c>
      <c r="L258">
        <v>177.73</v>
      </c>
      <c r="M258">
        <v>361.16</v>
      </c>
      <c r="N258">
        <v>0</v>
      </c>
      <c r="O258" s="56"/>
      <c r="P258" s="56"/>
      <c r="Q258">
        <v>13718</v>
      </c>
      <c r="R258">
        <v>9</v>
      </c>
      <c r="S258">
        <v>4</v>
      </c>
      <c r="T258">
        <v>2</v>
      </c>
      <c r="U258">
        <v>2</v>
      </c>
      <c r="V258">
        <v>1</v>
      </c>
      <c r="X258" t="s">
        <v>2385</v>
      </c>
      <c r="AA258">
        <v>0.04</v>
      </c>
      <c r="AB258">
        <v>1</v>
      </c>
      <c r="AC258">
        <v>18.75</v>
      </c>
      <c r="AD258">
        <v>25</v>
      </c>
      <c r="AE258">
        <v>0</v>
      </c>
      <c r="AF258">
        <v>0</v>
      </c>
      <c r="AG258">
        <v>0</v>
      </c>
      <c r="AJ258" s="56">
        <v>42666</v>
      </c>
      <c r="AK258" s="56">
        <v>42369</v>
      </c>
      <c r="AL258" s="56"/>
      <c r="AM258">
        <v>5</v>
      </c>
      <c r="AP258" t="s">
        <v>1450</v>
      </c>
      <c r="AS258" t="s">
        <v>1152</v>
      </c>
      <c r="AT258">
        <v>1</v>
      </c>
      <c r="AV258">
        <v>3</v>
      </c>
      <c r="AW258">
        <v>2</v>
      </c>
      <c r="AX258">
        <v>1</v>
      </c>
      <c r="AY258" t="s">
        <v>1147</v>
      </c>
      <c r="AZ258" t="s">
        <v>1147</v>
      </c>
      <c r="BA258">
        <v>5</v>
      </c>
      <c r="BD258">
        <v>1000000000</v>
      </c>
      <c r="BE258">
        <v>4</v>
      </c>
      <c r="BF258">
        <v>-0.33</v>
      </c>
      <c r="BG258">
        <v>0</v>
      </c>
      <c r="BH258">
        <v>0</v>
      </c>
      <c r="BI258">
        <v>0</v>
      </c>
      <c r="BJ258">
        <v>0</v>
      </c>
      <c r="BK258">
        <v>0</v>
      </c>
      <c r="BL258">
        <v>0</v>
      </c>
      <c r="BM258">
        <v>4</v>
      </c>
      <c r="BN258">
        <v>-0.33</v>
      </c>
      <c r="BO258">
        <v>0</v>
      </c>
      <c r="BP258">
        <v>0</v>
      </c>
      <c r="BR258">
        <v>0</v>
      </c>
      <c r="BS258">
        <v>2</v>
      </c>
      <c r="BX258">
        <v>0</v>
      </c>
      <c r="BY258">
        <v>177.73</v>
      </c>
      <c r="BZ258">
        <v>0</v>
      </c>
      <c r="CA258">
        <v>12.38</v>
      </c>
      <c r="CC258">
        <v>1</v>
      </c>
      <c r="CD258" s="56">
        <v>42619</v>
      </c>
      <c r="CE258" s="56">
        <v>42619</v>
      </c>
      <c r="CF258" s="56">
        <v>42619</v>
      </c>
      <c r="CG258" s="56">
        <v>42647</v>
      </c>
      <c r="CH258" s="56"/>
      <c r="CI258" s="56"/>
      <c r="CJ258">
        <v>0</v>
      </c>
      <c r="CK258">
        <v>0</v>
      </c>
      <c r="CL258">
        <v>0</v>
      </c>
      <c r="CM258">
        <v>0</v>
      </c>
      <c r="CN258">
        <v>0</v>
      </c>
      <c r="CO258">
        <v>0</v>
      </c>
      <c r="CP258">
        <v>0.65</v>
      </c>
      <c r="CQ258" t="s">
        <v>1378</v>
      </c>
      <c r="CR258" t="s">
        <v>1377</v>
      </c>
      <c r="CS258" t="s">
        <v>1451</v>
      </c>
      <c r="CT258" t="s">
        <v>1724</v>
      </c>
      <c r="CU258" t="s">
        <v>1742</v>
      </c>
      <c r="CV258" t="s">
        <v>1770</v>
      </c>
      <c r="DB258" t="s">
        <v>1762</v>
      </c>
      <c r="DE258" t="s">
        <v>1724</v>
      </c>
    </row>
    <row r="259" spans="1:109" x14ac:dyDescent="0.25">
      <c r="A259" t="s">
        <v>1378</v>
      </c>
      <c r="B259">
        <v>1</v>
      </c>
      <c r="C259" s="56">
        <v>42640</v>
      </c>
      <c r="D259" t="s">
        <v>1449</v>
      </c>
      <c r="E259" t="s">
        <v>2135</v>
      </c>
      <c r="G259" t="s">
        <v>1144</v>
      </c>
      <c r="H259" t="s">
        <v>1144</v>
      </c>
      <c r="I259" t="s">
        <v>1144</v>
      </c>
      <c r="J259" t="s">
        <v>1144</v>
      </c>
      <c r="K259" t="s">
        <v>1144</v>
      </c>
      <c r="L259">
        <v>343.15</v>
      </c>
      <c r="M259">
        <v>2</v>
      </c>
      <c r="N259">
        <v>0</v>
      </c>
      <c r="O259" s="56"/>
      <c r="P259" s="56"/>
      <c r="Q259">
        <v>13718</v>
      </c>
      <c r="R259">
        <v>9</v>
      </c>
      <c r="S259">
        <v>4</v>
      </c>
      <c r="T259">
        <v>2</v>
      </c>
      <c r="U259">
        <v>2</v>
      </c>
      <c r="V259">
        <v>1</v>
      </c>
      <c r="X259" t="s">
        <v>2386</v>
      </c>
      <c r="AA259">
        <v>0</v>
      </c>
      <c r="AB259">
        <v>0</v>
      </c>
      <c r="AC259">
        <v>0</v>
      </c>
      <c r="AD259">
        <v>0</v>
      </c>
      <c r="AE259">
        <v>0</v>
      </c>
      <c r="AF259">
        <v>0</v>
      </c>
      <c r="AG259">
        <v>0</v>
      </c>
      <c r="AJ259" s="56"/>
      <c r="AK259" s="56">
        <v>42369</v>
      </c>
      <c r="AL259" s="56"/>
      <c r="AM259">
        <v>1</v>
      </c>
      <c r="AP259" t="s">
        <v>1450</v>
      </c>
      <c r="AS259" t="s">
        <v>1152</v>
      </c>
      <c r="AT259">
        <v>1</v>
      </c>
      <c r="AV259">
        <v>1</v>
      </c>
      <c r="AW259">
        <v>1</v>
      </c>
      <c r="AX259">
        <v>0.5</v>
      </c>
      <c r="AY259" t="s">
        <v>1147</v>
      </c>
      <c r="AZ259" t="s">
        <v>1147</v>
      </c>
      <c r="BA259">
        <v>1</v>
      </c>
      <c r="BD259">
        <v>1000000000</v>
      </c>
      <c r="BE259">
        <v>2</v>
      </c>
      <c r="BF259">
        <v>-1</v>
      </c>
      <c r="BG259">
        <v>0</v>
      </c>
      <c r="BH259">
        <v>0</v>
      </c>
      <c r="BI259">
        <v>0</v>
      </c>
      <c r="BJ259">
        <v>0</v>
      </c>
      <c r="BK259">
        <v>0</v>
      </c>
      <c r="BL259">
        <v>0</v>
      </c>
      <c r="BM259">
        <v>2</v>
      </c>
      <c r="BN259">
        <v>-1</v>
      </c>
      <c r="BO259">
        <v>0</v>
      </c>
      <c r="BP259">
        <v>0</v>
      </c>
      <c r="BR259">
        <v>0</v>
      </c>
      <c r="BS259">
        <v>1</v>
      </c>
      <c r="BX259">
        <v>0</v>
      </c>
      <c r="BY259">
        <v>343.15</v>
      </c>
      <c r="BZ259">
        <v>0</v>
      </c>
      <c r="CA259">
        <v>-11.93</v>
      </c>
      <c r="CC259">
        <v>1</v>
      </c>
      <c r="CD259" s="56">
        <v>42593</v>
      </c>
      <c r="CE259" s="56">
        <v>42612</v>
      </c>
      <c r="CF259" s="56">
        <v>42612</v>
      </c>
      <c r="CG259" s="56">
        <v>42640</v>
      </c>
      <c r="CH259" s="56"/>
      <c r="CI259" s="56"/>
      <c r="CJ259">
        <v>0</v>
      </c>
      <c r="CK259">
        <v>0</v>
      </c>
      <c r="CL259">
        <v>0</v>
      </c>
      <c r="CM259">
        <v>0</v>
      </c>
      <c r="CN259">
        <v>0</v>
      </c>
      <c r="CO259">
        <v>0</v>
      </c>
      <c r="CP259">
        <v>0.71</v>
      </c>
      <c r="CQ259" t="s">
        <v>1378</v>
      </c>
      <c r="CR259" t="s">
        <v>1377</v>
      </c>
      <c r="CS259" t="s">
        <v>1451</v>
      </c>
      <c r="CT259" t="s">
        <v>1724</v>
      </c>
      <c r="CU259" t="s">
        <v>1742</v>
      </c>
      <c r="CV259" t="s">
        <v>2133</v>
      </c>
      <c r="DB259" t="s">
        <v>2134</v>
      </c>
      <c r="DE259" t="s">
        <v>1724</v>
      </c>
    </row>
    <row r="260" spans="1:109" x14ac:dyDescent="0.25">
      <c r="A260" t="s">
        <v>1378</v>
      </c>
      <c r="B260">
        <v>1</v>
      </c>
      <c r="C260" s="56">
        <v>42640</v>
      </c>
      <c r="D260" t="s">
        <v>1449</v>
      </c>
      <c r="E260" t="s">
        <v>1822</v>
      </c>
      <c r="G260" t="s">
        <v>1144</v>
      </c>
      <c r="H260" t="s">
        <v>1144</v>
      </c>
      <c r="I260" t="s">
        <v>1144</v>
      </c>
      <c r="J260" t="s">
        <v>1144</v>
      </c>
      <c r="K260" t="s">
        <v>1144</v>
      </c>
      <c r="L260">
        <v>1069.78</v>
      </c>
      <c r="M260">
        <v>2032.14</v>
      </c>
      <c r="N260">
        <v>0</v>
      </c>
      <c r="O260" s="56"/>
      <c r="P260" s="56"/>
      <c r="Q260">
        <v>13718</v>
      </c>
      <c r="R260">
        <v>9</v>
      </c>
      <c r="S260">
        <v>4</v>
      </c>
      <c r="T260">
        <v>2</v>
      </c>
      <c r="U260">
        <v>2</v>
      </c>
      <c r="V260">
        <v>1</v>
      </c>
      <c r="W260" t="s">
        <v>1376</v>
      </c>
      <c r="X260" t="s">
        <v>2385</v>
      </c>
      <c r="AA260">
        <v>0</v>
      </c>
      <c r="AB260">
        <v>0</v>
      </c>
      <c r="AC260">
        <v>0</v>
      </c>
      <c r="AD260">
        <v>0</v>
      </c>
      <c r="AE260">
        <v>0</v>
      </c>
      <c r="AF260">
        <v>0</v>
      </c>
      <c r="AG260">
        <v>0</v>
      </c>
      <c r="AJ260" s="56"/>
      <c r="AK260" s="56">
        <v>42369</v>
      </c>
      <c r="AL260" s="56"/>
      <c r="AM260">
        <v>4</v>
      </c>
      <c r="AP260" t="s">
        <v>1450</v>
      </c>
      <c r="AS260" t="s">
        <v>1152</v>
      </c>
      <c r="AT260">
        <v>1</v>
      </c>
      <c r="AV260">
        <v>3</v>
      </c>
      <c r="AW260">
        <v>2</v>
      </c>
      <c r="AX260">
        <v>1</v>
      </c>
      <c r="AY260" t="s">
        <v>1148</v>
      </c>
      <c r="AZ260" t="s">
        <v>1148</v>
      </c>
      <c r="BA260">
        <v>4</v>
      </c>
      <c r="BD260">
        <v>1000000000</v>
      </c>
      <c r="BE260">
        <v>3</v>
      </c>
      <c r="BF260">
        <v>0</v>
      </c>
      <c r="BG260">
        <v>0</v>
      </c>
      <c r="BH260">
        <v>0</v>
      </c>
      <c r="BI260">
        <v>0</v>
      </c>
      <c r="BJ260">
        <v>0</v>
      </c>
      <c r="BK260">
        <v>0</v>
      </c>
      <c r="BL260">
        <v>0</v>
      </c>
      <c r="BM260">
        <v>3</v>
      </c>
      <c r="BN260">
        <v>0</v>
      </c>
      <c r="BO260">
        <v>0</v>
      </c>
      <c r="BP260">
        <v>0</v>
      </c>
      <c r="BR260">
        <v>0</v>
      </c>
      <c r="BS260">
        <v>2</v>
      </c>
      <c r="BX260">
        <v>0</v>
      </c>
      <c r="BY260">
        <v>0</v>
      </c>
      <c r="BZ260">
        <v>0</v>
      </c>
      <c r="CA260">
        <v>10.8</v>
      </c>
      <c r="CC260">
        <v>1</v>
      </c>
      <c r="CD260" s="56">
        <v>42619</v>
      </c>
      <c r="CE260" s="56">
        <v>42619</v>
      </c>
      <c r="CF260" s="56">
        <v>42619</v>
      </c>
      <c r="CG260" s="56">
        <v>42647</v>
      </c>
      <c r="CH260" s="56"/>
      <c r="CI260" s="56"/>
      <c r="CJ260">
        <v>0</v>
      </c>
      <c r="CK260">
        <v>0</v>
      </c>
      <c r="CL260">
        <v>0</v>
      </c>
      <c r="CM260">
        <v>0</v>
      </c>
      <c r="CN260">
        <v>0</v>
      </c>
      <c r="CO260">
        <v>0.65</v>
      </c>
      <c r="CP260">
        <v>0</v>
      </c>
      <c r="CQ260" t="s">
        <v>1378</v>
      </c>
      <c r="CR260" t="s">
        <v>1377</v>
      </c>
      <c r="CS260" t="s">
        <v>1451</v>
      </c>
      <c r="CT260" t="s">
        <v>1724</v>
      </c>
      <c r="CU260" t="s">
        <v>1742</v>
      </c>
      <c r="CV260" t="s">
        <v>1823</v>
      </c>
      <c r="DB260" t="s">
        <v>1794</v>
      </c>
      <c r="DE260" t="s">
        <v>1724</v>
      </c>
    </row>
    <row r="261" spans="1:109" x14ac:dyDescent="0.25">
      <c r="A261" t="s">
        <v>1378</v>
      </c>
      <c r="B261">
        <v>1</v>
      </c>
      <c r="C261" s="56">
        <v>42640</v>
      </c>
      <c r="D261" t="s">
        <v>1449</v>
      </c>
      <c r="E261" t="s">
        <v>2173</v>
      </c>
      <c r="G261" t="s">
        <v>1144</v>
      </c>
      <c r="H261" t="s">
        <v>1144</v>
      </c>
      <c r="I261" t="s">
        <v>1144</v>
      </c>
      <c r="J261" t="s">
        <v>1144</v>
      </c>
      <c r="K261" t="s">
        <v>1144</v>
      </c>
      <c r="L261">
        <v>316.29000000000002</v>
      </c>
      <c r="M261">
        <v>2</v>
      </c>
      <c r="N261">
        <v>0</v>
      </c>
      <c r="O261" s="56"/>
      <c r="P261" s="56"/>
      <c r="Q261">
        <v>13718</v>
      </c>
      <c r="R261">
        <v>9</v>
      </c>
      <c r="S261">
        <v>4</v>
      </c>
      <c r="T261">
        <v>2</v>
      </c>
      <c r="U261">
        <v>2</v>
      </c>
      <c r="V261">
        <v>1</v>
      </c>
      <c r="X261" t="s">
        <v>2386</v>
      </c>
      <c r="AA261">
        <v>0</v>
      </c>
      <c r="AB261">
        <v>0</v>
      </c>
      <c r="AC261">
        <v>0</v>
      </c>
      <c r="AD261">
        <v>0</v>
      </c>
      <c r="AE261">
        <v>0</v>
      </c>
      <c r="AF261">
        <v>0</v>
      </c>
      <c r="AG261">
        <v>0</v>
      </c>
      <c r="AJ261" s="56"/>
      <c r="AK261" s="56"/>
      <c r="AL261" s="56"/>
      <c r="AM261">
        <v>1</v>
      </c>
      <c r="AP261" t="s">
        <v>1450</v>
      </c>
      <c r="AS261" t="s">
        <v>1152</v>
      </c>
      <c r="AT261">
        <v>1</v>
      </c>
      <c r="AV261">
        <v>1</v>
      </c>
      <c r="AW261">
        <v>1</v>
      </c>
      <c r="AX261">
        <v>0.5</v>
      </c>
      <c r="AY261" t="s">
        <v>1147</v>
      </c>
      <c r="AZ261" t="s">
        <v>1147</v>
      </c>
      <c r="BA261">
        <v>1</v>
      </c>
      <c r="BD261">
        <v>1000000000</v>
      </c>
      <c r="BE261">
        <v>3</v>
      </c>
      <c r="BF261">
        <v>-2</v>
      </c>
      <c r="BG261">
        <v>0</v>
      </c>
      <c r="BH261">
        <v>0</v>
      </c>
      <c r="BI261">
        <v>0</v>
      </c>
      <c r="BJ261">
        <v>0</v>
      </c>
      <c r="BK261">
        <v>0</v>
      </c>
      <c r="BL261">
        <v>0</v>
      </c>
      <c r="BM261">
        <v>3</v>
      </c>
      <c r="BN261">
        <v>-2</v>
      </c>
      <c r="BO261">
        <v>0</v>
      </c>
      <c r="BP261">
        <v>0</v>
      </c>
      <c r="BR261">
        <v>0</v>
      </c>
      <c r="BS261">
        <v>1</v>
      </c>
      <c r="BX261">
        <v>0</v>
      </c>
      <c r="BY261">
        <v>632.58000000000004</v>
      </c>
      <c r="BZ261">
        <v>0</v>
      </c>
      <c r="CA261">
        <v>-11.92</v>
      </c>
      <c r="CC261">
        <v>1</v>
      </c>
      <c r="CD261" s="56">
        <v>42593</v>
      </c>
      <c r="CE261" s="56">
        <v>42612</v>
      </c>
      <c r="CF261" s="56">
        <v>42612</v>
      </c>
      <c r="CG261" s="56">
        <v>42640</v>
      </c>
      <c r="CH261" s="56"/>
      <c r="CI261" s="56"/>
      <c r="CJ261">
        <v>0</v>
      </c>
      <c r="CK261">
        <v>0</v>
      </c>
      <c r="CL261">
        <v>0</v>
      </c>
      <c r="CM261">
        <v>0</v>
      </c>
      <c r="CN261">
        <v>0</v>
      </c>
      <c r="CO261">
        <v>0</v>
      </c>
      <c r="CP261">
        <v>0.71</v>
      </c>
      <c r="CQ261" t="s">
        <v>1378</v>
      </c>
      <c r="CR261" t="s">
        <v>1377</v>
      </c>
      <c r="CS261" t="s">
        <v>1451</v>
      </c>
      <c r="CT261" t="s">
        <v>1724</v>
      </c>
      <c r="CU261" t="s">
        <v>1742</v>
      </c>
      <c r="CV261" t="s">
        <v>2159</v>
      </c>
      <c r="DB261" t="s">
        <v>2161</v>
      </c>
      <c r="DE261" t="s">
        <v>1724</v>
      </c>
    </row>
    <row r="262" spans="1:109" x14ac:dyDescent="0.25">
      <c r="A262" t="s">
        <v>1378</v>
      </c>
      <c r="B262">
        <v>1</v>
      </c>
      <c r="C262" s="56">
        <v>42640</v>
      </c>
      <c r="D262" t="s">
        <v>1449</v>
      </c>
      <c r="E262" t="s">
        <v>1393</v>
      </c>
      <c r="G262" t="s">
        <v>1144</v>
      </c>
      <c r="H262" t="s">
        <v>1144</v>
      </c>
      <c r="I262" t="s">
        <v>1144</v>
      </c>
      <c r="J262" t="s">
        <v>1144</v>
      </c>
      <c r="K262" t="s">
        <v>1144</v>
      </c>
      <c r="L262">
        <v>91.59</v>
      </c>
      <c r="M262">
        <v>230.18</v>
      </c>
      <c r="N262">
        <v>0</v>
      </c>
      <c r="O262" s="56"/>
      <c r="P262" s="56"/>
      <c r="Q262">
        <v>13718</v>
      </c>
      <c r="R262">
        <v>9</v>
      </c>
      <c r="S262">
        <v>4</v>
      </c>
      <c r="T262">
        <v>2</v>
      </c>
      <c r="U262">
        <v>2</v>
      </c>
      <c r="V262">
        <v>1</v>
      </c>
      <c r="X262" t="s">
        <v>2385</v>
      </c>
      <c r="AA262">
        <v>0.04</v>
      </c>
      <c r="AB262">
        <v>1</v>
      </c>
      <c r="AC262">
        <v>18.75</v>
      </c>
      <c r="AD262">
        <v>25</v>
      </c>
      <c r="AE262">
        <v>0</v>
      </c>
      <c r="AF262">
        <v>0</v>
      </c>
      <c r="AG262">
        <v>0</v>
      </c>
      <c r="AJ262" s="56">
        <v>42666</v>
      </c>
      <c r="AK262" s="56">
        <v>42369</v>
      </c>
      <c r="AL262" s="56"/>
      <c r="AM262">
        <v>5</v>
      </c>
      <c r="AP262" t="s">
        <v>1450</v>
      </c>
      <c r="AS262" t="s">
        <v>1152</v>
      </c>
      <c r="AT262">
        <v>1</v>
      </c>
      <c r="AV262">
        <v>3</v>
      </c>
      <c r="AW262">
        <v>2</v>
      </c>
      <c r="AX262">
        <v>1</v>
      </c>
      <c r="AY262" t="s">
        <v>1147</v>
      </c>
      <c r="AZ262" t="s">
        <v>1147</v>
      </c>
      <c r="BA262">
        <v>5</v>
      </c>
      <c r="BD262">
        <v>1000000000</v>
      </c>
      <c r="BE262">
        <v>4</v>
      </c>
      <c r="BF262">
        <v>-0.33</v>
      </c>
      <c r="BG262">
        <v>0</v>
      </c>
      <c r="BH262">
        <v>0</v>
      </c>
      <c r="BI262">
        <v>0</v>
      </c>
      <c r="BJ262">
        <v>0</v>
      </c>
      <c r="BK262">
        <v>0</v>
      </c>
      <c r="BL262">
        <v>0</v>
      </c>
      <c r="BM262">
        <v>4</v>
      </c>
      <c r="BN262">
        <v>-0.33</v>
      </c>
      <c r="BO262">
        <v>0</v>
      </c>
      <c r="BP262">
        <v>0</v>
      </c>
      <c r="BR262">
        <v>0</v>
      </c>
      <c r="BS262">
        <v>2</v>
      </c>
      <c r="BX262">
        <v>0</v>
      </c>
      <c r="BY262">
        <v>91.59</v>
      </c>
      <c r="BZ262">
        <v>0</v>
      </c>
      <c r="CA262">
        <v>18.16</v>
      </c>
      <c r="CC262">
        <v>1</v>
      </c>
      <c r="CD262" s="56">
        <v>42619</v>
      </c>
      <c r="CE262" s="56">
        <v>42619</v>
      </c>
      <c r="CF262" s="56">
        <v>42619</v>
      </c>
      <c r="CG262" s="56">
        <v>42647</v>
      </c>
      <c r="CH262" s="56"/>
      <c r="CI262" s="56"/>
      <c r="CJ262">
        <v>0</v>
      </c>
      <c r="CK262">
        <v>0</v>
      </c>
      <c r="CL262">
        <v>0</v>
      </c>
      <c r="CM262">
        <v>0</v>
      </c>
      <c r="CN262">
        <v>0</v>
      </c>
      <c r="CO262">
        <v>0</v>
      </c>
      <c r="CP262">
        <v>0.65</v>
      </c>
      <c r="CQ262" t="s">
        <v>1378</v>
      </c>
      <c r="CR262" t="s">
        <v>1377</v>
      </c>
      <c r="CS262" t="s">
        <v>1451</v>
      </c>
      <c r="CT262" t="s">
        <v>1724</v>
      </c>
      <c r="CU262" t="s">
        <v>1742</v>
      </c>
      <c r="CV262" t="s">
        <v>1868</v>
      </c>
      <c r="DB262" t="s">
        <v>1869</v>
      </c>
      <c r="DE262" t="s">
        <v>1724</v>
      </c>
    </row>
    <row r="263" spans="1:109" x14ac:dyDescent="0.25">
      <c r="A263" t="s">
        <v>1378</v>
      </c>
      <c r="B263">
        <v>1</v>
      </c>
      <c r="C263" s="56">
        <v>42640</v>
      </c>
      <c r="D263" t="s">
        <v>1449</v>
      </c>
      <c r="E263" t="s">
        <v>2220</v>
      </c>
      <c r="G263" t="s">
        <v>1144</v>
      </c>
      <c r="H263" t="s">
        <v>1144</v>
      </c>
      <c r="I263" t="s">
        <v>1144</v>
      </c>
      <c r="J263" t="s">
        <v>1144</v>
      </c>
      <c r="K263" t="s">
        <v>1144</v>
      </c>
      <c r="L263">
        <v>262.01</v>
      </c>
      <c r="M263">
        <v>2</v>
      </c>
      <c r="N263">
        <v>0</v>
      </c>
      <c r="O263" s="56"/>
      <c r="P263" s="56"/>
      <c r="Q263">
        <v>13718</v>
      </c>
      <c r="R263">
        <v>9</v>
      </c>
      <c r="S263">
        <v>4</v>
      </c>
      <c r="T263">
        <v>2</v>
      </c>
      <c r="U263">
        <v>2</v>
      </c>
      <c r="V263">
        <v>1</v>
      </c>
      <c r="X263" t="s">
        <v>2386</v>
      </c>
      <c r="AA263">
        <v>0</v>
      </c>
      <c r="AB263">
        <v>0</v>
      </c>
      <c r="AC263">
        <v>0</v>
      </c>
      <c r="AD263">
        <v>0</v>
      </c>
      <c r="AE263">
        <v>0</v>
      </c>
      <c r="AF263">
        <v>0</v>
      </c>
      <c r="AG263">
        <v>0</v>
      </c>
      <c r="AJ263" s="56"/>
      <c r="AK263" s="56"/>
      <c r="AL263" s="56"/>
      <c r="AM263">
        <v>1</v>
      </c>
      <c r="AP263" t="s">
        <v>1450</v>
      </c>
      <c r="AS263" t="s">
        <v>1152</v>
      </c>
      <c r="AT263">
        <v>1</v>
      </c>
      <c r="AV263">
        <v>1</v>
      </c>
      <c r="AW263">
        <v>1</v>
      </c>
      <c r="AX263">
        <v>0.5</v>
      </c>
      <c r="AY263" t="s">
        <v>1147</v>
      </c>
      <c r="AZ263" t="s">
        <v>1147</v>
      </c>
      <c r="BA263">
        <v>1</v>
      </c>
      <c r="BD263">
        <v>1000000000</v>
      </c>
      <c r="BE263">
        <v>2</v>
      </c>
      <c r="BF263">
        <v>-1</v>
      </c>
      <c r="BG263">
        <v>0</v>
      </c>
      <c r="BH263">
        <v>0</v>
      </c>
      <c r="BI263">
        <v>0</v>
      </c>
      <c r="BJ263">
        <v>0</v>
      </c>
      <c r="BK263">
        <v>0</v>
      </c>
      <c r="BL263">
        <v>0</v>
      </c>
      <c r="BM263">
        <v>2</v>
      </c>
      <c r="BN263">
        <v>-1</v>
      </c>
      <c r="BO263">
        <v>0</v>
      </c>
      <c r="BP263">
        <v>0</v>
      </c>
      <c r="BR263">
        <v>0</v>
      </c>
      <c r="BS263">
        <v>1</v>
      </c>
      <c r="BX263">
        <v>0</v>
      </c>
      <c r="BY263">
        <v>262.01</v>
      </c>
      <c r="BZ263">
        <v>0</v>
      </c>
      <c r="CA263">
        <v>-11.91</v>
      </c>
      <c r="CC263">
        <v>1</v>
      </c>
      <c r="CD263" s="56">
        <v>42593</v>
      </c>
      <c r="CE263" s="56">
        <v>42612</v>
      </c>
      <c r="CF263" s="56">
        <v>42612</v>
      </c>
      <c r="CG263" s="56">
        <v>42640</v>
      </c>
      <c r="CH263" s="56"/>
      <c r="CI263" s="56"/>
      <c r="CJ263">
        <v>0</v>
      </c>
      <c r="CK263">
        <v>0</v>
      </c>
      <c r="CL263">
        <v>0</v>
      </c>
      <c r="CM263">
        <v>0</v>
      </c>
      <c r="CN263">
        <v>0</v>
      </c>
      <c r="CO263">
        <v>0</v>
      </c>
      <c r="CP263">
        <v>0.71</v>
      </c>
      <c r="CQ263" t="s">
        <v>1378</v>
      </c>
      <c r="CR263" t="s">
        <v>1377</v>
      </c>
      <c r="CS263" t="s">
        <v>1451</v>
      </c>
      <c r="CT263" t="s">
        <v>1724</v>
      </c>
      <c r="CU263" t="s">
        <v>1742</v>
      </c>
      <c r="CV263" t="s">
        <v>2221</v>
      </c>
      <c r="DB263" t="s">
        <v>2161</v>
      </c>
      <c r="DE263" t="s">
        <v>1724</v>
      </c>
    </row>
    <row r="264" spans="1:109" x14ac:dyDescent="0.25">
      <c r="A264" t="s">
        <v>1378</v>
      </c>
      <c r="B264">
        <v>1</v>
      </c>
      <c r="C264" s="56">
        <v>42640</v>
      </c>
      <c r="D264" t="s">
        <v>1449</v>
      </c>
      <c r="E264" t="s">
        <v>1430</v>
      </c>
      <c r="G264" t="s">
        <v>1144</v>
      </c>
      <c r="H264" t="s">
        <v>1144</v>
      </c>
      <c r="I264" t="s">
        <v>1144</v>
      </c>
      <c r="J264" t="s">
        <v>1144</v>
      </c>
      <c r="K264" t="s">
        <v>1144</v>
      </c>
      <c r="L264">
        <v>280.3</v>
      </c>
      <c r="M264">
        <v>732.52</v>
      </c>
      <c r="N264">
        <v>0</v>
      </c>
      <c r="O264" s="56"/>
      <c r="P264" s="56"/>
      <c r="Q264">
        <v>13718</v>
      </c>
      <c r="R264">
        <v>9</v>
      </c>
      <c r="S264">
        <v>4</v>
      </c>
      <c r="T264">
        <v>2</v>
      </c>
      <c r="U264">
        <v>2</v>
      </c>
      <c r="V264">
        <v>1</v>
      </c>
      <c r="X264" t="s">
        <v>2385</v>
      </c>
      <c r="AA264">
        <v>0.63</v>
      </c>
      <c r="AB264">
        <v>4</v>
      </c>
      <c r="AC264">
        <v>1.98</v>
      </c>
      <c r="AD264">
        <v>3.57</v>
      </c>
      <c r="AE264">
        <v>0</v>
      </c>
      <c r="AF264">
        <v>0</v>
      </c>
      <c r="AG264">
        <v>0</v>
      </c>
      <c r="AJ264" s="56"/>
      <c r="AK264" s="56"/>
      <c r="AL264" s="56">
        <v>42322</v>
      </c>
      <c r="AM264">
        <v>6</v>
      </c>
      <c r="AP264" t="s">
        <v>1450</v>
      </c>
      <c r="AS264" t="s">
        <v>1152</v>
      </c>
      <c r="AT264">
        <v>1</v>
      </c>
      <c r="AV264">
        <v>5</v>
      </c>
      <c r="AW264">
        <v>3</v>
      </c>
      <c r="AX264">
        <v>2</v>
      </c>
      <c r="AY264" t="s">
        <v>1147</v>
      </c>
      <c r="AZ264" t="s">
        <v>1147</v>
      </c>
      <c r="BA264">
        <v>6</v>
      </c>
      <c r="BD264">
        <v>1000000000</v>
      </c>
      <c r="BE264">
        <v>9</v>
      </c>
      <c r="BF264">
        <v>-0.8</v>
      </c>
      <c r="BG264">
        <v>0</v>
      </c>
      <c r="BH264">
        <v>0</v>
      </c>
      <c r="BI264">
        <v>0</v>
      </c>
      <c r="BJ264">
        <v>0</v>
      </c>
      <c r="BK264">
        <v>0</v>
      </c>
      <c r="BL264">
        <v>0</v>
      </c>
      <c r="BM264">
        <v>9</v>
      </c>
      <c r="BN264">
        <v>-0.8</v>
      </c>
      <c r="BO264">
        <v>0</v>
      </c>
      <c r="BP264">
        <v>0</v>
      </c>
      <c r="BR264">
        <v>0</v>
      </c>
      <c r="BS264">
        <v>3</v>
      </c>
      <c r="BX264">
        <v>0</v>
      </c>
      <c r="BY264">
        <v>1121.2</v>
      </c>
      <c r="BZ264">
        <v>0</v>
      </c>
      <c r="CA264">
        <v>19.36</v>
      </c>
      <c r="CC264">
        <v>1</v>
      </c>
      <c r="CD264" s="56">
        <v>42619</v>
      </c>
      <c r="CE264" s="56">
        <v>42619</v>
      </c>
      <c r="CF264" s="56">
        <v>42619</v>
      </c>
      <c r="CG264" s="56">
        <v>42647</v>
      </c>
      <c r="CH264" s="56"/>
      <c r="CI264" s="56"/>
      <c r="CJ264">
        <v>0</v>
      </c>
      <c r="CK264">
        <v>0</v>
      </c>
      <c r="CL264">
        <v>0</v>
      </c>
      <c r="CM264">
        <v>0</v>
      </c>
      <c r="CN264">
        <v>0</v>
      </c>
      <c r="CO264">
        <v>0</v>
      </c>
      <c r="CP264">
        <v>0.65</v>
      </c>
      <c r="CQ264" t="s">
        <v>1378</v>
      </c>
      <c r="CR264" t="s">
        <v>1377</v>
      </c>
      <c r="CS264" t="s">
        <v>1451</v>
      </c>
      <c r="CT264" t="s">
        <v>1724</v>
      </c>
      <c r="CU264" t="s">
        <v>1742</v>
      </c>
      <c r="CV264" t="s">
        <v>2010</v>
      </c>
      <c r="DB264" t="s">
        <v>1997</v>
      </c>
      <c r="DE264" t="s">
        <v>1724</v>
      </c>
    </row>
    <row r="265" spans="1:109" x14ac:dyDescent="0.25">
      <c r="A265" t="s">
        <v>1378</v>
      </c>
      <c r="B265">
        <v>1</v>
      </c>
      <c r="C265" s="56">
        <v>42640</v>
      </c>
      <c r="D265" t="s">
        <v>1449</v>
      </c>
      <c r="E265" t="s">
        <v>2363</v>
      </c>
      <c r="G265" t="s">
        <v>1144</v>
      </c>
      <c r="H265" t="s">
        <v>1144</v>
      </c>
      <c r="I265" t="s">
        <v>1144</v>
      </c>
      <c r="J265" t="s">
        <v>1144</v>
      </c>
      <c r="K265" t="s">
        <v>1144</v>
      </c>
      <c r="L265">
        <v>268.33</v>
      </c>
      <c r="M265">
        <v>878.08</v>
      </c>
      <c r="N265">
        <v>0</v>
      </c>
      <c r="O265" s="56"/>
      <c r="P265" s="56"/>
      <c r="Q265">
        <v>13718</v>
      </c>
      <c r="R265">
        <v>9</v>
      </c>
      <c r="S265">
        <v>4</v>
      </c>
      <c r="T265">
        <v>2</v>
      </c>
      <c r="U265">
        <v>2</v>
      </c>
      <c r="V265">
        <v>1</v>
      </c>
      <c r="X265" t="s">
        <v>2385</v>
      </c>
      <c r="AA265">
        <v>0.04</v>
      </c>
      <c r="AB265">
        <v>1</v>
      </c>
      <c r="AC265">
        <v>12.5</v>
      </c>
      <c r="AD265">
        <v>25</v>
      </c>
      <c r="AE265">
        <v>0</v>
      </c>
      <c r="AF265">
        <v>0</v>
      </c>
      <c r="AG265">
        <v>0</v>
      </c>
      <c r="AJ265" s="56">
        <v>42666</v>
      </c>
      <c r="AK265" s="56">
        <v>42369</v>
      </c>
      <c r="AL265" s="56">
        <v>42322</v>
      </c>
      <c r="AM265">
        <v>5</v>
      </c>
      <c r="AP265" t="s">
        <v>1450</v>
      </c>
      <c r="AS265" t="s">
        <v>1152</v>
      </c>
      <c r="AT265">
        <v>1</v>
      </c>
      <c r="AV265">
        <v>2</v>
      </c>
      <c r="AW265">
        <v>2</v>
      </c>
      <c r="AX265">
        <v>1</v>
      </c>
      <c r="AY265" t="s">
        <v>1147</v>
      </c>
      <c r="AZ265" t="s">
        <v>1147</v>
      </c>
      <c r="BA265">
        <v>5</v>
      </c>
      <c r="BD265">
        <v>1000000000</v>
      </c>
      <c r="BE265">
        <v>4</v>
      </c>
      <c r="BF265">
        <v>-1</v>
      </c>
      <c r="BG265">
        <v>0</v>
      </c>
      <c r="BH265">
        <v>0</v>
      </c>
      <c r="BI265">
        <v>0</v>
      </c>
      <c r="BJ265">
        <v>0</v>
      </c>
      <c r="BK265">
        <v>0</v>
      </c>
      <c r="BL265">
        <v>0</v>
      </c>
      <c r="BM265">
        <v>4</v>
      </c>
      <c r="BN265">
        <v>-1</v>
      </c>
      <c r="BO265">
        <v>0</v>
      </c>
      <c r="BP265">
        <v>0</v>
      </c>
      <c r="BR265">
        <v>0</v>
      </c>
      <c r="BS265">
        <v>1</v>
      </c>
      <c r="BX265">
        <v>0</v>
      </c>
      <c r="BY265">
        <v>536.66</v>
      </c>
      <c r="BZ265">
        <v>0</v>
      </c>
      <c r="CA265">
        <v>27.27</v>
      </c>
      <c r="CC265">
        <v>1</v>
      </c>
      <c r="CD265" s="56">
        <v>42619</v>
      </c>
      <c r="CE265" s="56">
        <v>42619</v>
      </c>
      <c r="CF265" s="56">
        <v>42619</v>
      </c>
      <c r="CG265" s="56">
        <v>42647</v>
      </c>
      <c r="CH265" s="56"/>
      <c r="CI265" s="56"/>
      <c r="CJ265">
        <v>0</v>
      </c>
      <c r="CK265">
        <v>0</v>
      </c>
      <c r="CL265">
        <v>0</v>
      </c>
      <c r="CM265">
        <v>0</v>
      </c>
      <c r="CN265">
        <v>0</v>
      </c>
      <c r="CO265">
        <v>0</v>
      </c>
      <c r="CP265">
        <v>0.65</v>
      </c>
      <c r="CQ265" t="s">
        <v>1378</v>
      </c>
      <c r="CR265" t="s">
        <v>1377</v>
      </c>
      <c r="CS265" t="s">
        <v>1451</v>
      </c>
      <c r="CT265" t="s">
        <v>1724</v>
      </c>
      <c r="CU265" t="s">
        <v>1742</v>
      </c>
      <c r="CV265" t="s">
        <v>2364</v>
      </c>
      <c r="DB265" t="s">
        <v>2351</v>
      </c>
      <c r="DE265" t="s">
        <v>1724</v>
      </c>
    </row>
    <row r="266" spans="1:109" x14ac:dyDescent="0.25">
      <c r="A266" t="s">
        <v>1378</v>
      </c>
      <c r="B266">
        <v>1</v>
      </c>
      <c r="C266" s="56">
        <v>42640</v>
      </c>
      <c r="D266" t="s">
        <v>1449</v>
      </c>
      <c r="E266" t="s">
        <v>1735</v>
      </c>
      <c r="G266" t="s">
        <v>1144</v>
      </c>
      <c r="H266" t="s">
        <v>1144</v>
      </c>
      <c r="I266" t="s">
        <v>1144</v>
      </c>
      <c r="J266" t="s">
        <v>1144</v>
      </c>
      <c r="K266" t="s">
        <v>1144</v>
      </c>
      <c r="L266">
        <v>107.33</v>
      </c>
      <c r="M266">
        <v>293.95</v>
      </c>
      <c r="N266">
        <v>0</v>
      </c>
      <c r="O266" s="56"/>
      <c r="P266" s="56"/>
      <c r="Q266">
        <v>13718</v>
      </c>
      <c r="R266">
        <v>9</v>
      </c>
      <c r="S266">
        <v>4</v>
      </c>
      <c r="T266">
        <v>2</v>
      </c>
      <c r="U266">
        <v>2</v>
      </c>
      <c r="V266">
        <v>1</v>
      </c>
      <c r="W266" t="s">
        <v>1376</v>
      </c>
      <c r="X266" t="s">
        <v>2385</v>
      </c>
      <c r="AA266">
        <v>0</v>
      </c>
      <c r="AB266">
        <v>0</v>
      </c>
      <c r="AC266">
        <v>0</v>
      </c>
      <c r="AD266">
        <v>0</v>
      </c>
      <c r="AE266">
        <v>0</v>
      </c>
      <c r="AF266">
        <v>0</v>
      </c>
      <c r="AG266">
        <v>0</v>
      </c>
      <c r="AJ266" s="56"/>
      <c r="AK266" s="56">
        <v>42369</v>
      </c>
      <c r="AL266" s="56"/>
      <c r="AM266">
        <v>2</v>
      </c>
      <c r="AP266" t="s">
        <v>1450</v>
      </c>
      <c r="AS266" t="s">
        <v>1152</v>
      </c>
      <c r="AT266">
        <v>1</v>
      </c>
      <c r="AV266">
        <v>3</v>
      </c>
      <c r="AW266">
        <v>2</v>
      </c>
      <c r="AX266">
        <v>1</v>
      </c>
      <c r="AY266" t="s">
        <v>1145</v>
      </c>
      <c r="AZ266" t="s">
        <v>1145</v>
      </c>
      <c r="BA266">
        <v>2</v>
      </c>
      <c r="BD266">
        <v>1000000000</v>
      </c>
      <c r="BE266">
        <v>2</v>
      </c>
      <c r="BF266">
        <v>0.33</v>
      </c>
      <c r="BG266">
        <v>0</v>
      </c>
      <c r="BH266">
        <v>0</v>
      </c>
      <c r="BI266">
        <v>0</v>
      </c>
      <c r="BJ266">
        <v>0</v>
      </c>
      <c r="BK266">
        <v>0</v>
      </c>
      <c r="BL266">
        <v>0</v>
      </c>
      <c r="BM266">
        <v>2</v>
      </c>
      <c r="BN266">
        <v>0.33</v>
      </c>
      <c r="BO266">
        <v>0</v>
      </c>
      <c r="BP266">
        <v>0</v>
      </c>
      <c r="BR266">
        <v>1</v>
      </c>
      <c r="BS266">
        <v>2</v>
      </c>
      <c r="BX266">
        <v>0</v>
      </c>
      <c r="BY266">
        <v>0</v>
      </c>
      <c r="BZ266">
        <v>0</v>
      </c>
      <c r="CA266">
        <v>20.86</v>
      </c>
      <c r="CC266">
        <v>1</v>
      </c>
      <c r="CD266" s="56">
        <v>42619</v>
      </c>
      <c r="CE266" s="56">
        <v>42619</v>
      </c>
      <c r="CF266" s="56">
        <v>42619</v>
      </c>
      <c r="CG266" s="56">
        <v>42647</v>
      </c>
      <c r="CH266" s="56"/>
      <c r="CI266" s="56"/>
      <c r="CJ266">
        <v>0</v>
      </c>
      <c r="CK266">
        <v>0</v>
      </c>
      <c r="CL266">
        <v>0</v>
      </c>
      <c r="CM266">
        <v>0</v>
      </c>
      <c r="CN266">
        <v>0.65</v>
      </c>
      <c r="CO266">
        <v>0</v>
      </c>
      <c r="CP266">
        <v>0</v>
      </c>
      <c r="CQ266" t="s">
        <v>1378</v>
      </c>
      <c r="CR266" t="s">
        <v>1377</v>
      </c>
      <c r="CS266" t="s">
        <v>1451</v>
      </c>
      <c r="CT266" t="s">
        <v>1724</v>
      </c>
      <c r="CU266" t="s">
        <v>1742</v>
      </c>
      <c r="CV266" t="s">
        <v>2064</v>
      </c>
      <c r="DB266" t="s">
        <v>2059</v>
      </c>
      <c r="DE266" t="s">
        <v>1724</v>
      </c>
    </row>
    <row r="267" spans="1:109" x14ac:dyDescent="0.25">
      <c r="A267" t="s">
        <v>1378</v>
      </c>
      <c r="B267">
        <v>1</v>
      </c>
      <c r="C267" s="56">
        <v>42640</v>
      </c>
      <c r="D267" t="s">
        <v>1449</v>
      </c>
      <c r="E267" t="s">
        <v>1452</v>
      </c>
      <c r="G267" t="s">
        <v>1144</v>
      </c>
      <c r="H267" t="s">
        <v>1144</v>
      </c>
      <c r="I267" t="s">
        <v>1144</v>
      </c>
      <c r="J267" t="s">
        <v>1144</v>
      </c>
      <c r="K267" t="s">
        <v>1144</v>
      </c>
      <c r="L267">
        <v>27.44</v>
      </c>
      <c r="M267">
        <v>79.83</v>
      </c>
      <c r="N267">
        <v>0</v>
      </c>
      <c r="O267" s="56"/>
      <c r="P267" s="56"/>
      <c r="Q267">
        <v>13718</v>
      </c>
      <c r="R267">
        <v>9</v>
      </c>
      <c r="S267">
        <v>4</v>
      </c>
      <c r="T267">
        <v>2</v>
      </c>
      <c r="U267">
        <v>2</v>
      </c>
      <c r="V267">
        <v>1</v>
      </c>
      <c r="X267" t="s">
        <v>2387</v>
      </c>
      <c r="AA267">
        <v>7.94</v>
      </c>
      <c r="AB267">
        <v>48</v>
      </c>
      <c r="AC267">
        <v>0.94</v>
      </c>
      <c r="AD267">
        <v>2.39</v>
      </c>
      <c r="AE267">
        <v>0</v>
      </c>
      <c r="AF267">
        <v>0</v>
      </c>
      <c r="AG267">
        <v>0</v>
      </c>
      <c r="AJ267" s="56">
        <v>42666</v>
      </c>
      <c r="AK267" s="56"/>
      <c r="AL267" s="56"/>
      <c r="AP267" t="s">
        <v>1450</v>
      </c>
      <c r="AR267">
        <v>10</v>
      </c>
      <c r="AS267" t="s">
        <v>1152</v>
      </c>
      <c r="AT267">
        <v>1</v>
      </c>
      <c r="AV267">
        <v>30</v>
      </c>
      <c r="AW267">
        <v>20</v>
      </c>
      <c r="AX267">
        <v>10</v>
      </c>
      <c r="AY267" t="s">
        <v>1147</v>
      </c>
      <c r="AZ267" t="s">
        <v>1147</v>
      </c>
      <c r="BA267">
        <v>40</v>
      </c>
      <c r="BD267">
        <v>1000000000</v>
      </c>
      <c r="BE267">
        <v>76</v>
      </c>
      <c r="BF267">
        <v>-1.53</v>
      </c>
      <c r="BG267">
        <v>0</v>
      </c>
      <c r="BH267">
        <v>0</v>
      </c>
      <c r="BI267">
        <v>0</v>
      </c>
      <c r="BJ267">
        <v>0</v>
      </c>
      <c r="BK267">
        <v>0</v>
      </c>
      <c r="BL267">
        <v>0</v>
      </c>
      <c r="BM267">
        <v>76</v>
      </c>
      <c r="BN267">
        <v>-1.53</v>
      </c>
      <c r="BO267">
        <v>0</v>
      </c>
      <c r="BP267">
        <v>0</v>
      </c>
      <c r="BR267">
        <v>0</v>
      </c>
      <c r="BS267">
        <v>15</v>
      </c>
      <c r="BX267">
        <v>0</v>
      </c>
      <c r="BY267">
        <v>1262.24</v>
      </c>
      <c r="BZ267">
        <v>0</v>
      </c>
      <c r="CA267">
        <v>22.91</v>
      </c>
      <c r="CC267">
        <v>1</v>
      </c>
      <c r="CD267" s="56">
        <v>42592</v>
      </c>
      <c r="CE267" s="56">
        <v>42612</v>
      </c>
      <c r="CF267" s="56">
        <v>42612</v>
      </c>
      <c r="CG267" s="56">
        <v>42640</v>
      </c>
      <c r="CH267" s="56"/>
      <c r="CI267" s="56"/>
      <c r="CJ267">
        <v>0.04</v>
      </c>
      <c r="CK267">
        <v>0</v>
      </c>
      <c r="CL267">
        <v>0</v>
      </c>
      <c r="CM267">
        <v>0</v>
      </c>
      <c r="CN267">
        <v>0</v>
      </c>
      <c r="CO267">
        <v>0</v>
      </c>
      <c r="CP267">
        <v>0.71</v>
      </c>
      <c r="CQ267" t="s">
        <v>1378</v>
      </c>
      <c r="CR267" t="s">
        <v>1377</v>
      </c>
      <c r="CS267" t="s">
        <v>1451</v>
      </c>
      <c r="CT267" t="s">
        <v>1724</v>
      </c>
      <c r="CU267" t="s">
        <v>1742</v>
      </c>
      <c r="CV267" t="s">
        <v>1755</v>
      </c>
      <c r="DB267" t="s">
        <v>1756</v>
      </c>
      <c r="DE267" t="s">
        <v>1724</v>
      </c>
    </row>
    <row r="268" spans="1:109" x14ac:dyDescent="0.25">
      <c r="A268" t="s">
        <v>1378</v>
      </c>
      <c r="B268">
        <v>1</v>
      </c>
      <c r="C268" s="56">
        <v>42640</v>
      </c>
      <c r="D268" t="s">
        <v>1449</v>
      </c>
      <c r="E268" t="s">
        <v>2118</v>
      </c>
      <c r="G268" t="s">
        <v>1144</v>
      </c>
      <c r="H268" t="s">
        <v>1144</v>
      </c>
      <c r="I268" t="s">
        <v>1144</v>
      </c>
      <c r="J268" t="s">
        <v>1144</v>
      </c>
      <c r="K268" t="s">
        <v>1144</v>
      </c>
      <c r="L268">
        <v>1182.48</v>
      </c>
      <c r="M268">
        <v>2568.5100000000002</v>
      </c>
      <c r="N268">
        <v>0</v>
      </c>
      <c r="O268" s="56"/>
      <c r="P268" s="56"/>
      <c r="Q268">
        <v>13718</v>
      </c>
      <c r="R268">
        <v>9</v>
      </c>
      <c r="S268">
        <v>4</v>
      </c>
      <c r="T268">
        <v>2</v>
      </c>
      <c r="U268">
        <v>2</v>
      </c>
      <c r="V268">
        <v>1</v>
      </c>
      <c r="W268" t="s">
        <v>1376</v>
      </c>
      <c r="X268" t="s">
        <v>2385</v>
      </c>
      <c r="AA268">
        <v>0.08</v>
      </c>
      <c r="AB268">
        <v>1</v>
      </c>
      <c r="AC268">
        <v>9.3800000000000008</v>
      </c>
      <c r="AD268">
        <v>9.3800000000000008</v>
      </c>
      <c r="AE268">
        <v>0</v>
      </c>
      <c r="AF268">
        <v>0</v>
      </c>
      <c r="AG268">
        <v>0</v>
      </c>
      <c r="AJ268" s="56">
        <v>42666</v>
      </c>
      <c r="AK268" s="56"/>
      <c r="AL268" s="56"/>
      <c r="AM268">
        <v>5</v>
      </c>
      <c r="AP268" t="s">
        <v>1450</v>
      </c>
      <c r="AS268" t="s">
        <v>1152</v>
      </c>
      <c r="AT268">
        <v>1</v>
      </c>
      <c r="AV268">
        <v>3</v>
      </c>
      <c r="AW268">
        <v>2</v>
      </c>
      <c r="AX268">
        <v>1</v>
      </c>
      <c r="AY268" t="s">
        <v>1148</v>
      </c>
      <c r="AZ268" t="s">
        <v>1148</v>
      </c>
      <c r="BA268">
        <v>5</v>
      </c>
      <c r="BD268">
        <v>1000000000</v>
      </c>
      <c r="BE268">
        <v>3</v>
      </c>
      <c r="BF268">
        <v>0</v>
      </c>
      <c r="BG268">
        <v>0</v>
      </c>
      <c r="BH268">
        <v>0</v>
      </c>
      <c r="BI268">
        <v>0</v>
      </c>
      <c r="BJ268">
        <v>0</v>
      </c>
      <c r="BK268">
        <v>0</v>
      </c>
      <c r="BL268">
        <v>0</v>
      </c>
      <c r="BM268">
        <v>3</v>
      </c>
      <c r="BN268">
        <v>0</v>
      </c>
      <c r="BO268">
        <v>0</v>
      </c>
      <c r="BP268">
        <v>0</v>
      </c>
      <c r="BR268">
        <v>0</v>
      </c>
      <c r="BS268">
        <v>2</v>
      </c>
      <c r="BX268">
        <v>0</v>
      </c>
      <c r="BY268">
        <v>0</v>
      </c>
      <c r="BZ268">
        <v>0</v>
      </c>
      <c r="CA268">
        <v>14.07</v>
      </c>
      <c r="CC268">
        <v>1</v>
      </c>
      <c r="CD268" s="56">
        <v>42619</v>
      </c>
      <c r="CE268" s="56">
        <v>42619</v>
      </c>
      <c r="CF268" s="56">
        <v>42619</v>
      </c>
      <c r="CG268" s="56">
        <v>42647</v>
      </c>
      <c r="CH268" s="56"/>
      <c r="CI268" s="56"/>
      <c r="CJ268">
        <v>0</v>
      </c>
      <c r="CK268">
        <v>0</v>
      </c>
      <c r="CL268">
        <v>0</v>
      </c>
      <c r="CM268">
        <v>0</v>
      </c>
      <c r="CN268">
        <v>0</v>
      </c>
      <c r="CO268">
        <v>0.65</v>
      </c>
      <c r="CP268">
        <v>0</v>
      </c>
      <c r="CQ268" t="s">
        <v>1378</v>
      </c>
      <c r="CR268" t="s">
        <v>1377</v>
      </c>
      <c r="CS268" t="s">
        <v>1451</v>
      </c>
      <c r="CT268" t="s">
        <v>1724</v>
      </c>
      <c r="CU268" t="s">
        <v>1742</v>
      </c>
      <c r="CV268" t="s">
        <v>2119</v>
      </c>
      <c r="DB268" t="s">
        <v>2111</v>
      </c>
      <c r="DE268" t="s">
        <v>1724</v>
      </c>
    </row>
    <row r="269" spans="1:109" x14ac:dyDescent="0.25">
      <c r="A269" t="s">
        <v>1378</v>
      </c>
      <c r="B269">
        <v>1</v>
      </c>
      <c r="C269" s="56">
        <v>42640</v>
      </c>
      <c r="D269" t="s">
        <v>1449</v>
      </c>
      <c r="E269" t="s">
        <v>1809</v>
      </c>
      <c r="G269" t="s">
        <v>1144</v>
      </c>
      <c r="H269" t="s">
        <v>1144</v>
      </c>
      <c r="I269" t="s">
        <v>1144</v>
      </c>
      <c r="J269" t="s">
        <v>1144</v>
      </c>
      <c r="K269" t="s">
        <v>1144</v>
      </c>
      <c r="L269">
        <v>0</v>
      </c>
      <c r="M269">
        <v>2032.14</v>
      </c>
      <c r="N269">
        <v>0</v>
      </c>
      <c r="O269" s="56"/>
      <c r="P269" s="56"/>
      <c r="Q269">
        <v>13718</v>
      </c>
      <c r="R269">
        <v>9</v>
      </c>
      <c r="S269">
        <v>4</v>
      </c>
      <c r="T269">
        <v>2</v>
      </c>
      <c r="U269">
        <v>2</v>
      </c>
      <c r="V269">
        <v>1</v>
      </c>
      <c r="X269" t="s">
        <v>2386</v>
      </c>
      <c r="AA269">
        <v>0</v>
      </c>
      <c r="AB269">
        <v>0</v>
      </c>
      <c r="AC269">
        <v>0</v>
      </c>
      <c r="AD269">
        <v>0</v>
      </c>
      <c r="AE269">
        <v>0</v>
      </c>
      <c r="AF269">
        <v>0</v>
      </c>
      <c r="AG269">
        <v>0</v>
      </c>
      <c r="AJ269" s="56"/>
      <c r="AK269" s="56"/>
      <c r="AL269" s="56"/>
      <c r="AP269" t="s">
        <v>1450</v>
      </c>
      <c r="AS269" t="s">
        <v>1152</v>
      </c>
      <c r="AT269">
        <v>1</v>
      </c>
      <c r="AV269">
        <v>0</v>
      </c>
      <c r="AW269">
        <v>0</v>
      </c>
      <c r="AX269">
        <v>0</v>
      </c>
      <c r="AY269" t="s">
        <v>1375</v>
      </c>
      <c r="AZ269" t="s">
        <v>1375</v>
      </c>
      <c r="BA269">
        <v>0</v>
      </c>
      <c r="BD269">
        <v>1000000000</v>
      </c>
      <c r="BE269">
        <v>0</v>
      </c>
      <c r="BF269">
        <v>0</v>
      </c>
      <c r="BG269">
        <v>0</v>
      </c>
      <c r="BH269">
        <v>0</v>
      </c>
      <c r="BI269">
        <v>0</v>
      </c>
      <c r="BJ269">
        <v>0</v>
      </c>
      <c r="BK269">
        <v>0</v>
      </c>
      <c r="BL269">
        <v>0</v>
      </c>
      <c r="BM269">
        <v>0</v>
      </c>
      <c r="BN269">
        <v>0</v>
      </c>
      <c r="BO269">
        <v>0</v>
      </c>
      <c r="BP269">
        <v>0</v>
      </c>
      <c r="BR269">
        <v>0</v>
      </c>
      <c r="BS269">
        <v>0</v>
      </c>
      <c r="BX269">
        <v>0</v>
      </c>
      <c r="BY269">
        <v>0</v>
      </c>
      <c r="BZ269">
        <v>0</v>
      </c>
      <c r="CA269">
        <v>0</v>
      </c>
      <c r="CC269">
        <v>1</v>
      </c>
      <c r="CD269" s="56">
        <v>42593</v>
      </c>
      <c r="CE269" s="56">
        <v>42612</v>
      </c>
      <c r="CF269" s="56">
        <v>42612</v>
      </c>
      <c r="CG269" s="56">
        <v>42640</v>
      </c>
      <c r="CH269" s="56"/>
      <c r="CI269" s="56"/>
      <c r="CJ269">
        <v>1</v>
      </c>
      <c r="CK269">
        <v>0</v>
      </c>
      <c r="CL269">
        <v>0.71</v>
      </c>
      <c r="CM269">
        <v>0</v>
      </c>
      <c r="CN269">
        <v>0</v>
      </c>
      <c r="CO269">
        <v>0</v>
      </c>
      <c r="CP269">
        <v>0</v>
      </c>
      <c r="CQ269" t="s">
        <v>1378</v>
      </c>
      <c r="CR269" t="s">
        <v>1377</v>
      </c>
      <c r="CS269" t="s">
        <v>1451</v>
      </c>
      <c r="CT269" t="s">
        <v>1724</v>
      </c>
      <c r="CU269" t="s">
        <v>1742</v>
      </c>
      <c r="CV269" t="s">
        <v>1810</v>
      </c>
      <c r="DB269" t="s">
        <v>1794</v>
      </c>
      <c r="DE269" t="s">
        <v>1724</v>
      </c>
    </row>
    <row r="270" spans="1:109" x14ac:dyDescent="0.25">
      <c r="A270" t="s">
        <v>1378</v>
      </c>
      <c r="B270">
        <v>1</v>
      </c>
      <c r="C270" s="56">
        <v>42640</v>
      </c>
      <c r="D270" t="s">
        <v>1449</v>
      </c>
      <c r="E270" t="s">
        <v>2164</v>
      </c>
      <c r="G270" t="s">
        <v>1144</v>
      </c>
      <c r="H270" t="s">
        <v>1144</v>
      </c>
      <c r="I270" t="s">
        <v>1144</v>
      </c>
      <c r="J270" t="s">
        <v>1144</v>
      </c>
      <c r="K270" t="s">
        <v>1144</v>
      </c>
      <c r="L270">
        <v>304.36</v>
      </c>
      <c r="M270">
        <v>2</v>
      </c>
      <c r="N270">
        <v>0</v>
      </c>
      <c r="O270" s="56"/>
      <c r="P270" s="56"/>
      <c r="Q270">
        <v>13718</v>
      </c>
      <c r="R270">
        <v>9</v>
      </c>
      <c r="S270">
        <v>4</v>
      </c>
      <c r="T270">
        <v>2</v>
      </c>
      <c r="U270">
        <v>2</v>
      </c>
      <c r="V270">
        <v>1</v>
      </c>
      <c r="X270" t="s">
        <v>2386</v>
      </c>
      <c r="AA270">
        <v>0</v>
      </c>
      <c r="AB270">
        <v>0</v>
      </c>
      <c r="AC270">
        <v>0</v>
      </c>
      <c r="AD270">
        <v>0</v>
      </c>
      <c r="AE270">
        <v>0</v>
      </c>
      <c r="AF270">
        <v>0</v>
      </c>
      <c r="AG270">
        <v>0</v>
      </c>
      <c r="AJ270" s="56"/>
      <c r="AK270" s="56"/>
      <c r="AL270" s="56"/>
      <c r="AM270">
        <v>1</v>
      </c>
      <c r="AP270" t="s">
        <v>1450</v>
      </c>
      <c r="AS270" t="s">
        <v>1152</v>
      </c>
      <c r="AT270">
        <v>1</v>
      </c>
      <c r="AV270">
        <v>1</v>
      </c>
      <c r="AW270">
        <v>1</v>
      </c>
      <c r="AX270">
        <v>0.5</v>
      </c>
      <c r="AY270" t="s">
        <v>1147</v>
      </c>
      <c r="AZ270" t="s">
        <v>1147</v>
      </c>
      <c r="BA270">
        <v>1</v>
      </c>
      <c r="BD270">
        <v>1000000000</v>
      </c>
      <c r="BE270">
        <v>2</v>
      </c>
      <c r="BF270">
        <v>-1</v>
      </c>
      <c r="BG270">
        <v>0</v>
      </c>
      <c r="BH270">
        <v>0</v>
      </c>
      <c r="BI270">
        <v>0</v>
      </c>
      <c r="BJ270">
        <v>0</v>
      </c>
      <c r="BK270">
        <v>0</v>
      </c>
      <c r="BL270">
        <v>0</v>
      </c>
      <c r="BM270">
        <v>2</v>
      </c>
      <c r="BN270">
        <v>-1</v>
      </c>
      <c r="BO270">
        <v>0</v>
      </c>
      <c r="BP270">
        <v>0</v>
      </c>
      <c r="BR270">
        <v>0</v>
      </c>
      <c r="BS270">
        <v>1</v>
      </c>
      <c r="BX270">
        <v>0</v>
      </c>
      <c r="BY270">
        <v>304.36</v>
      </c>
      <c r="BZ270">
        <v>0</v>
      </c>
      <c r="CA270">
        <v>-11.92</v>
      </c>
      <c r="CC270">
        <v>1</v>
      </c>
      <c r="CD270" s="56">
        <v>42593</v>
      </c>
      <c r="CE270" s="56">
        <v>42612</v>
      </c>
      <c r="CF270" s="56">
        <v>42612</v>
      </c>
      <c r="CG270" s="56">
        <v>42640</v>
      </c>
      <c r="CH270" s="56"/>
      <c r="CI270" s="56"/>
      <c r="CJ270">
        <v>0</v>
      </c>
      <c r="CK270">
        <v>0</v>
      </c>
      <c r="CL270">
        <v>0</v>
      </c>
      <c r="CM270">
        <v>0</v>
      </c>
      <c r="CN270">
        <v>0</v>
      </c>
      <c r="CO270">
        <v>0</v>
      </c>
      <c r="CP270">
        <v>0.71</v>
      </c>
      <c r="CQ270" t="s">
        <v>1378</v>
      </c>
      <c r="CR270" t="s">
        <v>1377</v>
      </c>
      <c r="CS270" t="s">
        <v>1451</v>
      </c>
      <c r="CT270" t="s">
        <v>1724</v>
      </c>
      <c r="CU270" t="s">
        <v>1742</v>
      </c>
      <c r="CV270" t="s">
        <v>2159</v>
      </c>
      <c r="DB270" t="s">
        <v>2161</v>
      </c>
      <c r="DE270" t="s">
        <v>1724</v>
      </c>
    </row>
    <row r="271" spans="1:109" x14ac:dyDescent="0.25">
      <c r="A271" t="s">
        <v>1378</v>
      </c>
      <c r="B271">
        <v>1</v>
      </c>
      <c r="C271" s="56">
        <v>42640</v>
      </c>
      <c r="D271" t="s">
        <v>1449</v>
      </c>
      <c r="E271" t="s">
        <v>1854</v>
      </c>
      <c r="G271" t="s">
        <v>1144</v>
      </c>
      <c r="H271" t="s">
        <v>1144</v>
      </c>
      <c r="I271" t="s">
        <v>1144</v>
      </c>
      <c r="J271" t="s">
        <v>1144</v>
      </c>
      <c r="K271" t="s">
        <v>1144</v>
      </c>
      <c r="L271">
        <v>631.47</v>
      </c>
      <c r="M271">
        <v>1059.4100000000001</v>
      </c>
      <c r="N271">
        <v>0</v>
      </c>
      <c r="O271" s="56"/>
      <c r="P271" s="56"/>
      <c r="Q271">
        <v>13718</v>
      </c>
      <c r="R271">
        <v>9</v>
      </c>
      <c r="S271">
        <v>4</v>
      </c>
      <c r="T271">
        <v>2</v>
      </c>
      <c r="U271">
        <v>2</v>
      </c>
      <c r="V271">
        <v>1</v>
      </c>
      <c r="W271" t="s">
        <v>2379</v>
      </c>
      <c r="X271" t="s">
        <v>2386</v>
      </c>
      <c r="AA271">
        <v>0</v>
      </c>
      <c r="AB271">
        <v>0</v>
      </c>
      <c r="AC271">
        <v>0</v>
      </c>
      <c r="AD271">
        <v>0</v>
      </c>
      <c r="AE271">
        <v>0</v>
      </c>
      <c r="AF271">
        <v>0</v>
      </c>
      <c r="AG271">
        <v>0</v>
      </c>
      <c r="AJ271" s="56"/>
      <c r="AK271" s="56">
        <v>42369</v>
      </c>
      <c r="AL271" s="56"/>
      <c r="AM271">
        <v>3</v>
      </c>
      <c r="AP271" t="s">
        <v>1450</v>
      </c>
      <c r="AS271" t="s">
        <v>1152</v>
      </c>
      <c r="AT271">
        <v>1</v>
      </c>
      <c r="AV271">
        <v>3</v>
      </c>
      <c r="AW271">
        <v>2</v>
      </c>
      <c r="AX271">
        <v>1</v>
      </c>
      <c r="AY271" t="s">
        <v>1148</v>
      </c>
      <c r="AZ271" t="s">
        <v>1148</v>
      </c>
      <c r="BA271">
        <v>3</v>
      </c>
      <c r="BD271">
        <v>1000000000</v>
      </c>
      <c r="BE271">
        <v>3</v>
      </c>
      <c r="BF271">
        <v>0</v>
      </c>
      <c r="BG271">
        <v>0</v>
      </c>
      <c r="BH271">
        <v>0</v>
      </c>
      <c r="BI271">
        <v>0</v>
      </c>
      <c r="BJ271">
        <v>0</v>
      </c>
      <c r="BK271">
        <v>0</v>
      </c>
      <c r="BL271">
        <v>0</v>
      </c>
      <c r="BM271">
        <v>3</v>
      </c>
      <c r="BN271">
        <v>0</v>
      </c>
      <c r="BO271">
        <v>0</v>
      </c>
      <c r="BP271">
        <v>0</v>
      </c>
      <c r="BR271">
        <v>0</v>
      </c>
      <c r="BS271">
        <v>2</v>
      </c>
      <c r="BX271">
        <v>0</v>
      </c>
      <c r="BY271">
        <v>0</v>
      </c>
      <c r="BZ271">
        <v>0</v>
      </c>
      <c r="CA271">
        <v>8.1300000000000008</v>
      </c>
      <c r="CC271">
        <v>1</v>
      </c>
      <c r="CD271" s="56">
        <v>42593</v>
      </c>
      <c r="CE271" s="56">
        <v>42612</v>
      </c>
      <c r="CF271" s="56">
        <v>42612</v>
      </c>
      <c r="CG271" s="56">
        <v>42640</v>
      </c>
      <c r="CH271" s="56"/>
      <c r="CI271" s="56"/>
      <c r="CJ271">
        <v>0</v>
      </c>
      <c r="CK271">
        <v>0</v>
      </c>
      <c r="CL271">
        <v>0</v>
      </c>
      <c r="CM271">
        <v>0</v>
      </c>
      <c r="CN271">
        <v>0</v>
      </c>
      <c r="CO271">
        <v>0.71</v>
      </c>
      <c r="CP271">
        <v>0</v>
      </c>
      <c r="CQ271" t="s">
        <v>1378</v>
      </c>
      <c r="CR271" t="s">
        <v>1377</v>
      </c>
      <c r="CS271" t="s">
        <v>1451</v>
      </c>
      <c r="CT271" t="s">
        <v>1724</v>
      </c>
      <c r="CU271" t="s">
        <v>1742</v>
      </c>
      <c r="CV271" t="s">
        <v>1855</v>
      </c>
      <c r="DB271" t="s">
        <v>1847</v>
      </c>
      <c r="DE271" t="s">
        <v>1724</v>
      </c>
    </row>
    <row r="272" spans="1:109" x14ac:dyDescent="0.25">
      <c r="A272" t="s">
        <v>1378</v>
      </c>
      <c r="B272">
        <v>1</v>
      </c>
      <c r="C272" s="56">
        <v>42640</v>
      </c>
      <c r="D272" t="s">
        <v>1449</v>
      </c>
      <c r="E272" t="s">
        <v>2207</v>
      </c>
      <c r="G272" t="s">
        <v>1144</v>
      </c>
      <c r="H272" t="s">
        <v>1144</v>
      </c>
      <c r="I272" t="s">
        <v>1144</v>
      </c>
      <c r="J272" t="s">
        <v>1144</v>
      </c>
      <c r="K272" t="s">
        <v>1144</v>
      </c>
      <c r="L272">
        <v>447.47</v>
      </c>
      <c r="M272">
        <v>2</v>
      </c>
      <c r="N272">
        <v>0</v>
      </c>
      <c r="O272" s="56"/>
      <c r="P272" s="56"/>
      <c r="Q272">
        <v>13718</v>
      </c>
      <c r="R272">
        <v>9</v>
      </c>
      <c r="S272">
        <v>4</v>
      </c>
      <c r="T272">
        <v>2</v>
      </c>
      <c r="U272">
        <v>2</v>
      </c>
      <c r="V272">
        <v>1</v>
      </c>
      <c r="X272" t="s">
        <v>2386</v>
      </c>
      <c r="AA272">
        <v>0</v>
      </c>
      <c r="AB272">
        <v>0</v>
      </c>
      <c r="AC272">
        <v>0</v>
      </c>
      <c r="AD272">
        <v>0</v>
      </c>
      <c r="AE272">
        <v>0</v>
      </c>
      <c r="AF272">
        <v>0</v>
      </c>
      <c r="AG272">
        <v>0</v>
      </c>
      <c r="AJ272" s="56"/>
      <c r="AK272" s="56">
        <v>42369</v>
      </c>
      <c r="AL272" s="56"/>
      <c r="AM272">
        <v>1</v>
      </c>
      <c r="AP272" t="s">
        <v>1450</v>
      </c>
      <c r="AS272" t="s">
        <v>1152</v>
      </c>
      <c r="AT272">
        <v>1</v>
      </c>
      <c r="AV272">
        <v>1</v>
      </c>
      <c r="AW272">
        <v>1</v>
      </c>
      <c r="AX272">
        <v>0.5</v>
      </c>
      <c r="AY272" t="s">
        <v>1147</v>
      </c>
      <c r="AZ272" t="s">
        <v>1147</v>
      </c>
      <c r="BA272">
        <v>1</v>
      </c>
      <c r="BD272">
        <v>1000000000</v>
      </c>
      <c r="BE272">
        <v>2</v>
      </c>
      <c r="BF272">
        <v>-1</v>
      </c>
      <c r="BG272">
        <v>0</v>
      </c>
      <c r="BH272">
        <v>0</v>
      </c>
      <c r="BI272">
        <v>0</v>
      </c>
      <c r="BJ272">
        <v>0</v>
      </c>
      <c r="BK272">
        <v>0</v>
      </c>
      <c r="BL272">
        <v>0</v>
      </c>
      <c r="BM272">
        <v>2</v>
      </c>
      <c r="BN272">
        <v>-1</v>
      </c>
      <c r="BO272">
        <v>0</v>
      </c>
      <c r="BP272">
        <v>0</v>
      </c>
      <c r="BR272">
        <v>0</v>
      </c>
      <c r="BS272">
        <v>1</v>
      </c>
      <c r="BX272">
        <v>0</v>
      </c>
      <c r="BY272">
        <v>447.47</v>
      </c>
      <c r="BZ272">
        <v>0</v>
      </c>
      <c r="CA272">
        <v>-11.95</v>
      </c>
      <c r="CC272">
        <v>1</v>
      </c>
      <c r="CD272" s="56">
        <v>42593</v>
      </c>
      <c r="CE272" s="56">
        <v>42612</v>
      </c>
      <c r="CF272" s="56">
        <v>42612</v>
      </c>
      <c r="CG272" s="56">
        <v>42640</v>
      </c>
      <c r="CH272" s="56"/>
      <c r="CI272" s="56"/>
      <c r="CJ272">
        <v>0</v>
      </c>
      <c r="CK272">
        <v>0</v>
      </c>
      <c r="CL272">
        <v>0</v>
      </c>
      <c r="CM272">
        <v>0</v>
      </c>
      <c r="CN272">
        <v>0</v>
      </c>
      <c r="CO272">
        <v>0</v>
      </c>
      <c r="CP272">
        <v>0.71</v>
      </c>
      <c r="CQ272" t="s">
        <v>1378</v>
      </c>
      <c r="CR272" t="s">
        <v>1377</v>
      </c>
      <c r="CS272" t="s">
        <v>1451</v>
      </c>
      <c r="CT272" t="s">
        <v>1724</v>
      </c>
      <c r="CU272" t="s">
        <v>1742</v>
      </c>
      <c r="CV272" t="s">
        <v>2206</v>
      </c>
      <c r="DB272" t="s">
        <v>2161</v>
      </c>
      <c r="DE272" t="s">
        <v>1724</v>
      </c>
    </row>
    <row r="273" spans="1:109" x14ac:dyDescent="0.25">
      <c r="A273" t="s">
        <v>1378</v>
      </c>
      <c r="B273">
        <v>1</v>
      </c>
      <c r="C273" s="56">
        <v>42640</v>
      </c>
      <c r="D273" t="s">
        <v>1449</v>
      </c>
      <c r="E273" t="s">
        <v>1905</v>
      </c>
      <c r="G273" t="s">
        <v>1144</v>
      </c>
      <c r="H273" t="s">
        <v>1144</v>
      </c>
      <c r="I273" t="s">
        <v>1144</v>
      </c>
      <c r="J273" t="s">
        <v>1144</v>
      </c>
      <c r="K273" t="s">
        <v>1144</v>
      </c>
      <c r="L273">
        <v>0</v>
      </c>
      <c r="M273">
        <v>717.51</v>
      </c>
      <c r="N273">
        <v>0</v>
      </c>
      <c r="O273" s="56"/>
      <c r="P273" s="56"/>
      <c r="Q273">
        <v>13718</v>
      </c>
      <c r="R273">
        <v>9</v>
      </c>
      <c r="S273">
        <v>4</v>
      </c>
      <c r="T273">
        <v>2</v>
      </c>
      <c r="U273">
        <v>2</v>
      </c>
      <c r="V273">
        <v>1</v>
      </c>
      <c r="X273" t="s">
        <v>2386</v>
      </c>
      <c r="AA273">
        <v>0</v>
      </c>
      <c r="AB273">
        <v>0</v>
      </c>
      <c r="AC273">
        <v>0</v>
      </c>
      <c r="AD273">
        <v>0</v>
      </c>
      <c r="AE273">
        <v>0</v>
      </c>
      <c r="AF273">
        <v>0</v>
      </c>
      <c r="AG273">
        <v>0</v>
      </c>
      <c r="AJ273" s="56"/>
      <c r="AK273" s="56"/>
      <c r="AL273" s="56"/>
      <c r="AP273" t="s">
        <v>1450</v>
      </c>
      <c r="AS273" t="s">
        <v>1152</v>
      </c>
      <c r="AT273">
        <v>1</v>
      </c>
      <c r="AV273">
        <v>0</v>
      </c>
      <c r="AW273">
        <v>0</v>
      </c>
      <c r="AX273">
        <v>0</v>
      </c>
      <c r="AY273" t="s">
        <v>1375</v>
      </c>
      <c r="AZ273" t="s">
        <v>1375</v>
      </c>
      <c r="BA273">
        <v>0</v>
      </c>
      <c r="BD273">
        <v>1000000000</v>
      </c>
      <c r="BE273">
        <v>0</v>
      </c>
      <c r="BF273">
        <v>0</v>
      </c>
      <c r="BG273">
        <v>0</v>
      </c>
      <c r="BH273">
        <v>0</v>
      </c>
      <c r="BI273">
        <v>0</v>
      </c>
      <c r="BJ273">
        <v>0</v>
      </c>
      <c r="BK273">
        <v>0</v>
      </c>
      <c r="BL273">
        <v>0</v>
      </c>
      <c r="BM273">
        <v>0</v>
      </c>
      <c r="BN273">
        <v>0</v>
      </c>
      <c r="BO273">
        <v>0</v>
      </c>
      <c r="BP273">
        <v>0</v>
      </c>
      <c r="BR273">
        <v>0</v>
      </c>
      <c r="BS273">
        <v>0</v>
      </c>
      <c r="BX273">
        <v>0</v>
      </c>
      <c r="BY273">
        <v>0</v>
      </c>
      <c r="BZ273">
        <v>0</v>
      </c>
      <c r="CA273">
        <v>0</v>
      </c>
      <c r="CC273">
        <v>1</v>
      </c>
      <c r="CD273" s="56">
        <v>42593</v>
      </c>
      <c r="CE273" s="56">
        <v>42612</v>
      </c>
      <c r="CF273" s="56">
        <v>42612</v>
      </c>
      <c r="CG273" s="56">
        <v>42640</v>
      </c>
      <c r="CH273" s="56"/>
      <c r="CI273" s="56"/>
      <c r="CJ273">
        <v>1</v>
      </c>
      <c r="CK273">
        <v>0</v>
      </c>
      <c r="CL273">
        <v>0.71</v>
      </c>
      <c r="CM273">
        <v>0</v>
      </c>
      <c r="CN273">
        <v>0</v>
      </c>
      <c r="CO273">
        <v>0</v>
      </c>
      <c r="CP273">
        <v>0</v>
      </c>
      <c r="CQ273" t="s">
        <v>1378</v>
      </c>
      <c r="CR273" t="s">
        <v>1377</v>
      </c>
      <c r="CS273" t="s">
        <v>1451</v>
      </c>
      <c r="CT273" t="s">
        <v>1724</v>
      </c>
      <c r="CU273" t="s">
        <v>1742</v>
      </c>
      <c r="CV273" t="s">
        <v>1906</v>
      </c>
      <c r="DB273" t="s">
        <v>1888</v>
      </c>
      <c r="DE273" t="s">
        <v>1724</v>
      </c>
    </row>
    <row r="274" spans="1:109" x14ac:dyDescent="0.25">
      <c r="A274" t="s">
        <v>1378</v>
      </c>
      <c r="B274">
        <v>1</v>
      </c>
      <c r="C274" s="56">
        <v>42640</v>
      </c>
      <c r="D274" t="s">
        <v>1449</v>
      </c>
      <c r="E274" t="s">
        <v>2252</v>
      </c>
      <c r="G274" t="s">
        <v>1144</v>
      </c>
      <c r="H274" t="s">
        <v>1144</v>
      </c>
      <c r="I274" t="s">
        <v>1144</v>
      </c>
      <c r="J274" t="s">
        <v>1144</v>
      </c>
      <c r="K274" t="s">
        <v>1144</v>
      </c>
      <c r="L274">
        <v>548.24</v>
      </c>
      <c r="M274">
        <v>2</v>
      </c>
      <c r="N274">
        <v>0</v>
      </c>
      <c r="O274" s="56"/>
      <c r="P274" s="56"/>
      <c r="Q274">
        <v>13718</v>
      </c>
      <c r="R274">
        <v>9</v>
      </c>
      <c r="S274">
        <v>4</v>
      </c>
      <c r="T274">
        <v>2</v>
      </c>
      <c r="U274">
        <v>2</v>
      </c>
      <c r="V274">
        <v>1</v>
      </c>
      <c r="W274" t="s">
        <v>2379</v>
      </c>
      <c r="X274" t="s">
        <v>2386</v>
      </c>
      <c r="AA274">
        <v>0</v>
      </c>
      <c r="AB274">
        <v>0</v>
      </c>
      <c r="AC274">
        <v>0</v>
      </c>
      <c r="AD274">
        <v>0</v>
      </c>
      <c r="AE274">
        <v>0</v>
      </c>
      <c r="AF274">
        <v>0</v>
      </c>
      <c r="AG274">
        <v>0</v>
      </c>
      <c r="AJ274" s="56"/>
      <c r="AK274" s="56">
        <v>42369</v>
      </c>
      <c r="AL274" s="56"/>
      <c r="AM274">
        <v>1</v>
      </c>
      <c r="AP274" t="s">
        <v>1450</v>
      </c>
      <c r="AS274" t="s">
        <v>1152</v>
      </c>
      <c r="AT274">
        <v>1</v>
      </c>
      <c r="AV274">
        <v>1</v>
      </c>
      <c r="AW274">
        <v>1</v>
      </c>
      <c r="AX274">
        <v>0.5</v>
      </c>
      <c r="AY274" t="s">
        <v>1145</v>
      </c>
      <c r="AZ274" t="s">
        <v>1145</v>
      </c>
      <c r="BA274">
        <v>1</v>
      </c>
      <c r="BD274">
        <v>1000000000</v>
      </c>
      <c r="BE274">
        <v>1</v>
      </c>
      <c r="BF274">
        <v>0</v>
      </c>
      <c r="BG274">
        <v>0</v>
      </c>
      <c r="BH274">
        <v>0</v>
      </c>
      <c r="BI274">
        <v>0</v>
      </c>
      <c r="BJ274">
        <v>0</v>
      </c>
      <c r="BK274">
        <v>0</v>
      </c>
      <c r="BL274">
        <v>0</v>
      </c>
      <c r="BM274">
        <v>1</v>
      </c>
      <c r="BN274">
        <v>0</v>
      </c>
      <c r="BO274">
        <v>0</v>
      </c>
      <c r="BP274">
        <v>0</v>
      </c>
      <c r="BR274">
        <v>0</v>
      </c>
      <c r="BS274">
        <v>1</v>
      </c>
      <c r="BX274">
        <v>0</v>
      </c>
      <c r="BY274">
        <v>0</v>
      </c>
      <c r="BZ274">
        <v>0</v>
      </c>
      <c r="CA274">
        <v>-11.96</v>
      </c>
      <c r="CC274">
        <v>1</v>
      </c>
      <c r="CD274" s="56">
        <v>42593</v>
      </c>
      <c r="CE274" s="56">
        <v>42612</v>
      </c>
      <c r="CF274" s="56">
        <v>42612</v>
      </c>
      <c r="CG274" s="56">
        <v>42640</v>
      </c>
      <c r="CH274" s="56"/>
      <c r="CI274" s="56"/>
      <c r="CJ274">
        <v>0</v>
      </c>
      <c r="CK274">
        <v>0</v>
      </c>
      <c r="CL274">
        <v>0</v>
      </c>
      <c r="CM274">
        <v>0</v>
      </c>
      <c r="CN274">
        <v>0.71</v>
      </c>
      <c r="CO274">
        <v>0</v>
      </c>
      <c r="CP274">
        <v>0</v>
      </c>
      <c r="CQ274" t="s">
        <v>1378</v>
      </c>
      <c r="CR274" t="s">
        <v>1377</v>
      </c>
      <c r="CS274" t="s">
        <v>1451</v>
      </c>
      <c r="CT274" t="s">
        <v>1724</v>
      </c>
      <c r="CU274" t="s">
        <v>1742</v>
      </c>
      <c r="CV274" t="s">
        <v>2253</v>
      </c>
      <c r="DB274" t="s">
        <v>2134</v>
      </c>
      <c r="DE274" t="s">
        <v>1724</v>
      </c>
    </row>
    <row r="275" spans="1:109" x14ac:dyDescent="0.25">
      <c r="A275" t="s">
        <v>1378</v>
      </c>
      <c r="B275">
        <v>1</v>
      </c>
      <c r="C275" s="56">
        <v>42640</v>
      </c>
      <c r="D275" t="s">
        <v>1449</v>
      </c>
      <c r="E275" t="s">
        <v>1412</v>
      </c>
      <c r="G275" t="s">
        <v>1144</v>
      </c>
      <c r="H275" t="s">
        <v>1144</v>
      </c>
      <c r="I275" t="s">
        <v>1144</v>
      </c>
      <c r="J275" t="s">
        <v>1144</v>
      </c>
      <c r="K275" t="s">
        <v>1144</v>
      </c>
      <c r="L275">
        <v>345.35</v>
      </c>
      <c r="M275">
        <v>1020.89</v>
      </c>
      <c r="N275">
        <v>0</v>
      </c>
      <c r="O275" s="56"/>
      <c r="P275" s="56"/>
      <c r="Q275">
        <v>13718</v>
      </c>
      <c r="R275">
        <v>9</v>
      </c>
      <c r="S275">
        <v>4</v>
      </c>
      <c r="T275">
        <v>2</v>
      </c>
      <c r="U275">
        <v>2</v>
      </c>
      <c r="V275">
        <v>1</v>
      </c>
      <c r="W275" t="s">
        <v>1376</v>
      </c>
      <c r="X275" t="s">
        <v>2385</v>
      </c>
      <c r="AA275">
        <v>0.12</v>
      </c>
      <c r="AB275">
        <v>1</v>
      </c>
      <c r="AC275">
        <v>4.17</v>
      </c>
      <c r="AD275">
        <v>4.17</v>
      </c>
      <c r="AE275">
        <v>0</v>
      </c>
      <c r="AF275">
        <v>0</v>
      </c>
      <c r="AG275">
        <v>0</v>
      </c>
      <c r="AJ275" s="56">
        <v>42666</v>
      </c>
      <c r="AK275" s="56">
        <v>42369</v>
      </c>
      <c r="AL275" s="56"/>
      <c r="AM275">
        <v>5</v>
      </c>
      <c r="AP275" t="s">
        <v>1450</v>
      </c>
      <c r="AS275" t="s">
        <v>1152</v>
      </c>
      <c r="AT275">
        <v>1</v>
      </c>
      <c r="AV275">
        <v>2</v>
      </c>
      <c r="AW275">
        <v>2</v>
      </c>
      <c r="AX275">
        <v>1</v>
      </c>
      <c r="AY275" t="s">
        <v>1145</v>
      </c>
      <c r="AZ275" t="s">
        <v>1145</v>
      </c>
      <c r="BA275">
        <v>5</v>
      </c>
      <c r="BD275">
        <v>1000000000</v>
      </c>
      <c r="BE275">
        <v>2</v>
      </c>
      <c r="BF275">
        <v>0</v>
      </c>
      <c r="BG275">
        <v>0</v>
      </c>
      <c r="BH275">
        <v>0</v>
      </c>
      <c r="BI275">
        <v>0</v>
      </c>
      <c r="BJ275">
        <v>0</v>
      </c>
      <c r="BK275">
        <v>0</v>
      </c>
      <c r="BL275">
        <v>0</v>
      </c>
      <c r="BM275">
        <v>2</v>
      </c>
      <c r="BN275">
        <v>0</v>
      </c>
      <c r="BO275">
        <v>0</v>
      </c>
      <c r="BP275">
        <v>0</v>
      </c>
      <c r="BR275">
        <v>0</v>
      </c>
      <c r="BS275">
        <v>1</v>
      </c>
      <c r="BX275">
        <v>0</v>
      </c>
      <c r="BY275">
        <v>0</v>
      </c>
      <c r="BZ275">
        <v>0</v>
      </c>
      <c r="CA275">
        <v>23.47</v>
      </c>
      <c r="CC275">
        <v>1</v>
      </c>
      <c r="CD275" s="56">
        <v>42619</v>
      </c>
      <c r="CE275" s="56">
        <v>42619</v>
      </c>
      <c r="CF275" s="56">
        <v>42619</v>
      </c>
      <c r="CG275" s="56">
        <v>42647</v>
      </c>
      <c r="CH275" s="56"/>
      <c r="CI275" s="56"/>
      <c r="CJ275">
        <v>0.2</v>
      </c>
      <c r="CK275">
        <v>0</v>
      </c>
      <c r="CL275">
        <v>0</v>
      </c>
      <c r="CM275">
        <v>0</v>
      </c>
      <c r="CN275">
        <v>0.5</v>
      </c>
      <c r="CO275">
        <v>0</v>
      </c>
      <c r="CP275">
        <v>0.15</v>
      </c>
      <c r="CQ275" t="s">
        <v>1378</v>
      </c>
      <c r="CR275" t="s">
        <v>1377</v>
      </c>
      <c r="CS275" t="s">
        <v>1451</v>
      </c>
      <c r="CT275" t="s">
        <v>1724</v>
      </c>
      <c r="CU275" t="s">
        <v>1742</v>
      </c>
      <c r="CV275" t="s">
        <v>1967</v>
      </c>
      <c r="DB275" t="s">
        <v>1962</v>
      </c>
      <c r="DE275" t="s">
        <v>1724</v>
      </c>
    </row>
    <row r="276" spans="1:109" x14ac:dyDescent="0.25">
      <c r="A276" t="s">
        <v>1378</v>
      </c>
      <c r="B276">
        <v>1</v>
      </c>
      <c r="C276" s="56">
        <v>42640</v>
      </c>
      <c r="D276" t="s">
        <v>1449</v>
      </c>
      <c r="E276" t="s">
        <v>2307</v>
      </c>
      <c r="G276" t="s">
        <v>1144</v>
      </c>
      <c r="H276" t="s">
        <v>1144</v>
      </c>
      <c r="I276" t="s">
        <v>1144</v>
      </c>
      <c r="J276" t="s">
        <v>1144</v>
      </c>
      <c r="K276" t="s">
        <v>1144</v>
      </c>
      <c r="L276">
        <v>418.06</v>
      </c>
      <c r="M276">
        <v>2</v>
      </c>
      <c r="N276">
        <v>0</v>
      </c>
      <c r="O276" s="56"/>
      <c r="P276" s="56"/>
      <c r="Q276">
        <v>13718</v>
      </c>
      <c r="R276">
        <v>9</v>
      </c>
      <c r="S276">
        <v>4</v>
      </c>
      <c r="T276">
        <v>2</v>
      </c>
      <c r="U276">
        <v>2</v>
      </c>
      <c r="V276">
        <v>1</v>
      </c>
      <c r="X276" t="s">
        <v>2385</v>
      </c>
      <c r="AA276">
        <v>0</v>
      </c>
      <c r="AB276">
        <v>0</v>
      </c>
      <c r="AC276">
        <v>0</v>
      </c>
      <c r="AD276">
        <v>0</v>
      </c>
      <c r="AE276">
        <v>0</v>
      </c>
      <c r="AF276">
        <v>0</v>
      </c>
      <c r="AG276">
        <v>0</v>
      </c>
      <c r="AJ276" s="56"/>
      <c r="AK276" s="56"/>
      <c r="AL276" s="56"/>
      <c r="AM276">
        <v>1</v>
      </c>
      <c r="AP276" t="s">
        <v>1450</v>
      </c>
      <c r="AS276" t="s">
        <v>1152</v>
      </c>
      <c r="AT276">
        <v>1</v>
      </c>
      <c r="AV276">
        <v>2</v>
      </c>
      <c r="AW276">
        <v>2</v>
      </c>
      <c r="AX276">
        <v>1</v>
      </c>
      <c r="AY276" t="s">
        <v>1147</v>
      </c>
      <c r="AZ276" t="s">
        <v>1147</v>
      </c>
      <c r="BA276">
        <v>4</v>
      </c>
      <c r="BD276">
        <v>1000000000</v>
      </c>
      <c r="BE276">
        <v>3</v>
      </c>
      <c r="BF276">
        <v>-0.5</v>
      </c>
      <c r="BG276">
        <v>0</v>
      </c>
      <c r="BH276">
        <v>0</v>
      </c>
      <c r="BI276">
        <v>0</v>
      </c>
      <c r="BJ276">
        <v>0</v>
      </c>
      <c r="BK276">
        <v>0</v>
      </c>
      <c r="BL276">
        <v>0</v>
      </c>
      <c r="BM276">
        <v>3</v>
      </c>
      <c r="BN276">
        <v>-0.5</v>
      </c>
      <c r="BO276">
        <v>0</v>
      </c>
      <c r="BP276">
        <v>0</v>
      </c>
      <c r="BR276">
        <v>0</v>
      </c>
      <c r="BS276">
        <v>1</v>
      </c>
      <c r="BX276">
        <v>0</v>
      </c>
      <c r="BY276">
        <v>418.06</v>
      </c>
      <c r="BZ276">
        <v>0</v>
      </c>
      <c r="CA276">
        <v>-11.94</v>
      </c>
      <c r="CC276">
        <v>1</v>
      </c>
      <c r="CD276" s="56">
        <v>42619</v>
      </c>
      <c r="CE276" s="56">
        <v>42619</v>
      </c>
      <c r="CF276" s="56">
        <v>42619</v>
      </c>
      <c r="CG276" s="56">
        <v>42647</v>
      </c>
      <c r="CH276" s="56"/>
      <c r="CI276" s="56"/>
      <c r="CJ276">
        <v>0</v>
      </c>
      <c r="CK276">
        <v>0</v>
      </c>
      <c r="CL276">
        <v>0</v>
      </c>
      <c r="CM276">
        <v>0</v>
      </c>
      <c r="CN276">
        <v>0</v>
      </c>
      <c r="CO276">
        <v>0</v>
      </c>
      <c r="CP276">
        <v>0.65</v>
      </c>
      <c r="CQ276" t="s">
        <v>1378</v>
      </c>
      <c r="CR276" t="s">
        <v>1377</v>
      </c>
      <c r="CS276" t="s">
        <v>1451</v>
      </c>
      <c r="CT276" t="s">
        <v>1724</v>
      </c>
      <c r="CU276" t="s">
        <v>1742</v>
      </c>
      <c r="CV276" t="s">
        <v>2308</v>
      </c>
      <c r="DB276" t="s">
        <v>2309</v>
      </c>
      <c r="DE276" t="s">
        <v>1724</v>
      </c>
    </row>
    <row r="277" spans="1:109" x14ac:dyDescent="0.25">
      <c r="A277" t="s">
        <v>1378</v>
      </c>
      <c r="B277">
        <v>1</v>
      </c>
      <c r="C277" s="56">
        <v>42640</v>
      </c>
      <c r="D277" t="s">
        <v>1449</v>
      </c>
      <c r="E277" t="s">
        <v>1737</v>
      </c>
      <c r="G277" t="s">
        <v>1144</v>
      </c>
      <c r="H277" t="s">
        <v>1144</v>
      </c>
      <c r="I277" t="s">
        <v>1144</v>
      </c>
      <c r="J277" t="s">
        <v>1144</v>
      </c>
      <c r="K277" t="s">
        <v>1144</v>
      </c>
      <c r="L277">
        <v>175.91</v>
      </c>
      <c r="M277">
        <v>2</v>
      </c>
      <c r="N277">
        <v>0</v>
      </c>
      <c r="O277" s="56"/>
      <c r="P277" s="56"/>
      <c r="Q277">
        <v>13718</v>
      </c>
      <c r="R277">
        <v>9</v>
      </c>
      <c r="S277">
        <v>4</v>
      </c>
      <c r="T277">
        <v>2</v>
      </c>
      <c r="U277">
        <v>2</v>
      </c>
      <c r="V277">
        <v>1</v>
      </c>
      <c r="W277" t="s">
        <v>1376</v>
      </c>
      <c r="X277" t="s">
        <v>2385</v>
      </c>
      <c r="AA277">
        <v>0</v>
      </c>
      <c r="AB277">
        <v>0</v>
      </c>
      <c r="AC277">
        <v>0</v>
      </c>
      <c r="AD277">
        <v>0</v>
      </c>
      <c r="AE277">
        <v>0</v>
      </c>
      <c r="AF277">
        <v>0</v>
      </c>
      <c r="AG277">
        <v>0</v>
      </c>
      <c r="AJ277" s="56"/>
      <c r="AK277" s="56">
        <v>42369</v>
      </c>
      <c r="AL277" s="56"/>
      <c r="AM277">
        <v>1</v>
      </c>
      <c r="AP277" t="s">
        <v>1450</v>
      </c>
      <c r="AS277" t="s">
        <v>1152</v>
      </c>
      <c r="AT277">
        <v>1</v>
      </c>
      <c r="AV277">
        <v>2</v>
      </c>
      <c r="AW277">
        <v>2</v>
      </c>
      <c r="AX277">
        <v>1</v>
      </c>
      <c r="AY277" t="s">
        <v>1145</v>
      </c>
      <c r="AZ277" t="s">
        <v>1145</v>
      </c>
      <c r="BA277">
        <v>1</v>
      </c>
      <c r="BD277">
        <v>1000000000</v>
      </c>
      <c r="BE277">
        <v>2</v>
      </c>
      <c r="BF277">
        <v>0</v>
      </c>
      <c r="BG277">
        <v>0</v>
      </c>
      <c r="BH277">
        <v>0</v>
      </c>
      <c r="BI277">
        <v>0</v>
      </c>
      <c r="BJ277">
        <v>0</v>
      </c>
      <c r="BK277">
        <v>0</v>
      </c>
      <c r="BL277">
        <v>0</v>
      </c>
      <c r="BM277">
        <v>2</v>
      </c>
      <c r="BN277">
        <v>0</v>
      </c>
      <c r="BO277">
        <v>0</v>
      </c>
      <c r="BP277">
        <v>0</v>
      </c>
      <c r="BR277">
        <v>0</v>
      </c>
      <c r="BS277">
        <v>1</v>
      </c>
      <c r="BX277">
        <v>0</v>
      </c>
      <c r="BY277">
        <v>0</v>
      </c>
      <c r="BZ277">
        <v>0</v>
      </c>
      <c r="CA277">
        <v>-11.86</v>
      </c>
      <c r="CC277">
        <v>1</v>
      </c>
      <c r="CD277" s="56">
        <v>42619</v>
      </c>
      <c r="CE277" s="56">
        <v>42619</v>
      </c>
      <c r="CF277" s="56">
        <v>42619</v>
      </c>
      <c r="CG277" s="56">
        <v>42647</v>
      </c>
      <c r="CH277" s="56"/>
      <c r="CI277" s="56"/>
      <c r="CJ277">
        <v>0</v>
      </c>
      <c r="CK277">
        <v>0</v>
      </c>
      <c r="CL277">
        <v>0</v>
      </c>
      <c r="CM277">
        <v>0</v>
      </c>
      <c r="CN277">
        <v>0.65</v>
      </c>
      <c r="CO277">
        <v>0</v>
      </c>
      <c r="CP277">
        <v>0</v>
      </c>
      <c r="CQ277" t="s">
        <v>1378</v>
      </c>
      <c r="CR277" t="s">
        <v>1377</v>
      </c>
      <c r="CS277" t="s">
        <v>1451</v>
      </c>
      <c r="CT277" t="s">
        <v>1724</v>
      </c>
      <c r="CU277" t="s">
        <v>1742</v>
      </c>
      <c r="CV277" t="s">
        <v>2101</v>
      </c>
      <c r="DB277" t="s">
        <v>2014</v>
      </c>
      <c r="DE277" t="s">
        <v>1724</v>
      </c>
    </row>
    <row r="278" spans="1:109" x14ac:dyDescent="0.25">
      <c r="A278" t="s">
        <v>1378</v>
      </c>
      <c r="B278">
        <v>1</v>
      </c>
      <c r="C278" s="56">
        <v>42640</v>
      </c>
      <c r="D278" t="s">
        <v>1449</v>
      </c>
      <c r="E278" t="s">
        <v>1790</v>
      </c>
      <c r="G278" t="s">
        <v>1144</v>
      </c>
      <c r="H278" t="s">
        <v>1144</v>
      </c>
      <c r="I278" t="s">
        <v>1144</v>
      </c>
      <c r="J278" t="s">
        <v>1144</v>
      </c>
      <c r="K278" t="s">
        <v>1144</v>
      </c>
      <c r="L278">
        <v>759.45</v>
      </c>
      <c r="M278">
        <v>1637.27</v>
      </c>
      <c r="N278">
        <v>0</v>
      </c>
      <c r="O278" s="56"/>
      <c r="P278" s="56"/>
      <c r="Q278">
        <v>13718</v>
      </c>
      <c r="R278">
        <v>9</v>
      </c>
      <c r="S278">
        <v>4</v>
      </c>
      <c r="T278">
        <v>2</v>
      </c>
      <c r="U278">
        <v>2</v>
      </c>
      <c r="V278">
        <v>1</v>
      </c>
      <c r="X278" t="s">
        <v>2385</v>
      </c>
      <c r="AA278">
        <v>0</v>
      </c>
      <c r="AB278">
        <v>0</v>
      </c>
      <c r="AC278">
        <v>0</v>
      </c>
      <c r="AD278">
        <v>0</v>
      </c>
      <c r="AE278">
        <v>0</v>
      </c>
      <c r="AF278">
        <v>0</v>
      </c>
      <c r="AG278">
        <v>0</v>
      </c>
      <c r="AJ278" s="56"/>
      <c r="AK278" s="56"/>
      <c r="AL278" s="56"/>
      <c r="AP278" t="s">
        <v>1450</v>
      </c>
      <c r="AS278" t="s">
        <v>1152</v>
      </c>
      <c r="AT278">
        <v>1</v>
      </c>
      <c r="AV278">
        <v>0</v>
      </c>
      <c r="AW278">
        <v>0</v>
      </c>
      <c r="AX278">
        <v>0</v>
      </c>
      <c r="AY278" t="s">
        <v>1375</v>
      </c>
      <c r="AZ278" t="s">
        <v>1375</v>
      </c>
      <c r="BA278">
        <v>2</v>
      </c>
      <c r="BD278">
        <v>1000000000</v>
      </c>
      <c r="BE278">
        <v>2</v>
      </c>
      <c r="BF278">
        <v>0</v>
      </c>
      <c r="BG278">
        <v>0</v>
      </c>
      <c r="BH278">
        <v>0</v>
      </c>
      <c r="BI278">
        <v>0</v>
      </c>
      <c r="BJ278">
        <v>0</v>
      </c>
      <c r="BK278">
        <v>0</v>
      </c>
      <c r="BL278">
        <v>0</v>
      </c>
      <c r="BM278">
        <v>2</v>
      </c>
      <c r="BN278">
        <v>0</v>
      </c>
      <c r="BO278">
        <v>0</v>
      </c>
      <c r="BP278">
        <v>0</v>
      </c>
      <c r="BR278">
        <v>0</v>
      </c>
      <c r="BS278">
        <v>0</v>
      </c>
      <c r="BX278">
        <v>0</v>
      </c>
      <c r="BY278">
        <v>0</v>
      </c>
      <c r="BZ278">
        <v>0</v>
      </c>
      <c r="CA278">
        <v>0</v>
      </c>
      <c r="CC278">
        <v>1</v>
      </c>
      <c r="CD278" s="56">
        <v>42619</v>
      </c>
      <c r="CE278" s="56">
        <v>42619</v>
      </c>
      <c r="CF278" s="56">
        <v>42619</v>
      </c>
      <c r="CG278" s="56">
        <v>42647</v>
      </c>
      <c r="CH278" s="56"/>
      <c r="CI278" s="56"/>
      <c r="CJ278">
        <v>0</v>
      </c>
      <c r="CK278">
        <v>0</v>
      </c>
      <c r="CL278">
        <v>0</v>
      </c>
      <c r="CM278">
        <v>0</v>
      </c>
      <c r="CN278">
        <v>0</v>
      </c>
      <c r="CO278">
        <v>0</v>
      </c>
      <c r="CP278">
        <v>0.65</v>
      </c>
      <c r="CQ278" t="s">
        <v>1378</v>
      </c>
      <c r="CR278" t="s">
        <v>1377</v>
      </c>
      <c r="CS278" t="s">
        <v>1451</v>
      </c>
      <c r="CT278" t="s">
        <v>1724</v>
      </c>
      <c r="CU278" t="s">
        <v>1742</v>
      </c>
      <c r="CV278" t="s">
        <v>1791</v>
      </c>
      <c r="DB278" t="s">
        <v>1783</v>
      </c>
      <c r="DE278" t="s">
        <v>1724</v>
      </c>
    </row>
    <row r="279" spans="1:109" x14ac:dyDescent="0.25">
      <c r="A279" t="s">
        <v>1378</v>
      </c>
      <c r="B279">
        <v>1</v>
      </c>
      <c r="C279" s="56">
        <v>42640</v>
      </c>
      <c r="D279" t="s">
        <v>1449</v>
      </c>
      <c r="E279" t="s">
        <v>2153</v>
      </c>
      <c r="G279" t="s">
        <v>1144</v>
      </c>
      <c r="H279" t="s">
        <v>1144</v>
      </c>
      <c r="I279" t="s">
        <v>1144</v>
      </c>
      <c r="J279" t="s">
        <v>1144</v>
      </c>
      <c r="K279" t="s">
        <v>1144</v>
      </c>
      <c r="L279">
        <v>2049.67</v>
      </c>
      <c r="M279">
        <v>2</v>
      </c>
      <c r="N279">
        <v>0</v>
      </c>
      <c r="O279" s="56"/>
      <c r="P279" s="56"/>
      <c r="Q279">
        <v>13718</v>
      </c>
      <c r="R279">
        <v>9</v>
      </c>
      <c r="S279">
        <v>4</v>
      </c>
      <c r="T279">
        <v>2</v>
      </c>
      <c r="U279">
        <v>2</v>
      </c>
      <c r="V279">
        <v>1</v>
      </c>
      <c r="X279" t="s">
        <v>2386</v>
      </c>
      <c r="AA279">
        <v>0</v>
      </c>
      <c r="AB279">
        <v>0</v>
      </c>
      <c r="AC279">
        <v>0</v>
      </c>
      <c r="AD279">
        <v>0</v>
      </c>
      <c r="AE279">
        <v>0</v>
      </c>
      <c r="AF279">
        <v>0</v>
      </c>
      <c r="AG279">
        <v>0</v>
      </c>
      <c r="AJ279" s="56"/>
      <c r="AK279" s="56"/>
      <c r="AL279" s="56"/>
      <c r="AP279" t="s">
        <v>1450</v>
      </c>
      <c r="AS279" t="s">
        <v>1152</v>
      </c>
      <c r="AT279">
        <v>1</v>
      </c>
      <c r="AV279">
        <v>0</v>
      </c>
      <c r="AW279">
        <v>0</v>
      </c>
      <c r="AX279">
        <v>0</v>
      </c>
      <c r="AY279" t="s">
        <v>1375</v>
      </c>
      <c r="AZ279" t="s">
        <v>1375</v>
      </c>
      <c r="BA279">
        <v>0</v>
      </c>
      <c r="BD279">
        <v>1000000000</v>
      </c>
      <c r="BE279">
        <v>2</v>
      </c>
      <c r="BF279">
        <v>0</v>
      </c>
      <c r="BG279">
        <v>0</v>
      </c>
      <c r="BH279">
        <v>0</v>
      </c>
      <c r="BI279">
        <v>0</v>
      </c>
      <c r="BJ279">
        <v>0</v>
      </c>
      <c r="BK279">
        <v>0</v>
      </c>
      <c r="BL279">
        <v>0</v>
      </c>
      <c r="BM279">
        <v>2</v>
      </c>
      <c r="BN279">
        <v>0</v>
      </c>
      <c r="BO279">
        <v>0</v>
      </c>
      <c r="BP279">
        <v>0</v>
      </c>
      <c r="BR279">
        <v>0</v>
      </c>
      <c r="BS279">
        <v>0</v>
      </c>
      <c r="BX279">
        <v>0</v>
      </c>
      <c r="BY279">
        <v>0</v>
      </c>
      <c r="BZ279">
        <v>0</v>
      </c>
      <c r="CA279">
        <v>0</v>
      </c>
      <c r="CC279">
        <v>1</v>
      </c>
      <c r="CD279" s="56">
        <v>42593</v>
      </c>
      <c r="CE279" s="56">
        <v>42612</v>
      </c>
      <c r="CF279" s="56">
        <v>42612</v>
      </c>
      <c r="CG279" s="56">
        <v>42640</v>
      </c>
      <c r="CH279" s="56"/>
      <c r="CI279" s="56"/>
      <c r="CJ279">
        <v>0</v>
      </c>
      <c r="CK279">
        <v>0</v>
      </c>
      <c r="CL279">
        <v>0</v>
      </c>
      <c r="CM279">
        <v>0</v>
      </c>
      <c r="CN279">
        <v>0</v>
      </c>
      <c r="CO279">
        <v>0</v>
      </c>
      <c r="CP279">
        <v>0.71</v>
      </c>
      <c r="CQ279" t="s">
        <v>1378</v>
      </c>
      <c r="CR279" t="s">
        <v>1377</v>
      </c>
      <c r="CS279" t="s">
        <v>1451</v>
      </c>
      <c r="CT279" t="s">
        <v>1724</v>
      </c>
      <c r="CU279" t="s">
        <v>1742</v>
      </c>
      <c r="CV279" t="s">
        <v>2147</v>
      </c>
      <c r="DB279" t="s">
        <v>2145</v>
      </c>
      <c r="DE279" t="s">
        <v>1724</v>
      </c>
    </row>
    <row r="280" spans="1:109" x14ac:dyDescent="0.25">
      <c r="A280" t="s">
        <v>1378</v>
      </c>
      <c r="B280">
        <v>1</v>
      </c>
      <c r="C280" s="56">
        <v>42640</v>
      </c>
      <c r="D280" t="s">
        <v>1449</v>
      </c>
      <c r="E280" t="s">
        <v>1839</v>
      </c>
      <c r="G280" t="s">
        <v>1144</v>
      </c>
      <c r="H280" t="s">
        <v>1144</v>
      </c>
      <c r="I280" t="s">
        <v>1144</v>
      </c>
      <c r="J280" t="s">
        <v>1144</v>
      </c>
      <c r="K280" t="s">
        <v>1144</v>
      </c>
      <c r="L280">
        <v>42.68</v>
      </c>
      <c r="M280">
        <v>91.5</v>
      </c>
      <c r="N280">
        <v>0</v>
      </c>
      <c r="O280" s="56"/>
      <c r="P280" s="56"/>
      <c r="Q280">
        <v>13718</v>
      </c>
      <c r="R280">
        <v>9</v>
      </c>
      <c r="S280">
        <v>4</v>
      </c>
      <c r="T280">
        <v>2</v>
      </c>
      <c r="U280">
        <v>2</v>
      </c>
      <c r="V280">
        <v>1</v>
      </c>
      <c r="X280" t="s">
        <v>2385</v>
      </c>
      <c r="AA280">
        <v>0</v>
      </c>
      <c r="AB280">
        <v>0</v>
      </c>
      <c r="AC280">
        <v>0</v>
      </c>
      <c r="AD280">
        <v>0</v>
      </c>
      <c r="AE280">
        <v>0</v>
      </c>
      <c r="AF280">
        <v>0</v>
      </c>
      <c r="AG280">
        <v>0</v>
      </c>
      <c r="AJ280" s="56"/>
      <c r="AK280" s="56">
        <v>42369</v>
      </c>
      <c r="AL280" s="56"/>
      <c r="AM280">
        <v>3</v>
      </c>
      <c r="AP280" t="s">
        <v>1450</v>
      </c>
      <c r="AS280" t="s">
        <v>1152</v>
      </c>
      <c r="AT280">
        <v>1</v>
      </c>
      <c r="AV280">
        <v>2</v>
      </c>
      <c r="AW280">
        <v>2</v>
      </c>
      <c r="AX280">
        <v>1</v>
      </c>
      <c r="AY280" t="s">
        <v>1147</v>
      </c>
      <c r="AZ280" t="s">
        <v>1147</v>
      </c>
      <c r="BA280">
        <v>3</v>
      </c>
      <c r="BD280">
        <v>1000000000</v>
      </c>
      <c r="BE280">
        <v>3</v>
      </c>
      <c r="BF280">
        <v>-0.5</v>
      </c>
      <c r="BG280">
        <v>0</v>
      </c>
      <c r="BH280">
        <v>0</v>
      </c>
      <c r="BI280">
        <v>0</v>
      </c>
      <c r="BJ280">
        <v>0</v>
      </c>
      <c r="BK280">
        <v>0</v>
      </c>
      <c r="BL280">
        <v>0</v>
      </c>
      <c r="BM280">
        <v>3</v>
      </c>
      <c r="BN280">
        <v>-0.5</v>
      </c>
      <c r="BO280">
        <v>0</v>
      </c>
      <c r="BP280">
        <v>0</v>
      </c>
      <c r="BR280">
        <v>0</v>
      </c>
      <c r="BS280">
        <v>1</v>
      </c>
      <c r="BX280">
        <v>0</v>
      </c>
      <c r="BY280">
        <v>42.68</v>
      </c>
      <c r="BZ280">
        <v>0</v>
      </c>
      <c r="CA280">
        <v>13.73</v>
      </c>
      <c r="CC280">
        <v>1</v>
      </c>
      <c r="CD280" s="56">
        <v>42619</v>
      </c>
      <c r="CE280" s="56">
        <v>42619</v>
      </c>
      <c r="CF280" s="56">
        <v>42619</v>
      </c>
      <c r="CG280" s="56">
        <v>42647</v>
      </c>
      <c r="CH280" s="56"/>
      <c r="CI280" s="56"/>
      <c r="CJ280">
        <v>0</v>
      </c>
      <c r="CK280">
        <v>0</v>
      </c>
      <c r="CL280">
        <v>0</v>
      </c>
      <c r="CM280">
        <v>0</v>
      </c>
      <c r="CN280">
        <v>0</v>
      </c>
      <c r="CO280">
        <v>0</v>
      </c>
      <c r="CP280">
        <v>0.65</v>
      </c>
      <c r="CQ280" t="s">
        <v>1378</v>
      </c>
      <c r="CR280" t="s">
        <v>1377</v>
      </c>
      <c r="CS280" t="s">
        <v>1451</v>
      </c>
      <c r="CT280" t="s">
        <v>1724</v>
      </c>
      <c r="CU280" t="s">
        <v>1742</v>
      </c>
      <c r="CV280" t="s">
        <v>1840</v>
      </c>
      <c r="DB280" t="s">
        <v>1830</v>
      </c>
      <c r="DE280" t="s">
        <v>1724</v>
      </c>
    </row>
    <row r="281" spans="1:109" x14ac:dyDescent="0.25">
      <c r="A281" t="s">
        <v>1378</v>
      </c>
      <c r="B281">
        <v>1</v>
      </c>
      <c r="C281" s="56">
        <v>42640</v>
      </c>
      <c r="D281" t="s">
        <v>1449</v>
      </c>
      <c r="E281" t="s">
        <v>2195</v>
      </c>
      <c r="G281" t="s">
        <v>1144</v>
      </c>
      <c r="H281" t="s">
        <v>1144</v>
      </c>
      <c r="I281" t="s">
        <v>1144</v>
      </c>
      <c r="J281" t="s">
        <v>1144</v>
      </c>
      <c r="K281" t="s">
        <v>1144</v>
      </c>
      <c r="L281">
        <v>450.66</v>
      </c>
      <c r="M281">
        <v>2</v>
      </c>
      <c r="N281">
        <v>0</v>
      </c>
      <c r="O281" s="56"/>
      <c r="P281" s="56"/>
      <c r="Q281">
        <v>13718</v>
      </c>
      <c r="R281">
        <v>9</v>
      </c>
      <c r="S281">
        <v>4</v>
      </c>
      <c r="T281">
        <v>2</v>
      </c>
      <c r="U281">
        <v>2</v>
      </c>
      <c r="V281">
        <v>1</v>
      </c>
      <c r="X281" t="s">
        <v>2385</v>
      </c>
      <c r="AA281">
        <v>0</v>
      </c>
      <c r="AB281">
        <v>0</v>
      </c>
      <c r="AC281">
        <v>0</v>
      </c>
      <c r="AD281">
        <v>0</v>
      </c>
      <c r="AE281">
        <v>0</v>
      </c>
      <c r="AF281">
        <v>0</v>
      </c>
      <c r="AG281">
        <v>0</v>
      </c>
      <c r="AJ281" s="56"/>
      <c r="AK281" s="56">
        <v>42369</v>
      </c>
      <c r="AL281" s="56"/>
      <c r="AM281">
        <v>1</v>
      </c>
      <c r="AP281" t="s">
        <v>1450</v>
      </c>
      <c r="AS281" t="s">
        <v>1152</v>
      </c>
      <c r="AT281">
        <v>1</v>
      </c>
      <c r="AV281">
        <v>1</v>
      </c>
      <c r="AW281">
        <v>1</v>
      </c>
      <c r="AX281">
        <v>0.5</v>
      </c>
      <c r="AY281" t="s">
        <v>1147</v>
      </c>
      <c r="AZ281" t="s">
        <v>1147</v>
      </c>
      <c r="BA281">
        <v>2</v>
      </c>
      <c r="BD281">
        <v>1000000000</v>
      </c>
      <c r="BE281">
        <v>2</v>
      </c>
      <c r="BF281">
        <v>-1</v>
      </c>
      <c r="BG281">
        <v>0</v>
      </c>
      <c r="BH281">
        <v>0</v>
      </c>
      <c r="BI281">
        <v>0</v>
      </c>
      <c r="BJ281">
        <v>0</v>
      </c>
      <c r="BK281">
        <v>0</v>
      </c>
      <c r="BL281">
        <v>0</v>
      </c>
      <c r="BM281">
        <v>2</v>
      </c>
      <c r="BN281">
        <v>-1</v>
      </c>
      <c r="BO281">
        <v>0</v>
      </c>
      <c r="BP281">
        <v>0</v>
      </c>
      <c r="BR281">
        <v>0</v>
      </c>
      <c r="BS281">
        <v>1</v>
      </c>
      <c r="BX281">
        <v>0</v>
      </c>
      <c r="BY281">
        <v>450.66</v>
      </c>
      <c r="BZ281">
        <v>0</v>
      </c>
      <c r="CA281">
        <v>-11.95</v>
      </c>
      <c r="CC281">
        <v>1</v>
      </c>
      <c r="CD281" s="56">
        <v>42619</v>
      </c>
      <c r="CE281" s="56">
        <v>42619</v>
      </c>
      <c r="CF281" s="56">
        <v>42619</v>
      </c>
      <c r="CG281" s="56">
        <v>42647</v>
      </c>
      <c r="CH281" s="56"/>
      <c r="CI281" s="56"/>
      <c r="CJ281">
        <v>0</v>
      </c>
      <c r="CK281">
        <v>0</v>
      </c>
      <c r="CL281">
        <v>0</v>
      </c>
      <c r="CM281">
        <v>0</v>
      </c>
      <c r="CN281">
        <v>0</v>
      </c>
      <c r="CO281">
        <v>0</v>
      </c>
      <c r="CP281">
        <v>0.65</v>
      </c>
      <c r="CQ281" t="s">
        <v>1378</v>
      </c>
      <c r="CR281" t="s">
        <v>1377</v>
      </c>
      <c r="CS281" t="s">
        <v>1451</v>
      </c>
      <c r="CT281" t="s">
        <v>1724</v>
      </c>
      <c r="CU281" t="s">
        <v>1742</v>
      </c>
      <c r="CV281" t="s">
        <v>2194</v>
      </c>
      <c r="DB281" t="s">
        <v>2161</v>
      </c>
      <c r="DE281" t="s">
        <v>1724</v>
      </c>
    </row>
    <row r="282" spans="1:109" x14ac:dyDescent="0.25">
      <c r="A282" t="s">
        <v>1378</v>
      </c>
      <c r="B282">
        <v>1</v>
      </c>
      <c r="C282" s="56">
        <v>42640</v>
      </c>
      <c r="D282" t="s">
        <v>1449</v>
      </c>
      <c r="E282" t="s">
        <v>1398</v>
      </c>
      <c r="G282" t="s">
        <v>1144</v>
      </c>
      <c r="H282" t="s">
        <v>1144</v>
      </c>
      <c r="I282" t="s">
        <v>1144</v>
      </c>
      <c r="J282" t="s">
        <v>1144</v>
      </c>
      <c r="K282" t="s">
        <v>1144</v>
      </c>
      <c r="L282">
        <v>372.04</v>
      </c>
      <c r="M282">
        <v>717.51</v>
      </c>
      <c r="N282">
        <v>0</v>
      </c>
      <c r="O282" s="56"/>
      <c r="P282" s="56"/>
      <c r="Q282">
        <v>13718</v>
      </c>
      <c r="R282">
        <v>9</v>
      </c>
      <c r="S282">
        <v>4</v>
      </c>
      <c r="T282">
        <v>2</v>
      </c>
      <c r="U282">
        <v>2</v>
      </c>
      <c r="V282">
        <v>1</v>
      </c>
      <c r="X282" t="s">
        <v>2385</v>
      </c>
      <c r="AA282">
        <v>0.08</v>
      </c>
      <c r="AB282">
        <v>1</v>
      </c>
      <c r="AC282">
        <v>15.63</v>
      </c>
      <c r="AD282">
        <v>18.75</v>
      </c>
      <c r="AE282">
        <v>0</v>
      </c>
      <c r="AF282">
        <v>0</v>
      </c>
      <c r="AG282">
        <v>0</v>
      </c>
      <c r="AJ282" s="56">
        <v>42666</v>
      </c>
      <c r="AK282" s="56"/>
      <c r="AL282" s="56"/>
      <c r="AM282">
        <v>7</v>
      </c>
      <c r="AP282" t="s">
        <v>1450</v>
      </c>
      <c r="AS282" t="s">
        <v>1152</v>
      </c>
      <c r="AT282">
        <v>1</v>
      </c>
      <c r="AV282">
        <v>5</v>
      </c>
      <c r="AW282">
        <v>3</v>
      </c>
      <c r="AX282">
        <v>2</v>
      </c>
      <c r="AY282" t="s">
        <v>1147</v>
      </c>
      <c r="AZ282" t="s">
        <v>1147</v>
      </c>
      <c r="BA282">
        <v>7</v>
      </c>
      <c r="BD282">
        <v>1000000000</v>
      </c>
      <c r="BE282">
        <v>6</v>
      </c>
      <c r="BF282">
        <v>-0.2</v>
      </c>
      <c r="BG282">
        <v>0</v>
      </c>
      <c r="BH282">
        <v>0</v>
      </c>
      <c r="BI282">
        <v>0</v>
      </c>
      <c r="BJ282">
        <v>0</v>
      </c>
      <c r="BK282">
        <v>0</v>
      </c>
      <c r="BL282">
        <v>0</v>
      </c>
      <c r="BM282">
        <v>6</v>
      </c>
      <c r="BN282">
        <v>-0.2</v>
      </c>
      <c r="BO282">
        <v>0</v>
      </c>
      <c r="BP282">
        <v>0</v>
      </c>
      <c r="BR282">
        <v>0</v>
      </c>
      <c r="BS282">
        <v>3</v>
      </c>
      <c r="BX282">
        <v>0</v>
      </c>
      <c r="BY282">
        <v>372.04</v>
      </c>
      <c r="BZ282">
        <v>0</v>
      </c>
      <c r="CA282">
        <v>11.14</v>
      </c>
      <c r="CC282">
        <v>1</v>
      </c>
      <c r="CD282" s="56">
        <v>42619</v>
      </c>
      <c r="CE282" s="56">
        <v>42619</v>
      </c>
      <c r="CF282" s="56">
        <v>42619</v>
      </c>
      <c r="CG282" s="56">
        <v>42647</v>
      </c>
      <c r="CH282" s="56"/>
      <c r="CI282" s="56"/>
      <c r="CJ282">
        <v>0</v>
      </c>
      <c r="CK282">
        <v>0</v>
      </c>
      <c r="CL282">
        <v>0</v>
      </c>
      <c r="CM282">
        <v>0</v>
      </c>
      <c r="CN282">
        <v>0</v>
      </c>
      <c r="CO282">
        <v>0</v>
      </c>
      <c r="CP282">
        <v>0.65</v>
      </c>
      <c r="CQ282" t="s">
        <v>1378</v>
      </c>
      <c r="CR282" t="s">
        <v>1377</v>
      </c>
      <c r="CS282" t="s">
        <v>1451</v>
      </c>
      <c r="CT282" t="s">
        <v>1724</v>
      </c>
      <c r="CU282" t="s">
        <v>1742</v>
      </c>
      <c r="CV282" t="s">
        <v>1892</v>
      </c>
      <c r="DB282" t="s">
        <v>1888</v>
      </c>
      <c r="DE282" t="s">
        <v>1724</v>
      </c>
    </row>
    <row r="283" spans="1:109" x14ac:dyDescent="0.25">
      <c r="A283" t="s">
        <v>1378</v>
      </c>
      <c r="B283">
        <v>1</v>
      </c>
      <c r="C283" s="56">
        <v>42640</v>
      </c>
      <c r="D283" t="s">
        <v>1449</v>
      </c>
      <c r="E283" t="s">
        <v>2241</v>
      </c>
      <c r="G283" t="s">
        <v>1144</v>
      </c>
      <c r="H283" t="s">
        <v>1144</v>
      </c>
      <c r="I283" t="s">
        <v>1144</v>
      </c>
      <c r="J283" t="s">
        <v>1144</v>
      </c>
      <c r="K283" t="s">
        <v>1144</v>
      </c>
      <c r="L283">
        <v>361.87</v>
      </c>
      <c r="M283">
        <v>2</v>
      </c>
      <c r="N283">
        <v>0</v>
      </c>
      <c r="O283" s="56"/>
      <c r="P283" s="56"/>
      <c r="Q283">
        <v>13718</v>
      </c>
      <c r="R283">
        <v>9</v>
      </c>
      <c r="S283">
        <v>4</v>
      </c>
      <c r="T283">
        <v>2</v>
      </c>
      <c r="U283">
        <v>2</v>
      </c>
      <c r="V283">
        <v>1</v>
      </c>
      <c r="W283" t="s">
        <v>2379</v>
      </c>
      <c r="X283" t="s">
        <v>2386</v>
      </c>
      <c r="AA283">
        <v>0</v>
      </c>
      <c r="AB283">
        <v>0</v>
      </c>
      <c r="AC283">
        <v>0</v>
      </c>
      <c r="AD283">
        <v>0</v>
      </c>
      <c r="AE283">
        <v>0</v>
      </c>
      <c r="AF283">
        <v>0</v>
      </c>
      <c r="AG283">
        <v>0</v>
      </c>
      <c r="AJ283" s="56"/>
      <c r="AK283" s="56">
        <v>42369</v>
      </c>
      <c r="AL283" s="56"/>
      <c r="AM283">
        <v>1</v>
      </c>
      <c r="AP283" t="s">
        <v>1450</v>
      </c>
      <c r="AS283" t="s">
        <v>1152</v>
      </c>
      <c r="AT283">
        <v>1</v>
      </c>
      <c r="AV283">
        <v>1</v>
      </c>
      <c r="AW283">
        <v>1</v>
      </c>
      <c r="AX283">
        <v>0.5</v>
      </c>
      <c r="AY283" t="s">
        <v>1145</v>
      </c>
      <c r="AZ283" t="s">
        <v>1145</v>
      </c>
      <c r="BA283">
        <v>1</v>
      </c>
      <c r="BD283">
        <v>1000000000</v>
      </c>
      <c r="BE283">
        <v>1</v>
      </c>
      <c r="BF283">
        <v>0</v>
      </c>
      <c r="BG283">
        <v>0</v>
      </c>
      <c r="BH283">
        <v>0</v>
      </c>
      <c r="BI283">
        <v>0</v>
      </c>
      <c r="BJ283">
        <v>0</v>
      </c>
      <c r="BK283">
        <v>0</v>
      </c>
      <c r="BL283">
        <v>0</v>
      </c>
      <c r="BM283">
        <v>1</v>
      </c>
      <c r="BN283">
        <v>0</v>
      </c>
      <c r="BO283">
        <v>0</v>
      </c>
      <c r="BP283">
        <v>0</v>
      </c>
      <c r="BR283">
        <v>0</v>
      </c>
      <c r="BS283">
        <v>1</v>
      </c>
      <c r="BX283">
        <v>0</v>
      </c>
      <c r="BY283">
        <v>0</v>
      </c>
      <c r="BZ283">
        <v>0</v>
      </c>
      <c r="CA283">
        <v>-11.93</v>
      </c>
      <c r="CC283">
        <v>1</v>
      </c>
      <c r="CD283" s="56">
        <v>42593</v>
      </c>
      <c r="CE283" s="56">
        <v>42612</v>
      </c>
      <c r="CF283" s="56">
        <v>42612</v>
      </c>
      <c r="CG283" s="56">
        <v>42640</v>
      </c>
      <c r="CH283" s="56"/>
      <c r="CI283" s="56"/>
      <c r="CJ283">
        <v>0</v>
      </c>
      <c r="CK283">
        <v>0</v>
      </c>
      <c r="CL283">
        <v>0</v>
      </c>
      <c r="CM283">
        <v>0</v>
      </c>
      <c r="CN283">
        <v>0.71</v>
      </c>
      <c r="CO283">
        <v>0</v>
      </c>
      <c r="CP283">
        <v>0</v>
      </c>
      <c r="CQ283" t="s">
        <v>1378</v>
      </c>
      <c r="CR283" t="s">
        <v>1377</v>
      </c>
      <c r="CS283" t="s">
        <v>1451</v>
      </c>
      <c r="CT283" t="s">
        <v>1724</v>
      </c>
      <c r="CU283" t="s">
        <v>1742</v>
      </c>
      <c r="CV283" t="s">
        <v>2231</v>
      </c>
      <c r="DB283" t="s">
        <v>2134</v>
      </c>
      <c r="DE283" t="s">
        <v>1724</v>
      </c>
    </row>
    <row r="284" spans="1:109" x14ac:dyDescent="0.25">
      <c r="A284" t="s">
        <v>1378</v>
      </c>
      <c r="B284">
        <v>1</v>
      </c>
      <c r="C284" s="56">
        <v>42640</v>
      </c>
      <c r="D284" t="s">
        <v>1449</v>
      </c>
      <c r="E284" t="s">
        <v>1957</v>
      </c>
      <c r="G284" t="s">
        <v>1144</v>
      </c>
      <c r="H284" t="s">
        <v>1144</v>
      </c>
      <c r="I284" t="s">
        <v>1144</v>
      </c>
      <c r="J284" t="s">
        <v>1144</v>
      </c>
      <c r="K284" t="s">
        <v>1144</v>
      </c>
      <c r="L284">
        <v>110.89</v>
      </c>
      <c r="M284">
        <v>230.18</v>
      </c>
      <c r="N284">
        <v>0</v>
      </c>
      <c r="O284" s="56"/>
      <c r="P284" s="56"/>
      <c r="Q284">
        <v>13718</v>
      </c>
      <c r="R284">
        <v>9</v>
      </c>
      <c r="S284">
        <v>4</v>
      </c>
      <c r="T284">
        <v>2</v>
      </c>
      <c r="U284">
        <v>2</v>
      </c>
      <c r="V284">
        <v>1</v>
      </c>
      <c r="X284" t="s">
        <v>2385</v>
      </c>
      <c r="AA284">
        <v>0</v>
      </c>
      <c r="AB284">
        <v>0</v>
      </c>
      <c r="AC284">
        <v>0</v>
      </c>
      <c r="AD284">
        <v>0</v>
      </c>
      <c r="AE284">
        <v>0</v>
      </c>
      <c r="AF284">
        <v>0</v>
      </c>
      <c r="AG284">
        <v>0</v>
      </c>
      <c r="AJ284" s="56"/>
      <c r="AK284" s="56"/>
      <c r="AL284" s="56"/>
      <c r="AP284" t="s">
        <v>1450</v>
      </c>
      <c r="AS284" t="s">
        <v>1152</v>
      </c>
      <c r="AT284">
        <v>1</v>
      </c>
      <c r="AV284">
        <v>0</v>
      </c>
      <c r="AW284">
        <v>0</v>
      </c>
      <c r="AX284">
        <v>0</v>
      </c>
      <c r="AY284" t="s">
        <v>1375</v>
      </c>
      <c r="AZ284" t="s">
        <v>1375</v>
      </c>
      <c r="BA284">
        <v>2</v>
      </c>
      <c r="BD284">
        <v>1000000000</v>
      </c>
      <c r="BE284">
        <v>2</v>
      </c>
      <c r="BF284">
        <v>0</v>
      </c>
      <c r="BG284">
        <v>0</v>
      </c>
      <c r="BH284">
        <v>0</v>
      </c>
      <c r="BI284">
        <v>0</v>
      </c>
      <c r="BJ284">
        <v>0</v>
      </c>
      <c r="BK284">
        <v>0</v>
      </c>
      <c r="BL284">
        <v>0</v>
      </c>
      <c r="BM284">
        <v>2</v>
      </c>
      <c r="BN284">
        <v>0</v>
      </c>
      <c r="BO284">
        <v>0</v>
      </c>
      <c r="BP284">
        <v>0</v>
      </c>
      <c r="BR284">
        <v>0</v>
      </c>
      <c r="BS284">
        <v>0</v>
      </c>
      <c r="BX284">
        <v>0</v>
      </c>
      <c r="BY284">
        <v>0</v>
      </c>
      <c r="BZ284">
        <v>0</v>
      </c>
      <c r="CA284">
        <v>0</v>
      </c>
      <c r="CC284">
        <v>1</v>
      </c>
      <c r="CD284" s="56">
        <v>42619</v>
      </c>
      <c r="CE284" s="56">
        <v>42619</v>
      </c>
      <c r="CF284" s="56">
        <v>42619</v>
      </c>
      <c r="CG284" s="56">
        <v>42647</v>
      </c>
      <c r="CH284" s="56"/>
      <c r="CI284" s="56"/>
      <c r="CJ284">
        <v>0</v>
      </c>
      <c r="CK284">
        <v>0</v>
      </c>
      <c r="CL284">
        <v>0</v>
      </c>
      <c r="CM284">
        <v>0</v>
      </c>
      <c r="CN284">
        <v>0</v>
      </c>
      <c r="CO284">
        <v>0</v>
      </c>
      <c r="CP284">
        <v>0.65</v>
      </c>
      <c r="CQ284" t="s">
        <v>1378</v>
      </c>
      <c r="CR284" t="s">
        <v>1377</v>
      </c>
      <c r="CS284" t="s">
        <v>1451</v>
      </c>
      <c r="CT284" t="s">
        <v>1724</v>
      </c>
      <c r="CU284" t="s">
        <v>1742</v>
      </c>
      <c r="CV284" t="s">
        <v>1954</v>
      </c>
      <c r="DB284" t="s">
        <v>1869</v>
      </c>
      <c r="DE284" t="s">
        <v>1724</v>
      </c>
    </row>
    <row r="285" spans="1:109" x14ac:dyDescent="0.25">
      <c r="A285" t="s">
        <v>1378</v>
      </c>
      <c r="B285">
        <v>1</v>
      </c>
      <c r="C285" s="56">
        <v>42640</v>
      </c>
      <c r="D285" t="s">
        <v>1449</v>
      </c>
      <c r="E285" t="s">
        <v>1939</v>
      </c>
      <c r="G285" t="s">
        <v>1144</v>
      </c>
      <c r="H285" t="s">
        <v>1144</v>
      </c>
      <c r="I285" t="s">
        <v>1144</v>
      </c>
      <c r="J285" t="s">
        <v>1144</v>
      </c>
      <c r="K285" t="s">
        <v>1144</v>
      </c>
      <c r="L285">
        <v>106.78</v>
      </c>
      <c r="M285">
        <v>230.18</v>
      </c>
      <c r="N285">
        <v>0</v>
      </c>
      <c r="O285" s="56"/>
      <c r="P285" s="56"/>
      <c r="Q285">
        <v>13718</v>
      </c>
      <c r="R285">
        <v>9</v>
      </c>
      <c r="S285">
        <v>4</v>
      </c>
      <c r="T285">
        <v>2</v>
      </c>
      <c r="U285">
        <v>2</v>
      </c>
      <c r="V285">
        <v>1</v>
      </c>
      <c r="X285" t="s">
        <v>2385</v>
      </c>
      <c r="AA285">
        <v>0.04</v>
      </c>
      <c r="AB285">
        <v>1</v>
      </c>
      <c r="AC285">
        <v>0</v>
      </c>
      <c r="AD285">
        <v>0</v>
      </c>
      <c r="AE285">
        <v>0</v>
      </c>
      <c r="AF285">
        <v>0</v>
      </c>
      <c r="AG285">
        <v>0</v>
      </c>
      <c r="AJ285" s="56"/>
      <c r="AK285" s="56"/>
      <c r="AL285" s="56"/>
      <c r="AP285" t="s">
        <v>1450</v>
      </c>
      <c r="AS285" t="s">
        <v>1152</v>
      </c>
      <c r="AT285">
        <v>1</v>
      </c>
      <c r="AV285">
        <v>0</v>
      </c>
      <c r="AW285">
        <v>0</v>
      </c>
      <c r="AX285">
        <v>0</v>
      </c>
      <c r="AY285" t="s">
        <v>1375</v>
      </c>
      <c r="AZ285" t="s">
        <v>1375</v>
      </c>
      <c r="BA285">
        <v>2</v>
      </c>
      <c r="BD285">
        <v>1000000000</v>
      </c>
      <c r="BE285">
        <v>0</v>
      </c>
      <c r="BF285">
        <v>0</v>
      </c>
      <c r="BG285">
        <v>0</v>
      </c>
      <c r="BH285">
        <v>0</v>
      </c>
      <c r="BI285">
        <v>0</v>
      </c>
      <c r="BJ285">
        <v>0</v>
      </c>
      <c r="BK285">
        <v>0</v>
      </c>
      <c r="BL285">
        <v>0</v>
      </c>
      <c r="BM285">
        <v>0</v>
      </c>
      <c r="BN285">
        <v>0</v>
      </c>
      <c r="BO285">
        <v>0</v>
      </c>
      <c r="BP285">
        <v>0</v>
      </c>
      <c r="BR285">
        <v>0</v>
      </c>
      <c r="BS285">
        <v>0</v>
      </c>
      <c r="BX285">
        <v>0</v>
      </c>
      <c r="BY285">
        <v>0</v>
      </c>
      <c r="BZ285">
        <v>0</v>
      </c>
      <c r="CA285">
        <v>0</v>
      </c>
      <c r="CC285">
        <v>1</v>
      </c>
      <c r="CD285" s="56">
        <v>42619</v>
      </c>
      <c r="CE285" s="56">
        <v>42619</v>
      </c>
      <c r="CF285" s="56">
        <v>42619</v>
      </c>
      <c r="CG285" s="56">
        <v>42647</v>
      </c>
      <c r="CH285" s="56"/>
      <c r="CI285" s="56"/>
      <c r="CJ285">
        <v>1</v>
      </c>
      <c r="CK285">
        <v>0</v>
      </c>
      <c r="CL285">
        <v>0.65</v>
      </c>
      <c r="CM285">
        <v>0</v>
      </c>
      <c r="CN285">
        <v>0</v>
      </c>
      <c r="CO285">
        <v>0</v>
      </c>
      <c r="CP285">
        <v>0</v>
      </c>
      <c r="CQ285" t="s">
        <v>1378</v>
      </c>
      <c r="CR285" t="s">
        <v>1377</v>
      </c>
      <c r="CS285" t="s">
        <v>1451</v>
      </c>
      <c r="CT285" t="s">
        <v>1724</v>
      </c>
      <c r="CU285" t="s">
        <v>1742</v>
      </c>
      <c r="CV285" t="s">
        <v>1936</v>
      </c>
      <c r="DB285" t="s">
        <v>1869</v>
      </c>
      <c r="DE285" t="s">
        <v>1724</v>
      </c>
    </row>
    <row r="286" spans="1:109" x14ac:dyDescent="0.25">
      <c r="A286" t="s">
        <v>1378</v>
      </c>
      <c r="B286">
        <v>1</v>
      </c>
      <c r="C286" s="56">
        <v>42640</v>
      </c>
      <c r="D286" t="s">
        <v>1449</v>
      </c>
      <c r="E286" t="s">
        <v>1490</v>
      </c>
      <c r="G286" t="s">
        <v>1144</v>
      </c>
      <c r="H286" t="s">
        <v>1144</v>
      </c>
      <c r="I286" t="s">
        <v>1144</v>
      </c>
      <c r="J286" t="s">
        <v>1144</v>
      </c>
      <c r="K286" t="s">
        <v>1144</v>
      </c>
      <c r="L286">
        <v>586.42999999999995</v>
      </c>
      <c r="M286">
        <v>2</v>
      </c>
      <c r="N286">
        <v>0</v>
      </c>
      <c r="O286" s="56"/>
      <c r="P286" s="56"/>
      <c r="Q286">
        <v>13718</v>
      </c>
      <c r="R286">
        <v>9</v>
      </c>
      <c r="S286">
        <v>4</v>
      </c>
      <c r="T286">
        <v>2</v>
      </c>
      <c r="U286">
        <v>2</v>
      </c>
      <c r="V286">
        <v>1</v>
      </c>
      <c r="W286" t="s">
        <v>2379</v>
      </c>
      <c r="X286" t="s">
        <v>2387</v>
      </c>
      <c r="AA286">
        <v>0.08</v>
      </c>
      <c r="AB286">
        <v>1</v>
      </c>
      <c r="AC286">
        <v>6.25</v>
      </c>
      <c r="AD286">
        <v>6.25</v>
      </c>
      <c r="AE286">
        <v>0</v>
      </c>
      <c r="AF286">
        <v>0</v>
      </c>
      <c r="AG286">
        <v>0</v>
      </c>
      <c r="AJ286" s="56"/>
      <c r="AK286" s="56"/>
      <c r="AL286" s="56"/>
      <c r="AM286">
        <v>1</v>
      </c>
      <c r="AP286" t="s">
        <v>1450</v>
      </c>
      <c r="AS286" t="s">
        <v>1152</v>
      </c>
      <c r="AT286">
        <v>1</v>
      </c>
      <c r="AV286">
        <v>2</v>
      </c>
      <c r="AW286">
        <v>2</v>
      </c>
      <c r="AX286">
        <v>1</v>
      </c>
      <c r="AY286" t="s">
        <v>1145</v>
      </c>
      <c r="AZ286" t="s">
        <v>1145</v>
      </c>
      <c r="BA286">
        <v>1</v>
      </c>
      <c r="BD286">
        <v>1000000000</v>
      </c>
      <c r="BE286">
        <v>2</v>
      </c>
      <c r="BF286">
        <v>0</v>
      </c>
      <c r="BG286">
        <v>0</v>
      </c>
      <c r="BH286">
        <v>0</v>
      </c>
      <c r="BI286">
        <v>0</v>
      </c>
      <c r="BJ286">
        <v>0</v>
      </c>
      <c r="BK286">
        <v>0</v>
      </c>
      <c r="BL286">
        <v>0</v>
      </c>
      <c r="BM286">
        <v>2</v>
      </c>
      <c r="BN286">
        <v>0</v>
      </c>
      <c r="BO286">
        <v>0</v>
      </c>
      <c r="BP286">
        <v>0</v>
      </c>
      <c r="BR286">
        <v>0</v>
      </c>
      <c r="BS286">
        <v>1</v>
      </c>
      <c r="BX286">
        <v>0</v>
      </c>
      <c r="BY286">
        <v>0</v>
      </c>
      <c r="BZ286">
        <v>0</v>
      </c>
      <c r="CA286">
        <v>-11.96</v>
      </c>
      <c r="CC286">
        <v>1</v>
      </c>
      <c r="CD286" s="56">
        <v>42592</v>
      </c>
      <c r="CE286" s="56">
        <v>42612</v>
      </c>
      <c r="CF286" s="56">
        <v>42612</v>
      </c>
      <c r="CG286" s="56">
        <v>42640</v>
      </c>
      <c r="CH286" s="56"/>
      <c r="CI286" s="56"/>
      <c r="CJ286">
        <v>0</v>
      </c>
      <c r="CK286">
        <v>0</v>
      </c>
      <c r="CL286">
        <v>0</v>
      </c>
      <c r="CM286">
        <v>0</v>
      </c>
      <c r="CN286">
        <v>0.71</v>
      </c>
      <c r="CO286">
        <v>0</v>
      </c>
      <c r="CP286">
        <v>0</v>
      </c>
      <c r="CQ286" t="s">
        <v>1378</v>
      </c>
      <c r="CR286" t="s">
        <v>1377</v>
      </c>
      <c r="CS286" t="s">
        <v>1451</v>
      </c>
      <c r="CT286" t="s">
        <v>1724</v>
      </c>
      <c r="CU286" t="s">
        <v>1742</v>
      </c>
      <c r="CV286" t="s">
        <v>2294</v>
      </c>
      <c r="DB286" t="s">
        <v>2286</v>
      </c>
      <c r="DE286" t="s">
        <v>1724</v>
      </c>
    </row>
    <row r="287" spans="1:109" x14ac:dyDescent="0.25">
      <c r="A287" t="s">
        <v>1378</v>
      </c>
      <c r="B287">
        <v>1</v>
      </c>
      <c r="C287" s="56">
        <v>42640</v>
      </c>
      <c r="D287" t="s">
        <v>1449</v>
      </c>
      <c r="E287" t="s">
        <v>1425</v>
      </c>
      <c r="G287" t="s">
        <v>1144</v>
      </c>
      <c r="H287" t="s">
        <v>1144</v>
      </c>
      <c r="I287" t="s">
        <v>1144</v>
      </c>
      <c r="J287" t="s">
        <v>1144</v>
      </c>
      <c r="K287" t="s">
        <v>1144</v>
      </c>
      <c r="L287">
        <v>279.07</v>
      </c>
      <c r="M287">
        <v>732.52</v>
      </c>
      <c r="N287">
        <v>0</v>
      </c>
      <c r="O287" s="56"/>
      <c r="P287" s="56"/>
      <c r="Q287">
        <v>13718</v>
      </c>
      <c r="R287">
        <v>9</v>
      </c>
      <c r="S287">
        <v>4</v>
      </c>
      <c r="T287">
        <v>2</v>
      </c>
      <c r="U287">
        <v>2</v>
      </c>
      <c r="V287">
        <v>1</v>
      </c>
      <c r="X287" t="s">
        <v>2385</v>
      </c>
      <c r="AA287">
        <v>0.66</v>
      </c>
      <c r="AB287">
        <v>4</v>
      </c>
      <c r="AC287">
        <v>2.27</v>
      </c>
      <c r="AD287">
        <v>3.03</v>
      </c>
      <c r="AE287">
        <v>0</v>
      </c>
      <c r="AF287">
        <v>0</v>
      </c>
      <c r="AG287">
        <v>0</v>
      </c>
      <c r="AJ287" s="56"/>
      <c r="AK287" s="56"/>
      <c r="AL287" s="56"/>
      <c r="AM287">
        <v>7</v>
      </c>
      <c r="AP287" t="s">
        <v>1450</v>
      </c>
      <c r="AS287" t="s">
        <v>1152</v>
      </c>
      <c r="AT287">
        <v>1</v>
      </c>
      <c r="AV287">
        <v>6</v>
      </c>
      <c r="AW287">
        <v>4</v>
      </c>
      <c r="AX287">
        <v>2</v>
      </c>
      <c r="AY287" t="s">
        <v>1147</v>
      </c>
      <c r="AZ287" t="s">
        <v>1147</v>
      </c>
      <c r="BA287">
        <v>7</v>
      </c>
      <c r="BD287">
        <v>1000000000</v>
      </c>
      <c r="BE287">
        <v>8</v>
      </c>
      <c r="BF287">
        <v>-0.33</v>
      </c>
      <c r="BG287">
        <v>0</v>
      </c>
      <c r="BH287">
        <v>0</v>
      </c>
      <c r="BI287">
        <v>0</v>
      </c>
      <c r="BJ287">
        <v>0</v>
      </c>
      <c r="BK287">
        <v>0</v>
      </c>
      <c r="BL287">
        <v>0</v>
      </c>
      <c r="BM287">
        <v>8</v>
      </c>
      <c r="BN287">
        <v>-0.33</v>
      </c>
      <c r="BO287">
        <v>0</v>
      </c>
      <c r="BP287">
        <v>0</v>
      </c>
      <c r="BR287">
        <v>0</v>
      </c>
      <c r="BS287">
        <v>3</v>
      </c>
      <c r="BX287">
        <v>0</v>
      </c>
      <c r="BY287">
        <v>558.14</v>
      </c>
      <c r="BZ287">
        <v>0</v>
      </c>
      <c r="CA287">
        <v>19.5</v>
      </c>
      <c r="CC287">
        <v>1</v>
      </c>
      <c r="CD287" s="56">
        <v>42619</v>
      </c>
      <c r="CE287" s="56">
        <v>42619</v>
      </c>
      <c r="CF287" s="56">
        <v>42619</v>
      </c>
      <c r="CG287" s="56">
        <v>42647</v>
      </c>
      <c r="CH287" s="56"/>
      <c r="CI287" s="56"/>
      <c r="CJ287">
        <v>7.0000000000000007E-2</v>
      </c>
      <c r="CK287">
        <v>0</v>
      </c>
      <c r="CL287">
        <v>0</v>
      </c>
      <c r="CM287">
        <v>0</v>
      </c>
      <c r="CN287">
        <v>0</v>
      </c>
      <c r="CO287">
        <v>0</v>
      </c>
      <c r="CP287">
        <v>0.65</v>
      </c>
      <c r="CQ287" t="s">
        <v>1378</v>
      </c>
      <c r="CR287" t="s">
        <v>1377</v>
      </c>
      <c r="CS287" t="s">
        <v>1451</v>
      </c>
      <c r="CT287" t="s">
        <v>1724</v>
      </c>
      <c r="CU287" t="s">
        <v>1742</v>
      </c>
      <c r="CV287" t="s">
        <v>1999</v>
      </c>
      <c r="DB287" t="s">
        <v>1997</v>
      </c>
      <c r="DE287" t="s">
        <v>1724</v>
      </c>
    </row>
    <row r="288" spans="1:109" x14ac:dyDescent="0.25">
      <c r="A288" t="s">
        <v>1378</v>
      </c>
      <c r="B288">
        <v>1</v>
      </c>
      <c r="C288" s="56">
        <v>42640</v>
      </c>
      <c r="D288" t="s">
        <v>1449</v>
      </c>
      <c r="E288" t="s">
        <v>2349</v>
      </c>
      <c r="G288" t="s">
        <v>1144</v>
      </c>
      <c r="H288" t="s">
        <v>1144</v>
      </c>
      <c r="I288" t="s">
        <v>1144</v>
      </c>
      <c r="J288" t="s">
        <v>1144</v>
      </c>
      <c r="K288" t="s">
        <v>1144</v>
      </c>
      <c r="L288">
        <v>202.02</v>
      </c>
      <c r="M288">
        <v>878.08</v>
      </c>
      <c r="N288">
        <v>0</v>
      </c>
      <c r="O288" s="56"/>
      <c r="P288" s="56"/>
      <c r="Q288">
        <v>13718</v>
      </c>
      <c r="R288">
        <v>9</v>
      </c>
      <c r="S288">
        <v>4</v>
      </c>
      <c r="T288">
        <v>2</v>
      </c>
      <c r="U288">
        <v>2</v>
      </c>
      <c r="V288">
        <v>1</v>
      </c>
      <c r="X288" t="s">
        <v>2385</v>
      </c>
      <c r="AA288">
        <v>0</v>
      </c>
      <c r="AB288">
        <v>0</v>
      </c>
      <c r="AC288">
        <v>0</v>
      </c>
      <c r="AD288">
        <v>0</v>
      </c>
      <c r="AE288">
        <v>0</v>
      </c>
      <c r="AF288">
        <v>0</v>
      </c>
      <c r="AG288">
        <v>0</v>
      </c>
      <c r="AJ288" s="56"/>
      <c r="AK288" s="56">
        <v>42369</v>
      </c>
      <c r="AL288" s="56"/>
      <c r="AM288">
        <v>5</v>
      </c>
      <c r="AP288" t="s">
        <v>1450</v>
      </c>
      <c r="AS288" t="s">
        <v>1152</v>
      </c>
      <c r="AT288">
        <v>1</v>
      </c>
      <c r="AV288">
        <v>2</v>
      </c>
      <c r="AW288">
        <v>2</v>
      </c>
      <c r="AX288">
        <v>1</v>
      </c>
      <c r="AY288" t="s">
        <v>1147</v>
      </c>
      <c r="AZ288" t="s">
        <v>1147</v>
      </c>
      <c r="BA288">
        <v>5</v>
      </c>
      <c r="BD288">
        <v>1000000000</v>
      </c>
      <c r="BE288">
        <v>3</v>
      </c>
      <c r="BF288">
        <v>-0.5</v>
      </c>
      <c r="BG288">
        <v>0</v>
      </c>
      <c r="BH288">
        <v>0</v>
      </c>
      <c r="BI288">
        <v>0</v>
      </c>
      <c r="BJ288">
        <v>0</v>
      </c>
      <c r="BK288">
        <v>0</v>
      </c>
      <c r="BL288">
        <v>0</v>
      </c>
      <c r="BM288">
        <v>3</v>
      </c>
      <c r="BN288">
        <v>-0.5</v>
      </c>
      <c r="BO288">
        <v>0</v>
      </c>
      <c r="BP288">
        <v>0</v>
      </c>
      <c r="BR288">
        <v>0</v>
      </c>
      <c r="BS288">
        <v>1</v>
      </c>
      <c r="BX288">
        <v>0</v>
      </c>
      <c r="BY288">
        <v>202.02</v>
      </c>
      <c r="BZ288">
        <v>0</v>
      </c>
      <c r="CA288">
        <v>40.159999999999997</v>
      </c>
      <c r="CC288">
        <v>1</v>
      </c>
      <c r="CD288" s="56">
        <v>42619</v>
      </c>
      <c r="CE288" s="56">
        <v>42619</v>
      </c>
      <c r="CF288" s="56">
        <v>42619</v>
      </c>
      <c r="CG288" s="56">
        <v>42647</v>
      </c>
      <c r="CH288" s="56"/>
      <c r="CI288" s="56"/>
      <c r="CJ288">
        <v>0</v>
      </c>
      <c r="CK288">
        <v>0</v>
      </c>
      <c r="CL288">
        <v>0</v>
      </c>
      <c r="CM288">
        <v>0</v>
      </c>
      <c r="CN288">
        <v>0</v>
      </c>
      <c r="CO288">
        <v>0</v>
      </c>
      <c r="CP288">
        <v>0.65</v>
      </c>
      <c r="CQ288" t="s">
        <v>1378</v>
      </c>
      <c r="CR288" t="s">
        <v>1377</v>
      </c>
      <c r="CS288" t="s">
        <v>1451</v>
      </c>
      <c r="CT288" t="s">
        <v>1724</v>
      </c>
      <c r="CU288" t="s">
        <v>1742</v>
      </c>
      <c r="CV288" t="s">
        <v>2350</v>
      </c>
      <c r="DB288" t="s">
        <v>2351</v>
      </c>
      <c r="DE288" t="s">
        <v>1724</v>
      </c>
    </row>
    <row r="289" spans="1:109" x14ac:dyDescent="0.25">
      <c r="A289" t="s">
        <v>1378</v>
      </c>
      <c r="B289">
        <v>1</v>
      </c>
      <c r="C289" s="56">
        <v>42640</v>
      </c>
      <c r="D289" t="s">
        <v>1449</v>
      </c>
      <c r="E289" t="s">
        <v>2051</v>
      </c>
      <c r="G289" t="s">
        <v>1144</v>
      </c>
      <c r="H289" t="s">
        <v>1144</v>
      </c>
      <c r="I289" t="s">
        <v>1144</v>
      </c>
      <c r="J289" t="s">
        <v>1144</v>
      </c>
      <c r="K289" t="s">
        <v>1144</v>
      </c>
      <c r="L289">
        <v>225.32</v>
      </c>
      <c r="M289">
        <v>2</v>
      </c>
      <c r="N289">
        <v>0</v>
      </c>
      <c r="O289" s="56"/>
      <c r="P289" s="56"/>
      <c r="Q289">
        <v>13718</v>
      </c>
      <c r="R289">
        <v>9</v>
      </c>
      <c r="S289">
        <v>4</v>
      </c>
      <c r="T289">
        <v>2</v>
      </c>
      <c r="U289">
        <v>2</v>
      </c>
      <c r="V289">
        <v>1</v>
      </c>
      <c r="W289" t="s">
        <v>2379</v>
      </c>
      <c r="X289" t="s">
        <v>2386</v>
      </c>
      <c r="AA289">
        <v>0</v>
      </c>
      <c r="AB289">
        <v>0</v>
      </c>
      <c r="AC289">
        <v>0</v>
      </c>
      <c r="AD289">
        <v>0</v>
      </c>
      <c r="AE289">
        <v>0</v>
      </c>
      <c r="AF289">
        <v>0</v>
      </c>
      <c r="AG289">
        <v>0</v>
      </c>
      <c r="AJ289" s="56"/>
      <c r="AK289" s="56">
        <v>42369</v>
      </c>
      <c r="AL289" s="56"/>
      <c r="AM289">
        <v>1</v>
      </c>
      <c r="AP289" t="s">
        <v>1450</v>
      </c>
      <c r="AS289" t="s">
        <v>1152</v>
      </c>
      <c r="AT289">
        <v>1</v>
      </c>
      <c r="AV289">
        <v>1</v>
      </c>
      <c r="AW289">
        <v>1</v>
      </c>
      <c r="AX289">
        <v>0.5</v>
      </c>
      <c r="AY289" t="s">
        <v>1145</v>
      </c>
      <c r="AZ289" t="s">
        <v>1145</v>
      </c>
      <c r="BA289">
        <v>1</v>
      </c>
      <c r="BD289">
        <v>1000000000</v>
      </c>
      <c r="BE289">
        <v>1</v>
      </c>
      <c r="BF289">
        <v>0</v>
      </c>
      <c r="BG289">
        <v>0</v>
      </c>
      <c r="BH289">
        <v>0</v>
      </c>
      <c r="BI289">
        <v>0</v>
      </c>
      <c r="BJ289">
        <v>0</v>
      </c>
      <c r="BK289">
        <v>0</v>
      </c>
      <c r="BL289">
        <v>0</v>
      </c>
      <c r="BM289">
        <v>1</v>
      </c>
      <c r="BN289">
        <v>0</v>
      </c>
      <c r="BO289">
        <v>0</v>
      </c>
      <c r="BP289">
        <v>0</v>
      </c>
      <c r="BR289">
        <v>0</v>
      </c>
      <c r="BS289">
        <v>1</v>
      </c>
      <c r="BX289">
        <v>0</v>
      </c>
      <c r="BY289">
        <v>0</v>
      </c>
      <c r="BZ289">
        <v>0</v>
      </c>
      <c r="CA289">
        <v>-11.89</v>
      </c>
      <c r="CC289">
        <v>1</v>
      </c>
      <c r="CD289" s="56">
        <v>42593</v>
      </c>
      <c r="CE289" s="56">
        <v>42612</v>
      </c>
      <c r="CF289" s="56">
        <v>42612</v>
      </c>
      <c r="CG289" s="56">
        <v>42640</v>
      </c>
      <c r="CH289" s="56"/>
      <c r="CI289" s="56"/>
      <c r="CJ289">
        <v>0</v>
      </c>
      <c r="CK289">
        <v>0</v>
      </c>
      <c r="CL289">
        <v>0</v>
      </c>
      <c r="CM289">
        <v>0</v>
      </c>
      <c r="CN289">
        <v>0.71</v>
      </c>
      <c r="CO289">
        <v>0</v>
      </c>
      <c r="CP289">
        <v>0</v>
      </c>
      <c r="CQ289" t="s">
        <v>1378</v>
      </c>
      <c r="CR289" t="s">
        <v>1377</v>
      </c>
      <c r="CS289" t="s">
        <v>1451</v>
      </c>
      <c r="CT289" t="s">
        <v>1724</v>
      </c>
      <c r="CU289" t="s">
        <v>1742</v>
      </c>
      <c r="CV289" t="s">
        <v>2052</v>
      </c>
      <c r="DB289" t="s">
        <v>2014</v>
      </c>
      <c r="DE289" t="s">
        <v>1724</v>
      </c>
    </row>
    <row r="290" spans="1:109" x14ac:dyDescent="0.25">
      <c r="A290" t="s">
        <v>1378</v>
      </c>
      <c r="B290">
        <v>1</v>
      </c>
      <c r="C290" s="56">
        <v>42640</v>
      </c>
      <c r="D290" t="s">
        <v>1449</v>
      </c>
      <c r="E290" t="s">
        <v>1396</v>
      </c>
      <c r="G290" t="s">
        <v>1144</v>
      </c>
      <c r="H290" t="s">
        <v>1144</v>
      </c>
      <c r="I290" t="s">
        <v>1144</v>
      </c>
      <c r="J290" t="s">
        <v>1144</v>
      </c>
      <c r="K290" t="s">
        <v>1144</v>
      </c>
      <c r="L290">
        <v>93.01</v>
      </c>
      <c r="M290">
        <v>230.18</v>
      </c>
      <c r="N290">
        <v>0</v>
      </c>
      <c r="O290" s="56"/>
      <c r="P290" s="56"/>
      <c r="Q290">
        <v>13718</v>
      </c>
      <c r="R290">
        <v>9</v>
      </c>
      <c r="S290">
        <v>4</v>
      </c>
      <c r="T290">
        <v>2</v>
      </c>
      <c r="U290">
        <v>2</v>
      </c>
      <c r="V290">
        <v>1</v>
      </c>
      <c r="X290" t="s">
        <v>2385</v>
      </c>
      <c r="AA290">
        <v>0.04</v>
      </c>
      <c r="AB290">
        <v>1</v>
      </c>
      <c r="AC290">
        <v>25</v>
      </c>
      <c r="AD290">
        <v>31.25</v>
      </c>
      <c r="AE290">
        <v>0</v>
      </c>
      <c r="AF290">
        <v>0</v>
      </c>
      <c r="AG290">
        <v>0</v>
      </c>
      <c r="AJ290" s="56">
        <v>42666</v>
      </c>
      <c r="AK290" s="56"/>
      <c r="AL290" s="56"/>
      <c r="AM290">
        <v>5</v>
      </c>
      <c r="AP290" t="s">
        <v>1450</v>
      </c>
      <c r="AS290" t="s">
        <v>1152</v>
      </c>
      <c r="AT290">
        <v>1</v>
      </c>
      <c r="AV290">
        <v>4</v>
      </c>
      <c r="AW290">
        <v>3</v>
      </c>
      <c r="AX290">
        <v>1</v>
      </c>
      <c r="AY290" t="s">
        <v>1147</v>
      </c>
      <c r="AZ290" t="s">
        <v>1147</v>
      </c>
      <c r="BA290">
        <v>5</v>
      </c>
      <c r="BD290">
        <v>1000000000</v>
      </c>
      <c r="BE290">
        <v>5</v>
      </c>
      <c r="BF290">
        <v>-0.25</v>
      </c>
      <c r="BG290">
        <v>0</v>
      </c>
      <c r="BH290">
        <v>0</v>
      </c>
      <c r="BI290">
        <v>0</v>
      </c>
      <c r="BJ290">
        <v>0</v>
      </c>
      <c r="BK290">
        <v>0</v>
      </c>
      <c r="BL290">
        <v>0</v>
      </c>
      <c r="BM290">
        <v>5</v>
      </c>
      <c r="BN290">
        <v>-0.25</v>
      </c>
      <c r="BO290">
        <v>0</v>
      </c>
      <c r="BP290">
        <v>0</v>
      </c>
      <c r="BR290">
        <v>0</v>
      </c>
      <c r="BS290">
        <v>2</v>
      </c>
      <c r="BX290">
        <v>0</v>
      </c>
      <c r="BY290">
        <v>93.01</v>
      </c>
      <c r="BZ290">
        <v>0</v>
      </c>
      <c r="CA290">
        <v>17.7</v>
      </c>
      <c r="CC290">
        <v>1</v>
      </c>
      <c r="CD290" s="56">
        <v>42619</v>
      </c>
      <c r="CE290" s="56">
        <v>42619</v>
      </c>
      <c r="CF290" s="56">
        <v>42619</v>
      </c>
      <c r="CG290" s="56">
        <v>42647</v>
      </c>
      <c r="CH290" s="56"/>
      <c r="CI290" s="56"/>
      <c r="CJ290">
        <v>0</v>
      </c>
      <c r="CK290">
        <v>0</v>
      </c>
      <c r="CL290">
        <v>0</v>
      </c>
      <c r="CM290">
        <v>0</v>
      </c>
      <c r="CN290">
        <v>0</v>
      </c>
      <c r="CO290">
        <v>0</v>
      </c>
      <c r="CP290">
        <v>0.65</v>
      </c>
      <c r="CQ290" t="s">
        <v>1378</v>
      </c>
      <c r="CR290" t="s">
        <v>1377</v>
      </c>
      <c r="CS290" t="s">
        <v>1451</v>
      </c>
      <c r="CT290" t="s">
        <v>1724</v>
      </c>
      <c r="CU290" t="s">
        <v>1742</v>
      </c>
      <c r="CV290" t="s">
        <v>1876</v>
      </c>
      <c r="DB290" t="s">
        <v>1869</v>
      </c>
      <c r="DE290" t="s">
        <v>1724</v>
      </c>
    </row>
    <row r="291" spans="1:109" x14ac:dyDescent="0.25">
      <c r="A291" t="s">
        <v>1378</v>
      </c>
      <c r="B291">
        <v>1</v>
      </c>
      <c r="C291" s="56">
        <v>42640</v>
      </c>
      <c r="D291" t="s">
        <v>1449</v>
      </c>
      <c r="E291" t="s">
        <v>2230</v>
      </c>
      <c r="G291" t="s">
        <v>1144</v>
      </c>
      <c r="H291" t="s">
        <v>1144</v>
      </c>
      <c r="I291" t="s">
        <v>1144</v>
      </c>
      <c r="J291" t="s">
        <v>1144</v>
      </c>
      <c r="K291" t="s">
        <v>1144</v>
      </c>
      <c r="L291">
        <v>431.36</v>
      </c>
      <c r="M291">
        <v>2</v>
      </c>
      <c r="N291">
        <v>0</v>
      </c>
      <c r="O291" s="56"/>
      <c r="P291" s="56"/>
      <c r="Q291">
        <v>13718</v>
      </c>
      <c r="R291">
        <v>9</v>
      </c>
      <c r="S291">
        <v>4</v>
      </c>
      <c r="T291">
        <v>2</v>
      </c>
      <c r="U291">
        <v>2</v>
      </c>
      <c r="V291">
        <v>1</v>
      </c>
      <c r="X291" t="s">
        <v>2386</v>
      </c>
      <c r="AA291">
        <v>0</v>
      </c>
      <c r="AB291">
        <v>0</v>
      </c>
      <c r="AC291">
        <v>0</v>
      </c>
      <c r="AD291">
        <v>0</v>
      </c>
      <c r="AE291">
        <v>0</v>
      </c>
      <c r="AF291">
        <v>0</v>
      </c>
      <c r="AG291">
        <v>0</v>
      </c>
      <c r="AJ291" s="56"/>
      <c r="AK291" s="56">
        <v>42369</v>
      </c>
      <c r="AL291" s="56"/>
      <c r="AM291">
        <v>1</v>
      </c>
      <c r="AP291" t="s">
        <v>1450</v>
      </c>
      <c r="AS291" t="s">
        <v>1152</v>
      </c>
      <c r="AT291">
        <v>1</v>
      </c>
      <c r="AV291">
        <v>1</v>
      </c>
      <c r="AW291">
        <v>1</v>
      </c>
      <c r="AX291">
        <v>0.5</v>
      </c>
      <c r="AY291" t="s">
        <v>1147</v>
      </c>
      <c r="AZ291" t="s">
        <v>1147</v>
      </c>
      <c r="BA291">
        <v>1</v>
      </c>
      <c r="BD291">
        <v>1000000000</v>
      </c>
      <c r="BE291">
        <v>3</v>
      </c>
      <c r="BF291">
        <v>-2</v>
      </c>
      <c r="BG291">
        <v>0</v>
      </c>
      <c r="BH291">
        <v>0</v>
      </c>
      <c r="BI291">
        <v>0</v>
      </c>
      <c r="BJ291">
        <v>0</v>
      </c>
      <c r="BK291">
        <v>0</v>
      </c>
      <c r="BL291">
        <v>0</v>
      </c>
      <c r="BM291">
        <v>3</v>
      </c>
      <c r="BN291">
        <v>-2</v>
      </c>
      <c r="BO291">
        <v>0</v>
      </c>
      <c r="BP291">
        <v>0</v>
      </c>
      <c r="BR291">
        <v>0</v>
      </c>
      <c r="BS291">
        <v>1</v>
      </c>
      <c r="BX291">
        <v>0</v>
      </c>
      <c r="BY291">
        <v>862.72</v>
      </c>
      <c r="BZ291">
        <v>0</v>
      </c>
      <c r="CA291">
        <v>-11.94</v>
      </c>
      <c r="CC291">
        <v>1</v>
      </c>
      <c r="CD291" s="56">
        <v>42593</v>
      </c>
      <c r="CE291" s="56">
        <v>42612</v>
      </c>
      <c r="CF291" s="56">
        <v>42612</v>
      </c>
      <c r="CG291" s="56">
        <v>42640</v>
      </c>
      <c r="CH291" s="56"/>
      <c r="CI291" s="56"/>
      <c r="CJ291">
        <v>0</v>
      </c>
      <c r="CK291">
        <v>0</v>
      </c>
      <c r="CL291">
        <v>0</v>
      </c>
      <c r="CM291">
        <v>0</v>
      </c>
      <c r="CN291">
        <v>0</v>
      </c>
      <c r="CO291">
        <v>0</v>
      </c>
      <c r="CP291">
        <v>0.71</v>
      </c>
      <c r="CQ291" t="s">
        <v>1378</v>
      </c>
      <c r="CR291" t="s">
        <v>1377</v>
      </c>
      <c r="CS291" t="s">
        <v>1451</v>
      </c>
      <c r="CT291" t="s">
        <v>1724</v>
      </c>
      <c r="CU291" t="s">
        <v>1742</v>
      </c>
      <c r="CV291" t="s">
        <v>2231</v>
      </c>
      <c r="DB291" t="s">
        <v>2134</v>
      </c>
      <c r="DE291" t="s">
        <v>1724</v>
      </c>
    </row>
    <row r="292" spans="1:109" x14ac:dyDescent="0.25">
      <c r="A292" t="s">
        <v>1378</v>
      </c>
      <c r="B292">
        <v>1</v>
      </c>
      <c r="C292" s="56">
        <v>42640</v>
      </c>
      <c r="D292" t="s">
        <v>1449</v>
      </c>
      <c r="E292" t="s">
        <v>1947</v>
      </c>
      <c r="G292" t="s">
        <v>1144</v>
      </c>
      <c r="H292" t="s">
        <v>1144</v>
      </c>
      <c r="I292" t="s">
        <v>1144</v>
      </c>
      <c r="J292" t="s">
        <v>1144</v>
      </c>
      <c r="K292" t="s">
        <v>1144</v>
      </c>
      <c r="L292">
        <v>110.16</v>
      </c>
      <c r="M292">
        <v>230.18</v>
      </c>
      <c r="N292">
        <v>0</v>
      </c>
      <c r="O292" s="56"/>
      <c r="P292" s="56"/>
      <c r="Q292">
        <v>13718</v>
      </c>
      <c r="R292">
        <v>9</v>
      </c>
      <c r="S292">
        <v>4</v>
      </c>
      <c r="T292">
        <v>2</v>
      </c>
      <c r="U292">
        <v>2</v>
      </c>
      <c r="V292">
        <v>1</v>
      </c>
      <c r="X292" t="s">
        <v>2385</v>
      </c>
      <c r="AA292">
        <v>0</v>
      </c>
      <c r="AB292">
        <v>0</v>
      </c>
      <c r="AC292">
        <v>0</v>
      </c>
      <c r="AD292">
        <v>0</v>
      </c>
      <c r="AE292">
        <v>0</v>
      </c>
      <c r="AF292">
        <v>0</v>
      </c>
      <c r="AG292">
        <v>0</v>
      </c>
      <c r="AJ292" s="56"/>
      <c r="AK292" s="56"/>
      <c r="AL292" s="56"/>
      <c r="AP292" t="s">
        <v>1450</v>
      </c>
      <c r="AS292" t="s">
        <v>1152</v>
      </c>
      <c r="AT292">
        <v>1</v>
      </c>
      <c r="AV292">
        <v>0</v>
      </c>
      <c r="AW292">
        <v>0</v>
      </c>
      <c r="AX292">
        <v>0</v>
      </c>
      <c r="AY292" t="s">
        <v>1375</v>
      </c>
      <c r="AZ292" t="s">
        <v>1375</v>
      </c>
      <c r="BA292">
        <v>2</v>
      </c>
      <c r="BD292">
        <v>1000000000</v>
      </c>
      <c r="BE292">
        <v>0</v>
      </c>
      <c r="BF292">
        <v>0</v>
      </c>
      <c r="BG292">
        <v>0</v>
      </c>
      <c r="BH292">
        <v>0</v>
      </c>
      <c r="BI292">
        <v>0</v>
      </c>
      <c r="BJ292">
        <v>0</v>
      </c>
      <c r="BK292">
        <v>0</v>
      </c>
      <c r="BL292">
        <v>0</v>
      </c>
      <c r="BM292">
        <v>0</v>
      </c>
      <c r="BN292">
        <v>0</v>
      </c>
      <c r="BO292">
        <v>0</v>
      </c>
      <c r="BP292">
        <v>0</v>
      </c>
      <c r="BR292">
        <v>0</v>
      </c>
      <c r="BS292">
        <v>0</v>
      </c>
      <c r="BX292">
        <v>0</v>
      </c>
      <c r="BY292">
        <v>0</v>
      </c>
      <c r="BZ292">
        <v>0</v>
      </c>
      <c r="CA292">
        <v>0</v>
      </c>
      <c r="CC292">
        <v>1</v>
      </c>
      <c r="CD292" s="56">
        <v>42619</v>
      </c>
      <c r="CE292" s="56">
        <v>42619</v>
      </c>
      <c r="CF292" s="56">
        <v>42619</v>
      </c>
      <c r="CG292" s="56">
        <v>42647</v>
      </c>
      <c r="CH292" s="56"/>
      <c r="CI292" s="56"/>
      <c r="CJ292">
        <v>1</v>
      </c>
      <c r="CK292">
        <v>0</v>
      </c>
      <c r="CL292">
        <v>0.65</v>
      </c>
      <c r="CM292">
        <v>0</v>
      </c>
      <c r="CN292">
        <v>0</v>
      </c>
      <c r="CO292">
        <v>0</v>
      </c>
      <c r="CP292">
        <v>0</v>
      </c>
      <c r="CQ292" t="s">
        <v>1378</v>
      </c>
      <c r="CR292" t="s">
        <v>1377</v>
      </c>
      <c r="CS292" t="s">
        <v>1451</v>
      </c>
      <c r="CT292" t="s">
        <v>1724</v>
      </c>
      <c r="CU292" t="s">
        <v>1742</v>
      </c>
      <c r="CV292" t="s">
        <v>1945</v>
      </c>
      <c r="DB292" t="s">
        <v>1869</v>
      </c>
      <c r="DE292" t="s">
        <v>1724</v>
      </c>
    </row>
    <row r="293" spans="1:109" x14ac:dyDescent="0.25">
      <c r="A293" t="s">
        <v>1378</v>
      </c>
      <c r="B293">
        <v>1</v>
      </c>
      <c r="C293" s="56">
        <v>42640</v>
      </c>
      <c r="D293" t="s">
        <v>1449</v>
      </c>
      <c r="E293" t="s">
        <v>1466</v>
      </c>
      <c r="G293" t="s">
        <v>1144</v>
      </c>
      <c r="H293" t="s">
        <v>1144</v>
      </c>
      <c r="I293" t="s">
        <v>1144</v>
      </c>
      <c r="J293" t="s">
        <v>1144</v>
      </c>
      <c r="K293" t="s">
        <v>1144</v>
      </c>
      <c r="L293">
        <v>97.66</v>
      </c>
      <c r="M293">
        <v>230.18</v>
      </c>
      <c r="N293">
        <v>0</v>
      </c>
      <c r="O293" s="56"/>
      <c r="P293" s="56"/>
      <c r="Q293">
        <v>13718</v>
      </c>
      <c r="R293">
        <v>9</v>
      </c>
      <c r="S293">
        <v>4</v>
      </c>
      <c r="T293">
        <v>2</v>
      </c>
      <c r="U293">
        <v>2</v>
      </c>
      <c r="V293">
        <v>1</v>
      </c>
      <c r="X293" t="s">
        <v>2385</v>
      </c>
      <c r="AA293">
        <v>0.2</v>
      </c>
      <c r="AB293">
        <v>2</v>
      </c>
      <c r="AC293">
        <v>5</v>
      </c>
      <c r="AD293">
        <v>6.25</v>
      </c>
      <c r="AE293">
        <v>0</v>
      </c>
      <c r="AF293">
        <v>0</v>
      </c>
      <c r="AG293">
        <v>0</v>
      </c>
      <c r="AJ293" s="56"/>
      <c r="AK293" s="56"/>
      <c r="AL293" s="56"/>
      <c r="AM293">
        <v>5</v>
      </c>
      <c r="AP293" t="s">
        <v>1450</v>
      </c>
      <c r="AS293" t="s">
        <v>1152</v>
      </c>
      <c r="AT293">
        <v>1</v>
      </c>
      <c r="AV293">
        <v>4</v>
      </c>
      <c r="AW293">
        <v>3</v>
      </c>
      <c r="AX293">
        <v>1</v>
      </c>
      <c r="AY293" t="s">
        <v>1147</v>
      </c>
      <c r="AZ293" t="s">
        <v>1147</v>
      </c>
      <c r="BA293">
        <v>5</v>
      </c>
      <c r="BD293">
        <v>1000000000</v>
      </c>
      <c r="BE293">
        <v>5</v>
      </c>
      <c r="BF293">
        <v>-0.25</v>
      </c>
      <c r="BG293">
        <v>0</v>
      </c>
      <c r="BH293">
        <v>0</v>
      </c>
      <c r="BI293">
        <v>0</v>
      </c>
      <c r="BJ293">
        <v>0</v>
      </c>
      <c r="BK293">
        <v>0</v>
      </c>
      <c r="BL293">
        <v>0</v>
      </c>
      <c r="BM293">
        <v>5</v>
      </c>
      <c r="BN293">
        <v>-0.25</v>
      </c>
      <c r="BO293">
        <v>0</v>
      </c>
      <c r="BP293">
        <v>0</v>
      </c>
      <c r="BR293">
        <v>0</v>
      </c>
      <c r="BS293">
        <v>2</v>
      </c>
      <c r="BX293">
        <v>0</v>
      </c>
      <c r="BY293">
        <v>97.66</v>
      </c>
      <c r="BZ293">
        <v>0</v>
      </c>
      <c r="CA293">
        <v>16.28</v>
      </c>
      <c r="CC293">
        <v>1</v>
      </c>
      <c r="CD293" s="56">
        <v>42619</v>
      </c>
      <c r="CE293" s="56">
        <v>42619</v>
      </c>
      <c r="CF293" s="56">
        <v>42619</v>
      </c>
      <c r="CG293" s="56">
        <v>42647</v>
      </c>
      <c r="CH293" s="56"/>
      <c r="CI293" s="56"/>
      <c r="CJ293">
        <v>0.17</v>
      </c>
      <c r="CK293">
        <v>0</v>
      </c>
      <c r="CL293">
        <v>0</v>
      </c>
      <c r="CM293">
        <v>0</v>
      </c>
      <c r="CN293">
        <v>0</v>
      </c>
      <c r="CO293">
        <v>0</v>
      </c>
      <c r="CP293">
        <v>0.65</v>
      </c>
      <c r="CQ293" t="s">
        <v>1378</v>
      </c>
      <c r="CR293" t="s">
        <v>1377</v>
      </c>
      <c r="CS293" t="s">
        <v>1451</v>
      </c>
      <c r="CT293" t="s">
        <v>1724</v>
      </c>
      <c r="CU293" t="s">
        <v>1742</v>
      </c>
      <c r="CV293" t="s">
        <v>1926</v>
      </c>
      <c r="DB293" t="s">
        <v>1869</v>
      </c>
      <c r="DE293" t="s">
        <v>1724</v>
      </c>
    </row>
    <row r="294" spans="1:109" x14ac:dyDescent="0.25">
      <c r="A294" t="s">
        <v>1378</v>
      </c>
      <c r="B294">
        <v>1</v>
      </c>
      <c r="C294" s="56">
        <v>42640</v>
      </c>
      <c r="D294" t="s">
        <v>1449</v>
      </c>
      <c r="E294" t="s">
        <v>2277</v>
      </c>
      <c r="G294" t="s">
        <v>1144</v>
      </c>
      <c r="H294" t="s">
        <v>1144</v>
      </c>
      <c r="I294" t="s">
        <v>1144</v>
      </c>
      <c r="J294" t="s">
        <v>1144</v>
      </c>
      <c r="K294" t="s">
        <v>1144</v>
      </c>
      <c r="L294">
        <v>563.17999999999995</v>
      </c>
      <c r="M294">
        <v>2</v>
      </c>
      <c r="N294">
        <v>0</v>
      </c>
      <c r="O294" s="56"/>
      <c r="P294" s="56"/>
      <c r="Q294">
        <v>13718</v>
      </c>
      <c r="R294">
        <v>9</v>
      </c>
      <c r="S294">
        <v>4</v>
      </c>
      <c r="T294">
        <v>2</v>
      </c>
      <c r="U294">
        <v>2</v>
      </c>
      <c r="V294">
        <v>1</v>
      </c>
      <c r="W294" t="s">
        <v>2379</v>
      </c>
      <c r="X294" t="s">
        <v>2387</v>
      </c>
      <c r="AA294">
        <v>0.04</v>
      </c>
      <c r="AB294">
        <v>1</v>
      </c>
      <c r="AC294">
        <v>12.5</v>
      </c>
      <c r="AD294">
        <v>6.25</v>
      </c>
      <c r="AE294">
        <v>0</v>
      </c>
      <c r="AF294">
        <v>0</v>
      </c>
      <c r="AG294">
        <v>0</v>
      </c>
      <c r="AJ294" s="56"/>
      <c r="AK294" s="56"/>
      <c r="AL294" s="56">
        <v>42656</v>
      </c>
      <c r="AM294">
        <v>1</v>
      </c>
      <c r="AP294" t="s">
        <v>1450</v>
      </c>
      <c r="AS294" t="s">
        <v>1152</v>
      </c>
      <c r="AT294">
        <v>1</v>
      </c>
      <c r="AV294">
        <v>2</v>
      </c>
      <c r="AW294">
        <v>2</v>
      </c>
      <c r="AX294">
        <v>1</v>
      </c>
      <c r="AY294" t="s">
        <v>1146</v>
      </c>
      <c r="AZ294" t="s">
        <v>1146</v>
      </c>
      <c r="BA294">
        <v>1</v>
      </c>
      <c r="BD294">
        <v>1000000000</v>
      </c>
      <c r="BE294">
        <v>1</v>
      </c>
      <c r="BF294">
        <v>0.5</v>
      </c>
      <c r="BG294">
        <v>0</v>
      </c>
      <c r="BH294">
        <v>0</v>
      </c>
      <c r="BI294">
        <v>0</v>
      </c>
      <c r="BJ294">
        <v>0</v>
      </c>
      <c r="BK294">
        <v>0</v>
      </c>
      <c r="BL294">
        <v>0</v>
      </c>
      <c r="BM294">
        <v>1</v>
      </c>
      <c r="BN294">
        <v>0.5</v>
      </c>
      <c r="BO294">
        <v>0</v>
      </c>
      <c r="BP294">
        <v>0</v>
      </c>
      <c r="BR294">
        <v>1</v>
      </c>
      <c r="BS294">
        <v>1</v>
      </c>
      <c r="BX294">
        <v>0</v>
      </c>
      <c r="BY294">
        <v>0</v>
      </c>
      <c r="BZ294">
        <v>0</v>
      </c>
      <c r="CA294">
        <v>-11.96</v>
      </c>
      <c r="CC294">
        <v>1</v>
      </c>
      <c r="CD294" s="56">
        <v>42592</v>
      </c>
      <c r="CE294" s="56">
        <v>42612</v>
      </c>
      <c r="CF294" s="56">
        <v>42612</v>
      </c>
      <c r="CG294" s="56">
        <v>42640</v>
      </c>
      <c r="CH294" s="56"/>
      <c r="CI294" s="56"/>
      <c r="CJ294">
        <v>0.33</v>
      </c>
      <c r="CK294">
        <v>1</v>
      </c>
      <c r="CL294">
        <v>0</v>
      </c>
      <c r="CM294">
        <v>0.32</v>
      </c>
      <c r="CN294">
        <v>0.39</v>
      </c>
      <c r="CO294">
        <v>0</v>
      </c>
      <c r="CP294">
        <v>0</v>
      </c>
      <c r="CQ294" t="s">
        <v>1378</v>
      </c>
      <c r="CR294" t="s">
        <v>1377</v>
      </c>
      <c r="CS294" t="s">
        <v>1451</v>
      </c>
      <c r="CT294" t="s">
        <v>1724</v>
      </c>
      <c r="CU294" t="s">
        <v>1742</v>
      </c>
      <c r="CV294" t="s">
        <v>2278</v>
      </c>
      <c r="DB294" t="s">
        <v>2265</v>
      </c>
      <c r="DE294" t="s">
        <v>1724</v>
      </c>
    </row>
    <row r="295" spans="1:109" x14ac:dyDescent="0.25">
      <c r="A295" t="s">
        <v>1378</v>
      </c>
      <c r="B295">
        <v>1</v>
      </c>
      <c r="C295" s="56">
        <v>42640</v>
      </c>
      <c r="D295" t="s">
        <v>1449</v>
      </c>
      <c r="E295" t="s">
        <v>1986</v>
      </c>
      <c r="G295" t="s">
        <v>1144</v>
      </c>
      <c r="H295" t="s">
        <v>1144</v>
      </c>
      <c r="I295" t="s">
        <v>1144</v>
      </c>
      <c r="J295" t="s">
        <v>1144</v>
      </c>
      <c r="K295" t="s">
        <v>1144</v>
      </c>
      <c r="L295">
        <v>0</v>
      </c>
      <c r="M295">
        <v>1056.52</v>
      </c>
      <c r="N295">
        <v>0</v>
      </c>
      <c r="O295" s="56"/>
      <c r="P295" s="56"/>
      <c r="Q295">
        <v>13718</v>
      </c>
      <c r="R295">
        <v>9</v>
      </c>
      <c r="S295">
        <v>4</v>
      </c>
      <c r="T295">
        <v>2</v>
      </c>
      <c r="U295">
        <v>2</v>
      </c>
      <c r="V295">
        <v>1</v>
      </c>
      <c r="X295" t="s">
        <v>2386</v>
      </c>
      <c r="AA295">
        <v>0</v>
      </c>
      <c r="AB295">
        <v>0</v>
      </c>
      <c r="AC295">
        <v>0</v>
      </c>
      <c r="AD295">
        <v>0</v>
      </c>
      <c r="AE295">
        <v>0</v>
      </c>
      <c r="AF295">
        <v>0</v>
      </c>
      <c r="AG295">
        <v>0</v>
      </c>
      <c r="AJ295" s="56"/>
      <c r="AK295" s="56"/>
      <c r="AL295" s="56"/>
      <c r="AP295" t="s">
        <v>1450</v>
      </c>
      <c r="AS295" t="s">
        <v>1152</v>
      </c>
      <c r="AT295">
        <v>1</v>
      </c>
      <c r="AV295">
        <v>0</v>
      </c>
      <c r="AW295">
        <v>0</v>
      </c>
      <c r="AX295">
        <v>0</v>
      </c>
      <c r="AY295" t="s">
        <v>1375</v>
      </c>
      <c r="AZ295" t="s">
        <v>1375</v>
      </c>
      <c r="BA295">
        <v>0</v>
      </c>
      <c r="BD295">
        <v>1000000000</v>
      </c>
      <c r="BE295">
        <v>0</v>
      </c>
      <c r="BF295">
        <v>0</v>
      </c>
      <c r="BG295">
        <v>0</v>
      </c>
      <c r="BH295">
        <v>0</v>
      </c>
      <c r="BI295">
        <v>0</v>
      </c>
      <c r="BJ295">
        <v>0</v>
      </c>
      <c r="BK295">
        <v>0</v>
      </c>
      <c r="BL295">
        <v>0</v>
      </c>
      <c r="BM295">
        <v>0</v>
      </c>
      <c r="BN295">
        <v>0</v>
      </c>
      <c r="BO295">
        <v>0</v>
      </c>
      <c r="BP295">
        <v>0</v>
      </c>
      <c r="BR295">
        <v>0</v>
      </c>
      <c r="BS295">
        <v>0</v>
      </c>
      <c r="BX295">
        <v>0</v>
      </c>
      <c r="BY295">
        <v>0</v>
      </c>
      <c r="BZ295">
        <v>0</v>
      </c>
      <c r="CA295">
        <v>0</v>
      </c>
      <c r="CC295">
        <v>1</v>
      </c>
      <c r="CD295" s="56">
        <v>42593</v>
      </c>
      <c r="CE295" s="56">
        <v>42612</v>
      </c>
      <c r="CF295" s="56">
        <v>42612</v>
      </c>
      <c r="CG295" s="56">
        <v>42640</v>
      </c>
      <c r="CH295" s="56"/>
      <c r="CI295" s="56"/>
      <c r="CJ295">
        <v>1</v>
      </c>
      <c r="CK295">
        <v>0</v>
      </c>
      <c r="CL295">
        <v>0.71</v>
      </c>
      <c r="CM295">
        <v>0</v>
      </c>
      <c r="CN295">
        <v>0</v>
      </c>
      <c r="CO295">
        <v>0</v>
      </c>
      <c r="CP295">
        <v>0</v>
      </c>
      <c r="CQ295" t="s">
        <v>1378</v>
      </c>
      <c r="CR295" t="s">
        <v>1377</v>
      </c>
      <c r="CS295" t="s">
        <v>1451</v>
      </c>
      <c r="CT295" t="s">
        <v>1724</v>
      </c>
      <c r="CU295" t="s">
        <v>1742</v>
      </c>
      <c r="CV295" t="s">
        <v>1987</v>
      </c>
      <c r="DB295" t="s">
        <v>1978</v>
      </c>
      <c r="DE295" t="s">
        <v>1724</v>
      </c>
    </row>
    <row r="296" spans="1:109" x14ac:dyDescent="0.25">
      <c r="A296" t="s">
        <v>1378</v>
      </c>
      <c r="B296">
        <v>1</v>
      </c>
      <c r="C296" s="56">
        <v>42640</v>
      </c>
      <c r="D296" t="s">
        <v>1449</v>
      </c>
      <c r="E296" t="s">
        <v>1495</v>
      </c>
      <c r="G296" t="s">
        <v>1144</v>
      </c>
      <c r="H296" t="s">
        <v>1144</v>
      </c>
      <c r="I296" t="s">
        <v>1144</v>
      </c>
      <c r="J296" t="s">
        <v>1144</v>
      </c>
      <c r="K296" t="s">
        <v>1144</v>
      </c>
      <c r="L296">
        <v>1144.1199999999999</v>
      </c>
      <c r="M296">
        <v>2</v>
      </c>
      <c r="N296">
        <v>0</v>
      </c>
      <c r="O296" s="56"/>
      <c r="P296" s="56"/>
      <c r="Q296">
        <v>13718</v>
      </c>
      <c r="R296">
        <v>9</v>
      </c>
      <c r="S296">
        <v>4</v>
      </c>
      <c r="T296">
        <v>2</v>
      </c>
      <c r="U296">
        <v>2</v>
      </c>
      <c r="V296">
        <v>1</v>
      </c>
      <c r="W296" t="s">
        <v>1376</v>
      </c>
      <c r="X296" t="s">
        <v>2385</v>
      </c>
      <c r="AA296">
        <v>0</v>
      </c>
      <c r="AB296">
        <v>0</v>
      </c>
      <c r="AC296">
        <v>0</v>
      </c>
      <c r="AD296">
        <v>0</v>
      </c>
      <c r="AE296">
        <v>0</v>
      </c>
      <c r="AF296">
        <v>0</v>
      </c>
      <c r="AG296">
        <v>0</v>
      </c>
      <c r="AJ296" s="56"/>
      <c r="AK296" s="56">
        <v>42369</v>
      </c>
      <c r="AL296" s="56"/>
      <c r="AM296">
        <v>1</v>
      </c>
      <c r="AP296" t="s">
        <v>1450</v>
      </c>
      <c r="AS296" t="s">
        <v>1152</v>
      </c>
      <c r="AT296">
        <v>1</v>
      </c>
      <c r="AV296">
        <v>2</v>
      </c>
      <c r="AW296">
        <v>2</v>
      </c>
      <c r="AX296">
        <v>1</v>
      </c>
      <c r="AY296" t="s">
        <v>1145</v>
      </c>
      <c r="AZ296" t="s">
        <v>1145</v>
      </c>
      <c r="BA296">
        <v>3</v>
      </c>
      <c r="BD296">
        <v>1000000000</v>
      </c>
      <c r="BE296">
        <v>2</v>
      </c>
      <c r="BF296">
        <v>0</v>
      </c>
      <c r="BG296">
        <v>0</v>
      </c>
      <c r="BH296">
        <v>0</v>
      </c>
      <c r="BI296">
        <v>0</v>
      </c>
      <c r="BJ296">
        <v>0</v>
      </c>
      <c r="BK296">
        <v>0</v>
      </c>
      <c r="BL296">
        <v>0</v>
      </c>
      <c r="BM296">
        <v>2</v>
      </c>
      <c r="BN296">
        <v>0</v>
      </c>
      <c r="BO296">
        <v>0</v>
      </c>
      <c r="BP296">
        <v>0</v>
      </c>
      <c r="BR296">
        <v>0</v>
      </c>
      <c r="BS296">
        <v>1</v>
      </c>
      <c r="BX296">
        <v>0</v>
      </c>
      <c r="BY296">
        <v>0</v>
      </c>
      <c r="BZ296">
        <v>0</v>
      </c>
      <c r="CA296">
        <v>-11.98</v>
      </c>
      <c r="CC296">
        <v>1</v>
      </c>
      <c r="CD296" s="56">
        <v>42619</v>
      </c>
      <c r="CE296" s="56">
        <v>42619</v>
      </c>
      <c r="CF296" s="56">
        <v>42619</v>
      </c>
      <c r="CG296" s="56">
        <v>42647</v>
      </c>
      <c r="CH296" s="56"/>
      <c r="CI296" s="56"/>
      <c r="CJ296">
        <v>0</v>
      </c>
      <c r="CK296">
        <v>0</v>
      </c>
      <c r="CL296">
        <v>0</v>
      </c>
      <c r="CM296">
        <v>0</v>
      </c>
      <c r="CN296">
        <v>0.65</v>
      </c>
      <c r="CO296">
        <v>0</v>
      </c>
      <c r="CP296">
        <v>0</v>
      </c>
      <c r="CQ296" t="s">
        <v>1378</v>
      </c>
      <c r="CR296" t="s">
        <v>1377</v>
      </c>
      <c r="CS296" t="s">
        <v>1451</v>
      </c>
      <c r="CT296" t="s">
        <v>1724</v>
      </c>
      <c r="CU296" t="s">
        <v>1742</v>
      </c>
      <c r="CV296" t="s">
        <v>2334</v>
      </c>
      <c r="DB296" t="s">
        <v>2145</v>
      </c>
      <c r="DE296" t="s">
        <v>1724</v>
      </c>
    </row>
    <row r="297" spans="1:109" x14ac:dyDescent="0.25">
      <c r="A297" t="s">
        <v>1378</v>
      </c>
      <c r="B297">
        <v>1</v>
      </c>
      <c r="C297" s="56">
        <v>42640</v>
      </c>
      <c r="D297" t="s">
        <v>1449</v>
      </c>
      <c r="E297" t="s">
        <v>2033</v>
      </c>
      <c r="G297" t="s">
        <v>1144</v>
      </c>
      <c r="H297" t="s">
        <v>1144</v>
      </c>
      <c r="I297" t="s">
        <v>1144</v>
      </c>
      <c r="J297" t="s">
        <v>1144</v>
      </c>
      <c r="K297" t="s">
        <v>1144</v>
      </c>
      <c r="L297">
        <v>197.77</v>
      </c>
      <c r="M297">
        <v>2</v>
      </c>
      <c r="N297">
        <v>0</v>
      </c>
      <c r="O297" s="56"/>
      <c r="P297" s="56"/>
      <c r="Q297">
        <v>13718</v>
      </c>
      <c r="R297">
        <v>9</v>
      </c>
      <c r="S297">
        <v>4</v>
      </c>
      <c r="T297">
        <v>2</v>
      </c>
      <c r="U297">
        <v>2</v>
      </c>
      <c r="V297">
        <v>1</v>
      </c>
      <c r="W297" t="s">
        <v>1376</v>
      </c>
      <c r="X297" t="s">
        <v>2385</v>
      </c>
      <c r="AA297">
        <v>0</v>
      </c>
      <c r="AB297">
        <v>0</v>
      </c>
      <c r="AC297">
        <v>0</v>
      </c>
      <c r="AD297">
        <v>0</v>
      </c>
      <c r="AE297">
        <v>0</v>
      </c>
      <c r="AF297">
        <v>0</v>
      </c>
      <c r="AG297">
        <v>0</v>
      </c>
      <c r="AJ297" s="56"/>
      <c r="AK297" s="56">
        <v>42369</v>
      </c>
      <c r="AL297" s="56"/>
      <c r="AM297">
        <v>1</v>
      </c>
      <c r="AP297" t="s">
        <v>1450</v>
      </c>
      <c r="AS297" t="s">
        <v>1152</v>
      </c>
      <c r="AT297">
        <v>1</v>
      </c>
      <c r="AV297">
        <v>1</v>
      </c>
      <c r="AW297">
        <v>1</v>
      </c>
      <c r="AX297">
        <v>0.5</v>
      </c>
      <c r="AY297" t="s">
        <v>1145</v>
      </c>
      <c r="AZ297" t="s">
        <v>1145</v>
      </c>
      <c r="BA297">
        <v>2</v>
      </c>
      <c r="BD297">
        <v>1000000000</v>
      </c>
      <c r="BE297">
        <v>1</v>
      </c>
      <c r="BF297">
        <v>0</v>
      </c>
      <c r="BG297">
        <v>0</v>
      </c>
      <c r="BH297">
        <v>0</v>
      </c>
      <c r="BI297">
        <v>0</v>
      </c>
      <c r="BJ297">
        <v>0</v>
      </c>
      <c r="BK297">
        <v>0</v>
      </c>
      <c r="BL297">
        <v>0</v>
      </c>
      <c r="BM297">
        <v>1</v>
      </c>
      <c r="BN297">
        <v>0</v>
      </c>
      <c r="BO297">
        <v>0</v>
      </c>
      <c r="BP297">
        <v>0</v>
      </c>
      <c r="BR297">
        <v>0</v>
      </c>
      <c r="BS297">
        <v>1</v>
      </c>
      <c r="BX297">
        <v>0</v>
      </c>
      <c r="BY297">
        <v>0</v>
      </c>
      <c r="BZ297">
        <v>0</v>
      </c>
      <c r="CA297">
        <v>-11.88</v>
      </c>
      <c r="CC297">
        <v>1</v>
      </c>
      <c r="CD297" s="56">
        <v>42619</v>
      </c>
      <c r="CE297" s="56">
        <v>42619</v>
      </c>
      <c r="CF297" s="56">
        <v>42619</v>
      </c>
      <c r="CG297" s="56">
        <v>42647</v>
      </c>
      <c r="CH297" s="56"/>
      <c r="CI297" s="56"/>
      <c r="CJ297">
        <v>0</v>
      </c>
      <c r="CK297">
        <v>0</v>
      </c>
      <c r="CL297">
        <v>0</v>
      </c>
      <c r="CM297">
        <v>0</v>
      </c>
      <c r="CN297">
        <v>0.65</v>
      </c>
      <c r="CO297">
        <v>0</v>
      </c>
      <c r="CP297">
        <v>0</v>
      </c>
      <c r="CQ297" t="s">
        <v>1378</v>
      </c>
      <c r="CR297" t="s">
        <v>1377</v>
      </c>
      <c r="CS297" t="s">
        <v>1451</v>
      </c>
      <c r="CT297" t="s">
        <v>1724</v>
      </c>
      <c r="CU297" t="s">
        <v>1742</v>
      </c>
      <c r="CV297" t="s">
        <v>2034</v>
      </c>
      <c r="DB297" t="s">
        <v>2014</v>
      </c>
      <c r="DE297" t="s">
        <v>1724</v>
      </c>
    </row>
    <row r="298" spans="1:109" x14ac:dyDescent="0.25">
      <c r="A298" t="s">
        <v>1378</v>
      </c>
      <c r="B298">
        <v>1</v>
      </c>
      <c r="C298" s="56">
        <v>42640</v>
      </c>
      <c r="D298" t="s">
        <v>1449</v>
      </c>
      <c r="E298" t="s">
        <v>1740</v>
      </c>
      <c r="G298" t="s">
        <v>1144</v>
      </c>
      <c r="H298" t="s">
        <v>1144</v>
      </c>
      <c r="I298" t="s">
        <v>1144</v>
      </c>
      <c r="J298" t="s">
        <v>1144</v>
      </c>
      <c r="K298" t="s">
        <v>1144</v>
      </c>
      <c r="L298">
        <v>108.67</v>
      </c>
      <c r="M298">
        <v>0</v>
      </c>
      <c r="N298">
        <v>0</v>
      </c>
      <c r="O298" s="56"/>
      <c r="P298" s="56"/>
      <c r="Q298">
        <v>13718</v>
      </c>
      <c r="R298">
        <v>9</v>
      </c>
      <c r="S298">
        <v>4</v>
      </c>
      <c r="T298">
        <v>2</v>
      </c>
      <c r="U298">
        <v>2</v>
      </c>
      <c r="V298">
        <v>1</v>
      </c>
      <c r="W298" t="s">
        <v>1376</v>
      </c>
      <c r="X298" t="s">
        <v>2385</v>
      </c>
      <c r="AA298">
        <v>0.23</v>
      </c>
      <c r="AB298">
        <v>2</v>
      </c>
      <c r="AC298">
        <v>10.87</v>
      </c>
      <c r="AD298">
        <v>0</v>
      </c>
      <c r="AE298">
        <v>0</v>
      </c>
      <c r="AF298">
        <v>18</v>
      </c>
      <c r="AG298">
        <v>0</v>
      </c>
      <c r="AJ298" s="56"/>
      <c r="AK298" s="56"/>
      <c r="AL298" s="56"/>
      <c r="AP298" t="s">
        <v>1450</v>
      </c>
      <c r="AR298">
        <v>6</v>
      </c>
      <c r="AS298" t="s">
        <v>1152</v>
      </c>
      <c r="AT298">
        <v>1</v>
      </c>
      <c r="AV298">
        <v>10</v>
      </c>
      <c r="AW298">
        <v>7</v>
      </c>
      <c r="AX298">
        <v>3</v>
      </c>
      <c r="AY298" t="s">
        <v>838</v>
      </c>
      <c r="AZ298" t="s">
        <v>838</v>
      </c>
      <c r="BA298">
        <v>6</v>
      </c>
      <c r="BD298">
        <v>1000000000</v>
      </c>
      <c r="BE298">
        <v>0</v>
      </c>
      <c r="BF298">
        <v>1</v>
      </c>
      <c r="BG298">
        <v>0</v>
      </c>
      <c r="BH298">
        <v>0</v>
      </c>
      <c r="BI298">
        <v>0</v>
      </c>
      <c r="BJ298">
        <v>0</v>
      </c>
      <c r="BK298">
        <v>0</v>
      </c>
      <c r="BL298">
        <v>0</v>
      </c>
      <c r="BM298">
        <v>0</v>
      </c>
      <c r="BN298">
        <v>1</v>
      </c>
      <c r="BO298">
        <v>0</v>
      </c>
      <c r="BP298">
        <v>0</v>
      </c>
      <c r="BR298">
        <v>12</v>
      </c>
      <c r="BS298">
        <v>5</v>
      </c>
      <c r="BX298">
        <v>-326.01</v>
      </c>
      <c r="BY298">
        <v>0</v>
      </c>
      <c r="BZ298">
        <v>0</v>
      </c>
      <c r="CA298">
        <v>-12</v>
      </c>
      <c r="CC298">
        <v>1</v>
      </c>
      <c r="CD298" s="56">
        <v>42619</v>
      </c>
      <c r="CE298" s="56">
        <v>42619</v>
      </c>
      <c r="CF298" s="56">
        <v>42619</v>
      </c>
      <c r="CG298" s="56">
        <v>42647</v>
      </c>
      <c r="CH298" s="56"/>
      <c r="CI298" s="56"/>
      <c r="CJ298">
        <v>2.82</v>
      </c>
      <c r="CK298">
        <v>0</v>
      </c>
      <c r="CL298">
        <v>0.57999999999999996</v>
      </c>
      <c r="CM298">
        <v>0</v>
      </c>
      <c r="CN298">
        <v>0</v>
      </c>
      <c r="CO298">
        <v>0</v>
      </c>
      <c r="CP298">
        <v>0.08</v>
      </c>
      <c r="CQ298" t="s">
        <v>1378</v>
      </c>
      <c r="CR298" t="s">
        <v>1377</v>
      </c>
      <c r="CS298" t="s">
        <v>1451</v>
      </c>
      <c r="CT298" t="s">
        <v>1724</v>
      </c>
      <c r="CU298" t="s">
        <v>1742</v>
      </c>
      <c r="CV298" t="s">
        <v>2382</v>
      </c>
      <c r="DB298" t="s">
        <v>2381</v>
      </c>
      <c r="DE298" t="s">
        <v>1724</v>
      </c>
    </row>
    <row r="299" spans="1:109" x14ac:dyDescent="0.25">
      <c r="A299" t="s">
        <v>1378</v>
      </c>
      <c r="B299">
        <v>1</v>
      </c>
      <c r="C299" s="56">
        <v>42640</v>
      </c>
      <c r="D299" t="s">
        <v>1449</v>
      </c>
      <c r="E299" t="s">
        <v>2086</v>
      </c>
      <c r="G299" t="s">
        <v>1144</v>
      </c>
      <c r="H299" t="s">
        <v>1144</v>
      </c>
      <c r="I299" t="s">
        <v>1144</v>
      </c>
      <c r="J299" t="s">
        <v>1144</v>
      </c>
      <c r="K299" t="s">
        <v>1144</v>
      </c>
      <c r="L299">
        <v>125.99</v>
      </c>
      <c r="M299">
        <v>293.95</v>
      </c>
      <c r="N299">
        <v>0</v>
      </c>
      <c r="O299" s="56"/>
      <c r="P299" s="56"/>
      <c r="Q299">
        <v>13718</v>
      </c>
      <c r="R299">
        <v>9</v>
      </c>
      <c r="S299">
        <v>4</v>
      </c>
      <c r="T299">
        <v>2</v>
      </c>
      <c r="U299">
        <v>2</v>
      </c>
      <c r="V299">
        <v>1</v>
      </c>
      <c r="W299" t="s">
        <v>2379</v>
      </c>
      <c r="X299" t="s">
        <v>2386</v>
      </c>
      <c r="AA299">
        <v>0</v>
      </c>
      <c r="AB299">
        <v>0</v>
      </c>
      <c r="AC299">
        <v>0</v>
      </c>
      <c r="AD299">
        <v>0</v>
      </c>
      <c r="AE299">
        <v>0</v>
      </c>
      <c r="AF299">
        <v>0</v>
      </c>
      <c r="AG299">
        <v>0</v>
      </c>
      <c r="AJ299" s="56"/>
      <c r="AK299" s="56">
        <v>42369</v>
      </c>
      <c r="AL299" s="56"/>
      <c r="AM299">
        <v>2</v>
      </c>
      <c r="AP299" t="s">
        <v>1450</v>
      </c>
      <c r="AS299" t="s">
        <v>1152</v>
      </c>
      <c r="AT299">
        <v>1</v>
      </c>
      <c r="AV299">
        <v>2</v>
      </c>
      <c r="AW299">
        <v>2</v>
      </c>
      <c r="AX299">
        <v>1</v>
      </c>
      <c r="AY299" t="s">
        <v>1145</v>
      </c>
      <c r="AZ299" t="s">
        <v>1145</v>
      </c>
      <c r="BA299">
        <v>2</v>
      </c>
      <c r="BD299">
        <v>1000000000</v>
      </c>
      <c r="BE299">
        <v>2</v>
      </c>
      <c r="BF299">
        <v>0</v>
      </c>
      <c r="BG299">
        <v>0</v>
      </c>
      <c r="BH299">
        <v>0</v>
      </c>
      <c r="BI299">
        <v>0</v>
      </c>
      <c r="BJ299">
        <v>0</v>
      </c>
      <c r="BK299">
        <v>0</v>
      </c>
      <c r="BL299">
        <v>0</v>
      </c>
      <c r="BM299">
        <v>2</v>
      </c>
      <c r="BN299">
        <v>0</v>
      </c>
      <c r="BO299">
        <v>0</v>
      </c>
      <c r="BP299">
        <v>0</v>
      </c>
      <c r="BR299">
        <v>0</v>
      </c>
      <c r="BS299">
        <v>1</v>
      </c>
      <c r="BX299">
        <v>0</v>
      </c>
      <c r="BY299">
        <v>0</v>
      </c>
      <c r="BZ299">
        <v>0</v>
      </c>
      <c r="CA299">
        <v>16</v>
      </c>
      <c r="CC299">
        <v>1</v>
      </c>
      <c r="CD299" s="56">
        <v>42593</v>
      </c>
      <c r="CE299" s="56">
        <v>42612</v>
      </c>
      <c r="CF299" s="56">
        <v>42612</v>
      </c>
      <c r="CG299" s="56">
        <v>42640</v>
      </c>
      <c r="CH299" s="56"/>
      <c r="CI299" s="56"/>
      <c r="CJ299">
        <v>0</v>
      </c>
      <c r="CK299">
        <v>0</v>
      </c>
      <c r="CL299">
        <v>0</v>
      </c>
      <c r="CM299">
        <v>0</v>
      </c>
      <c r="CN299">
        <v>0.71</v>
      </c>
      <c r="CO299">
        <v>0</v>
      </c>
      <c r="CP299">
        <v>0</v>
      </c>
      <c r="CQ299" t="s">
        <v>1378</v>
      </c>
      <c r="CR299" t="s">
        <v>1377</v>
      </c>
      <c r="CS299" t="s">
        <v>1451</v>
      </c>
      <c r="CT299" t="s">
        <v>1724</v>
      </c>
      <c r="CU299" t="s">
        <v>1742</v>
      </c>
      <c r="CV299" t="s">
        <v>2087</v>
      </c>
      <c r="DB299" t="s">
        <v>2059</v>
      </c>
      <c r="DE299" t="s">
        <v>1724</v>
      </c>
    </row>
    <row r="300" spans="1:109" x14ac:dyDescent="0.25">
      <c r="A300" t="s">
        <v>1378</v>
      </c>
      <c r="B300">
        <v>1</v>
      </c>
      <c r="C300" s="56">
        <v>42640</v>
      </c>
      <c r="D300" t="s">
        <v>1449</v>
      </c>
      <c r="E300" t="s">
        <v>1777</v>
      </c>
      <c r="G300" t="s">
        <v>1144</v>
      </c>
      <c r="H300" t="s">
        <v>1144</v>
      </c>
      <c r="I300" t="s">
        <v>1144</v>
      </c>
      <c r="J300" t="s">
        <v>1144</v>
      </c>
      <c r="K300" t="s">
        <v>1144</v>
      </c>
      <c r="L300">
        <v>197.34</v>
      </c>
      <c r="M300">
        <v>361.16</v>
      </c>
      <c r="N300">
        <v>0</v>
      </c>
      <c r="O300" s="56"/>
      <c r="P300" s="56"/>
      <c r="Q300">
        <v>13718</v>
      </c>
      <c r="R300">
        <v>9</v>
      </c>
      <c r="S300">
        <v>4</v>
      </c>
      <c r="T300">
        <v>2</v>
      </c>
      <c r="U300">
        <v>2</v>
      </c>
      <c r="V300">
        <v>1</v>
      </c>
      <c r="W300" t="s">
        <v>1376</v>
      </c>
      <c r="X300" t="s">
        <v>2385</v>
      </c>
      <c r="AA300">
        <v>0</v>
      </c>
      <c r="AB300">
        <v>0</v>
      </c>
      <c r="AC300">
        <v>0</v>
      </c>
      <c r="AD300">
        <v>0</v>
      </c>
      <c r="AE300">
        <v>0</v>
      </c>
      <c r="AF300">
        <v>0</v>
      </c>
      <c r="AG300">
        <v>0</v>
      </c>
      <c r="AJ300" s="56"/>
      <c r="AK300" s="56">
        <v>42369</v>
      </c>
      <c r="AL300" s="56"/>
      <c r="AM300">
        <v>5</v>
      </c>
      <c r="AP300" t="s">
        <v>1450</v>
      </c>
      <c r="AS300" t="s">
        <v>1152</v>
      </c>
      <c r="AT300">
        <v>1</v>
      </c>
      <c r="AV300">
        <v>5</v>
      </c>
      <c r="AW300">
        <v>3</v>
      </c>
      <c r="AX300">
        <v>2</v>
      </c>
      <c r="AY300" t="s">
        <v>1148</v>
      </c>
      <c r="AZ300" t="s">
        <v>1148</v>
      </c>
      <c r="BA300">
        <v>6</v>
      </c>
      <c r="BD300">
        <v>1000000000</v>
      </c>
      <c r="BE300">
        <v>5</v>
      </c>
      <c r="BF300">
        <v>0</v>
      </c>
      <c r="BG300">
        <v>0</v>
      </c>
      <c r="BH300">
        <v>0</v>
      </c>
      <c r="BI300">
        <v>0</v>
      </c>
      <c r="BJ300">
        <v>0</v>
      </c>
      <c r="BK300">
        <v>0</v>
      </c>
      <c r="BL300">
        <v>0</v>
      </c>
      <c r="BM300">
        <v>5</v>
      </c>
      <c r="BN300">
        <v>0</v>
      </c>
      <c r="BO300">
        <v>0</v>
      </c>
      <c r="BP300">
        <v>0</v>
      </c>
      <c r="BR300">
        <v>0</v>
      </c>
      <c r="BS300">
        <v>3</v>
      </c>
      <c r="BX300">
        <v>0</v>
      </c>
      <c r="BY300">
        <v>0</v>
      </c>
      <c r="BZ300">
        <v>0</v>
      </c>
      <c r="CA300">
        <v>9.9600000000000009</v>
      </c>
      <c r="CC300">
        <v>1</v>
      </c>
      <c r="CD300" s="56">
        <v>42619</v>
      </c>
      <c r="CE300" s="56">
        <v>42619</v>
      </c>
      <c r="CF300" s="56">
        <v>42619</v>
      </c>
      <c r="CG300" s="56">
        <v>42647</v>
      </c>
      <c r="CH300" s="56"/>
      <c r="CI300" s="56"/>
      <c r="CJ300">
        <v>0</v>
      </c>
      <c r="CK300">
        <v>0</v>
      </c>
      <c r="CL300">
        <v>0</v>
      </c>
      <c r="CM300">
        <v>0</v>
      </c>
      <c r="CN300">
        <v>0</v>
      </c>
      <c r="CO300">
        <v>0.65</v>
      </c>
      <c r="CP300">
        <v>0</v>
      </c>
      <c r="CQ300" t="s">
        <v>1378</v>
      </c>
      <c r="CR300" t="s">
        <v>1377</v>
      </c>
      <c r="CS300" t="s">
        <v>1451</v>
      </c>
      <c r="CT300" t="s">
        <v>1724</v>
      </c>
      <c r="CU300" t="s">
        <v>1742</v>
      </c>
      <c r="CV300" t="s">
        <v>1778</v>
      </c>
      <c r="DB300" t="s">
        <v>1762</v>
      </c>
      <c r="DE300" t="s">
        <v>1724</v>
      </c>
    </row>
    <row r="301" spans="1:109" x14ac:dyDescent="0.25">
      <c r="A301" t="s">
        <v>1378</v>
      </c>
      <c r="B301">
        <v>1</v>
      </c>
      <c r="C301" s="56">
        <v>42640</v>
      </c>
      <c r="D301" t="s">
        <v>1449</v>
      </c>
      <c r="E301" t="s">
        <v>2141</v>
      </c>
      <c r="G301" t="s">
        <v>1144</v>
      </c>
      <c r="H301" t="s">
        <v>1144</v>
      </c>
      <c r="I301" t="s">
        <v>1144</v>
      </c>
      <c r="J301" t="s">
        <v>1144</v>
      </c>
      <c r="K301" t="s">
        <v>1144</v>
      </c>
      <c r="L301">
        <v>343.15</v>
      </c>
      <c r="M301">
        <v>2</v>
      </c>
      <c r="N301">
        <v>0</v>
      </c>
      <c r="O301" s="56"/>
      <c r="P301" s="56"/>
      <c r="Q301">
        <v>13718</v>
      </c>
      <c r="R301">
        <v>9</v>
      </c>
      <c r="S301">
        <v>4</v>
      </c>
      <c r="T301">
        <v>2</v>
      </c>
      <c r="U301">
        <v>2</v>
      </c>
      <c r="V301">
        <v>1</v>
      </c>
      <c r="X301" t="s">
        <v>2386</v>
      </c>
      <c r="AA301">
        <v>0</v>
      </c>
      <c r="AB301">
        <v>0</v>
      </c>
      <c r="AC301">
        <v>0</v>
      </c>
      <c r="AD301">
        <v>0</v>
      </c>
      <c r="AE301">
        <v>0</v>
      </c>
      <c r="AF301">
        <v>0</v>
      </c>
      <c r="AG301">
        <v>0</v>
      </c>
      <c r="AJ301" s="56"/>
      <c r="AK301" s="56">
        <v>42369</v>
      </c>
      <c r="AL301" s="56"/>
      <c r="AM301">
        <v>1</v>
      </c>
      <c r="AP301" t="s">
        <v>1450</v>
      </c>
      <c r="AS301" t="s">
        <v>1152</v>
      </c>
      <c r="AT301">
        <v>1</v>
      </c>
      <c r="AV301">
        <v>1</v>
      </c>
      <c r="AW301">
        <v>1</v>
      </c>
      <c r="AX301">
        <v>0.5</v>
      </c>
      <c r="AY301" t="s">
        <v>1147</v>
      </c>
      <c r="AZ301" t="s">
        <v>1147</v>
      </c>
      <c r="BA301">
        <v>1</v>
      </c>
      <c r="BD301">
        <v>1000000000</v>
      </c>
      <c r="BE301">
        <v>2</v>
      </c>
      <c r="BF301">
        <v>-1</v>
      </c>
      <c r="BG301">
        <v>0</v>
      </c>
      <c r="BH301">
        <v>0</v>
      </c>
      <c r="BI301">
        <v>0</v>
      </c>
      <c r="BJ301">
        <v>0</v>
      </c>
      <c r="BK301">
        <v>0</v>
      </c>
      <c r="BL301">
        <v>0</v>
      </c>
      <c r="BM301">
        <v>2</v>
      </c>
      <c r="BN301">
        <v>-1</v>
      </c>
      <c r="BO301">
        <v>0</v>
      </c>
      <c r="BP301">
        <v>0</v>
      </c>
      <c r="BR301">
        <v>0</v>
      </c>
      <c r="BS301">
        <v>1</v>
      </c>
      <c r="BX301">
        <v>0</v>
      </c>
      <c r="BY301">
        <v>343.15</v>
      </c>
      <c r="BZ301">
        <v>0</v>
      </c>
      <c r="CA301">
        <v>-11.93</v>
      </c>
      <c r="CC301">
        <v>1</v>
      </c>
      <c r="CD301" s="56">
        <v>42593</v>
      </c>
      <c r="CE301" s="56">
        <v>42612</v>
      </c>
      <c r="CF301" s="56">
        <v>42612</v>
      </c>
      <c r="CG301" s="56">
        <v>42640</v>
      </c>
      <c r="CH301" s="56"/>
      <c r="CI301" s="56"/>
      <c r="CJ301">
        <v>0</v>
      </c>
      <c r="CK301">
        <v>0</v>
      </c>
      <c r="CL301">
        <v>0</v>
      </c>
      <c r="CM301">
        <v>0</v>
      </c>
      <c r="CN301">
        <v>0</v>
      </c>
      <c r="CO301">
        <v>0</v>
      </c>
      <c r="CP301">
        <v>0.71</v>
      </c>
      <c r="CQ301" t="s">
        <v>1378</v>
      </c>
      <c r="CR301" t="s">
        <v>1377</v>
      </c>
      <c r="CS301" t="s">
        <v>1451</v>
      </c>
      <c r="CT301" t="s">
        <v>1724</v>
      </c>
      <c r="CU301" t="s">
        <v>1742</v>
      </c>
      <c r="CV301" t="s">
        <v>2139</v>
      </c>
      <c r="DB301" t="s">
        <v>2134</v>
      </c>
      <c r="DE301" t="s">
        <v>1724</v>
      </c>
    </row>
    <row r="302" spans="1:109" x14ac:dyDescent="0.25">
      <c r="A302" t="s">
        <v>1378</v>
      </c>
      <c r="B302">
        <v>1</v>
      </c>
      <c r="C302" s="56">
        <v>42640</v>
      </c>
      <c r="D302" t="s">
        <v>1449</v>
      </c>
      <c r="E302" t="s">
        <v>1728</v>
      </c>
      <c r="G302" t="s">
        <v>1144</v>
      </c>
      <c r="H302" t="s">
        <v>1144</v>
      </c>
      <c r="I302" t="s">
        <v>1144</v>
      </c>
      <c r="J302" t="s">
        <v>1144</v>
      </c>
      <c r="K302" t="s">
        <v>1144</v>
      </c>
      <c r="L302">
        <v>1087.76</v>
      </c>
      <c r="M302">
        <v>2032.14</v>
      </c>
      <c r="N302">
        <v>0</v>
      </c>
      <c r="O302" s="56"/>
      <c r="P302" s="56"/>
      <c r="Q302">
        <v>13718</v>
      </c>
      <c r="R302">
        <v>9</v>
      </c>
      <c r="S302">
        <v>4</v>
      </c>
      <c r="T302">
        <v>2</v>
      </c>
      <c r="U302">
        <v>2</v>
      </c>
      <c r="V302">
        <v>1</v>
      </c>
      <c r="W302" t="s">
        <v>1376</v>
      </c>
      <c r="X302" t="s">
        <v>2385</v>
      </c>
      <c r="AA302">
        <v>0</v>
      </c>
      <c r="AB302">
        <v>0</v>
      </c>
      <c r="AC302">
        <v>0</v>
      </c>
      <c r="AD302">
        <v>0</v>
      </c>
      <c r="AE302">
        <v>0</v>
      </c>
      <c r="AF302">
        <v>0</v>
      </c>
      <c r="AG302">
        <v>0</v>
      </c>
      <c r="AJ302" s="56"/>
      <c r="AK302" s="56">
        <v>42369</v>
      </c>
      <c r="AL302" s="56"/>
      <c r="AM302">
        <v>5</v>
      </c>
      <c r="AP302" t="s">
        <v>1450</v>
      </c>
      <c r="AS302" t="s">
        <v>1152</v>
      </c>
      <c r="AT302">
        <v>1</v>
      </c>
      <c r="AV302">
        <v>3</v>
      </c>
      <c r="AW302">
        <v>2</v>
      </c>
      <c r="AX302">
        <v>1</v>
      </c>
      <c r="AY302" t="s">
        <v>1145</v>
      </c>
      <c r="AZ302" t="s">
        <v>1145</v>
      </c>
      <c r="BA302">
        <v>5</v>
      </c>
      <c r="BD302">
        <v>1000000000</v>
      </c>
      <c r="BE302">
        <v>2</v>
      </c>
      <c r="BF302">
        <v>0.33</v>
      </c>
      <c r="BG302">
        <v>0</v>
      </c>
      <c r="BH302">
        <v>0</v>
      </c>
      <c r="BI302">
        <v>0</v>
      </c>
      <c r="BJ302">
        <v>0</v>
      </c>
      <c r="BK302">
        <v>0</v>
      </c>
      <c r="BL302">
        <v>0</v>
      </c>
      <c r="BM302">
        <v>2</v>
      </c>
      <c r="BN302">
        <v>0.33</v>
      </c>
      <c r="BO302">
        <v>0</v>
      </c>
      <c r="BP302">
        <v>0</v>
      </c>
      <c r="BR302">
        <v>1</v>
      </c>
      <c r="BS302">
        <v>2</v>
      </c>
      <c r="BX302">
        <v>0</v>
      </c>
      <c r="BY302">
        <v>0</v>
      </c>
      <c r="BZ302">
        <v>0</v>
      </c>
      <c r="CA302">
        <v>10.42</v>
      </c>
      <c r="CC302">
        <v>1</v>
      </c>
      <c r="CD302" s="56">
        <v>42619</v>
      </c>
      <c r="CE302" s="56">
        <v>42619</v>
      </c>
      <c r="CF302" s="56">
        <v>42619</v>
      </c>
      <c r="CG302" s="56">
        <v>42647</v>
      </c>
      <c r="CH302" s="56"/>
      <c r="CI302" s="56"/>
      <c r="CJ302">
        <v>0</v>
      </c>
      <c r="CK302">
        <v>0</v>
      </c>
      <c r="CL302">
        <v>0</v>
      </c>
      <c r="CM302">
        <v>0</v>
      </c>
      <c r="CN302">
        <v>0.65</v>
      </c>
      <c r="CO302">
        <v>0</v>
      </c>
      <c r="CP302">
        <v>0</v>
      </c>
      <c r="CQ302" t="s">
        <v>1378</v>
      </c>
      <c r="CR302" t="s">
        <v>1377</v>
      </c>
      <c r="CS302" t="s">
        <v>1451</v>
      </c>
      <c r="CT302" t="s">
        <v>1724</v>
      </c>
      <c r="CU302" t="s">
        <v>1742</v>
      </c>
      <c r="CV302" t="s">
        <v>1823</v>
      </c>
      <c r="DB302" t="s">
        <v>1794</v>
      </c>
      <c r="DE302" t="s">
        <v>1724</v>
      </c>
    </row>
    <row r="303" spans="1:109" x14ac:dyDescent="0.25">
      <c r="A303" t="s">
        <v>1378</v>
      </c>
      <c r="B303">
        <v>1</v>
      </c>
      <c r="C303" s="56">
        <v>42640</v>
      </c>
      <c r="D303" t="s">
        <v>1449</v>
      </c>
      <c r="E303" t="s">
        <v>2180</v>
      </c>
      <c r="G303" t="s">
        <v>1144</v>
      </c>
      <c r="H303" t="s">
        <v>1144</v>
      </c>
      <c r="I303" t="s">
        <v>1144</v>
      </c>
      <c r="J303" t="s">
        <v>1144</v>
      </c>
      <c r="K303" t="s">
        <v>1144</v>
      </c>
      <c r="L303">
        <v>458.57</v>
      </c>
      <c r="M303">
        <v>2</v>
      </c>
      <c r="N303">
        <v>0</v>
      </c>
      <c r="O303" s="56"/>
      <c r="P303" s="56"/>
      <c r="Q303">
        <v>13718</v>
      </c>
      <c r="R303">
        <v>9</v>
      </c>
      <c r="S303">
        <v>4</v>
      </c>
      <c r="T303">
        <v>2</v>
      </c>
      <c r="U303">
        <v>2</v>
      </c>
      <c r="V303">
        <v>1</v>
      </c>
      <c r="X303" t="s">
        <v>2386</v>
      </c>
      <c r="AA303">
        <v>0</v>
      </c>
      <c r="AB303">
        <v>0</v>
      </c>
      <c r="AC303">
        <v>0</v>
      </c>
      <c r="AD303">
        <v>0</v>
      </c>
      <c r="AE303">
        <v>0</v>
      </c>
      <c r="AF303">
        <v>0</v>
      </c>
      <c r="AG303">
        <v>0</v>
      </c>
      <c r="AJ303" s="56"/>
      <c r="AK303" s="56">
        <v>42369</v>
      </c>
      <c r="AL303" s="56"/>
      <c r="AM303">
        <v>1</v>
      </c>
      <c r="AP303" t="s">
        <v>1450</v>
      </c>
      <c r="AS303" t="s">
        <v>1152</v>
      </c>
      <c r="AT303">
        <v>1</v>
      </c>
      <c r="AV303">
        <v>1</v>
      </c>
      <c r="AW303">
        <v>1</v>
      </c>
      <c r="AX303">
        <v>0.5</v>
      </c>
      <c r="AY303" t="s">
        <v>1147</v>
      </c>
      <c r="AZ303" t="s">
        <v>1147</v>
      </c>
      <c r="BA303">
        <v>1</v>
      </c>
      <c r="BD303">
        <v>1000000000</v>
      </c>
      <c r="BE303">
        <v>2</v>
      </c>
      <c r="BF303">
        <v>-1</v>
      </c>
      <c r="BG303">
        <v>0</v>
      </c>
      <c r="BH303">
        <v>0</v>
      </c>
      <c r="BI303">
        <v>0</v>
      </c>
      <c r="BJ303">
        <v>0</v>
      </c>
      <c r="BK303">
        <v>0</v>
      </c>
      <c r="BL303">
        <v>0</v>
      </c>
      <c r="BM303">
        <v>2</v>
      </c>
      <c r="BN303">
        <v>-1</v>
      </c>
      <c r="BO303">
        <v>0</v>
      </c>
      <c r="BP303">
        <v>0</v>
      </c>
      <c r="BR303">
        <v>0</v>
      </c>
      <c r="BS303">
        <v>1</v>
      </c>
      <c r="BX303">
        <v>0</v>
      </c>
      <c r="BY303">
        <v>458.57</v>
      </c>
      <c r="BZ303">
        <v>0</v>
      </c>
      <c r="CA303">
        <v>-11.95</v>
      </c>
      <c r="CC303">
        <v>1</v>
      </c>
      <c r="CD303" s="56">
        <v>42593</v>
      </c>
      <c r="CE303" s="56">
        <v>42612</v>
      </c>
      <c r="CF303" s="56">
        <v>42612</v>
      </c>
      <c r="CG303" s="56">
        <v>42640</v>
      </c>
      <c r="CH303" s="56"/>
      <c r="CI303" s="56"/>
      <c r="CJ303">
        <v>0</v>
      </c>
      <c r="CK303">
        <v>0</v>
      </c>
      <c r="CL303">
        <v>0</v>
      </c>
      <c r="CM303">
        <v>0</v>
      </c>
      <c r="CN303">
        <v>0</v>
      </c>
      <c r="CO303">
        <v>0</v>
      </c>
      <c r="CP303">
        <v>0.71</v>
      </c>
      <c r="CQ303" t="s">
        <v>1378</v>
      </c>
      <c r="CR303" t="s">
        <v>1377</v>
      </c>
      <c r="CS303" t="s">
        <v>1451</v>
      </c>
      <c r="CT303" t="s">
        <v>1724</v>
      </c>
      <c r="CU303" t="s">
        <v>1742</v>
      </c>
      <c r="CV303" t="s">
        <v>2181</v>
      </c>
      <c r="DB303" t="s">
        <v>2161</v>
      </c>
      <c r="DE303" t="s">
        <v>1724</v>
      </c>
    </row>
    <row r="304" spans="1:109" x14ac:dyDescent="0.25">
      <c r="A304" t="s">
        <v>1378</v>
      </c>
      <c r="B304">
        <v>1</v>
      </c>
      <c r="C304" s="56">
        <v>42640</v>
      </c>
      <c r="D304" t="s">
        <v>1449</v>
      </c>
      <c r="E304" t="s">
        <v>1415</v>
      </c>
      <c r="G304" t="s">
        <v>1144</v>
      </c>
      <c r="H304" t="s">
        <v>1144</v>
      </c>
      <c r="I304" t="s">
        <v>1144</v>
      </c>
      <c r="J304" t="s">
        <v>1144</v>
      </c>
      <c r="K304" t="s">
        <v>1144</v>
      </c>
      <c r="L304">
        <v>337.33</v>
      </c>
      <c r="M304">
        <v>1020.89</v>
      </c>
      <c r="N304">
        <v>0</v>
      </c>
      <c r="O304" s="56"/>
      <c r="P304" s="56"/>
      <c r="Q304">
        <v>13718</v>
      </c>
      <c r="R304">
        <v>9</v>
      </c>
      <c r="S304">
        <v>4</v>
      </c>
      <c r="T304">
        <v>2</v>
      </c>
      <c r="U304">
        <v>2</v>
      </c>
      <c r="V304">
        <v>1</v>
      </c>
      <c r="W304" t="s">
        <v>2379</v>
      </c>
      <c r="X304" t="s">
        <v>2386</v>
      </c>
      <c r="AA304">
        <v>0.08</v>
      </c>
      <c r="AB304">
        <v>1</v>
      </c>
      <c r="AC304">
        <v>6.25</v>
      </c>
      <c r="AD304">
        <v>3.13</v>
      </c>
      <c r="AE304">
        <v>0</v>
      </c>
      <c r="AF304">
        <v>0</v>
      </c>
      <c r="AG304">
        <v>0</v>
      </c>
      <c r="AJ304" s="56"/>
      <c r="AK304" s="56">
        <v>42369</v>
      </c>
      <c r="AL304" s="56">
        <v>42656</v>
      </c>
      <c r="AM304">
        <v>2</v>
      </c>
      <c r="AP304" t="s">
        <v>1450</v>
      </c>
      <c r="AS304" t="s">
        <v>1152</v>
      </c>
      <c r="AT304">
        <v>1</v>
      </c>
      <c r="AV304">
        <v>2</v>
      </c>
      <c r="AW304">
        <v>2</v>
      </c>
      <c r="AX304">
        <v>1</v>
      </c>
      <c r="AY304" t="s">
        <v>1146</v>
      </c>
      <c r="AZ304" t="s">
        <v>1146</v>
      </c>
      <c r="BA304">
        <v>2</v>
      </c>
      <c r="BD304">
        <v>1000000000</v>
      </c>
      <c r="BE304">
        <v>1</v>
      </c>
      <c r="BF304">
        <v>0.5</v>
      </c>
      <c r="BG304">
        <v>0</v>
      </c>
      <c r="BH304">
        <v>0</v>
      </c>
      <c r="BI304">
        <v>0</v>
      </c>
      <c r="BJ304">
        <v>0</v>
      </c>
      <c r="BK304">
        <v>0</v>
      </c>
      <c r="BL304">
        <v>0</v>
      </c>
      <c r="BM304">
        <v>1</v>
      </c>
      <c r="BN304">
        <v>0.5</v>
      </c>
      <c r="BO304">
        <v>0</v>
      </c>
      <c r="BP304">
        <v>0</v>
      </c>
      <c r="BR304">
        <v>1</v>
      </c>
      <c r="BS304">
        <v>1</v>
      </c>
      <c r="BX304">
        <v>0</v>
      </c>
      <c r="BY304">
        <v>0</v>
      </c>
      <c r="BZ304">
        <v>0</v>
      </c>
      <c r="CA304">
        <v>24.32</v>
      </c>
      <c r="CC304">
        <v>1</v>
      </c>
      <c r="CD304" s="56">
        <v>42593</v>
      </c>
      <c r="CE304" s="56">
        <v>42612</v>
      </c>
      <c r="CF304" s="56">
        <v>42612</v>
      </c>
      <c r="CG304" s="56">
        <v>42640</v>
      </c>
      <c r="CH304" s="56"/>
      <c r="CI304" s="56"/>
      <c r="CJ304">
        <v>0</v>
      </c>
      <c r="CK304">
        <v>1</v>
      </c>
      <c r="CL304">
        <v>0</v>
      </c>
      <c r="CM304">
        <v>0.71</v>
      </c>
      <c r="CN304">
        <v>0</v>
      </c>
      <c r="CO304">
        <v>0</v>
      </c>
      <c r="CP304">
        <v>0</v>
      </c>
      <c r="CQ304" t="s">
        <v>1378</v>
      </c>
      <c r="CR304" t="s">
        <v>1377</v>
      </c>
      <c r="CS304" t="s">
        <v>1451</v>
      </c>
      <c r="CT304" t="s">
        <v>1724</v>
      </c>
      <c r="CU304" t="s">
        <v>1742</v>
      </c>
      <c r="CV304" t="s">
        <v>1974</v>
      </c>
      <c r="DB304" t="s">
        <v>1962</v>
      </c>
      <c r="DE304" t="s">
        <v>1724</v>
      </c>
    </row>
    <row r="305" spans="1:109" x14ac:dyDescent="0.25">
      <c r="A305" t="s">
        <v>1378</v>
      </c>
      <c r="B305">
        <v>1</v>
      </c>
      <c r="C305" s="56">
        <v>42640</v>
      </c>
      <c r="D305" t="s">
        <v>1449</v>
      </c>
      <c r="E305" t="s">
        <v>2318</v>
      </c>
      <c r="G305" t="s">
        <v>1144</v>
      </c>
      <c r="H305" t="s">
        <v>1144</v>
      </c>
      <c r="I305" t="s">
        <v>1144</v>
      </c>
      <c r="J305" t="s">
        <v>1144</v>
      </c>
      <c r="K305" t="s">
        <v>1144</v>
      </c>
      <c r="L305">
        <v>419.92</v>
      </c>
      <c r="M305">
        <v>2</v>
      </c>
      <c r="N305">
        <v>0</v>
      </c>
      <c r="O305" s="56"/>
      <c r="P305" s="56"/>
      <c r="Q305">
        <v>13718</v>
      </c>
      <c r="R305">
        <v>9</v>
      </c>
      <c r="S305">
        <v>4</v>
      </c>
      <c r="T305">
        <v>2</v>
      </c>
      <c r="U305">
        <v>2</v>
      </c>
      <c r="V305">
        <v>1</v>
      </c>
      <c r="W305" t="s">
        <v>1376</v>
      </c>
      <c r="X305" t="s">
        <v>2385</v>
      </c>
      <c r="AA305">
        <v>0</v>
      </c>
      <c r="AB305">
        <v>0</v>
      </c>
      <c r="AC305">
        <v>0</v>
      </c>
      <c r="AD305">
        <v>0</v>
      </c>
      <c r="AE305">
        <v>0</v>
      </c>
      <c r="AF305">
        <v>0</v>
      </c>
      <c r="AG305">
        <v>0</v>
      </c>
      <c r="AJ305" s="56"/>
      <c r="AK305" s="56"/>
      <c r="AL305" s="56"/>
      <c r="AM305">
        <v>1</v>
      </c>
      <c r="AP305" t="s">
        <v>1450</v>
      </c>
      <c r="AS305" t="s">
        <v>1152</v>
      </c>
      <c r="AT305">
        <v>1</v>
      </c>
      <c r="AV305">
        <v>2</v>
      </c>
      <c r="AW305">
        <v>2</v>
      </c>
      <c r="AX305">
        <v>1</v>
      </c>
      <c r="AY305" t="s">
        <v>1145</v>
      </c>
      <c r="AZ305" t="s">
        <v>1145</v>
      </c>
      <c r="BA305">
        <v>4</v>
      </c>
      <c r="BD305">
        <v>1000000000</v>
      </c>
      <c r="BE305">
        <v>2</v>
      </c>
      <c r="BF305">
        <v>0</v>
      </c>
      <c r="BG305">
        <v>0</v>
      </c>
      <c r="BH305">
        <v>0</v>
      </c>
      <c r="BI305">
        <v>0</v>
      </c>
      <c r="BJ305">
        <v>0</v>
      </c>
      <c r="BK305">
        <v>0</v>
      </c>
      <c r="BL305">
        <v>0</v>
      </c>
      <c r="BM305">
        <v>2</v>
      </c>
      <c r="BN305">
        <v>0</v>
      </c>
      <c r="BO305">
        <v>0</v>
      </c>
      <c r="BP305">
        <v>0</v>
      </c>
      <c r="BR305">
        <v>0</v>
      </c>
      <c r="BS305">
        <v>1</v>
      </c>
      <c r="BX305">
        <v>0</v>
      </c>
      <c r="BY305">
        <v>0</v>
      </c>
      <c r="BZ305">
        <v>0</v>
      </c>
      <c r="CA305">
        <v>-11.94</v>
      </c>
      <c r="CC305">
        <v>1</v>
      </c>
      <c r="CD305" s="56">
        <v>42619</v>
      </c>
      <c r="CE305" s="56">
        <v>42619</v>
      </c>
      <c r="CF305" s="56">
        <v>42619</v>
      </c>
      <c r="CG305" s="56">
        <v>42647</v>
      </c>
      <c r="CH305" s="56"/>
      <c r="CI305" s="56"/>
      <c r="CJ305">
        <v>0</v>
      </c>
      <c r="CK305">
        <v>0</v>
      </c>
      <c r="CL305">
        <v>0</v>
      </c>
      <c r="CM305">
        <v>0</v>
      </c>
      <c r="CN305">
        <v>0.65</v>
      </c>
      <c r="CO305">
        <v>0</v>
      </c>
      <c r="CP305">
        <v>0</v>
      </c>
      <c r="CQ305" t="s">
        <v>1378</v>
      </c>
      <c r="CR305" t="s">
        <v>1377</v>
      </c>
      <c r="CS305" t="s">
        <v>1451</v>
      </c>
      <c r="CT305" t="s">
        <v>1724</v>
      </c>
      <c r="CU305" t="s">
        <v>1742</v>
      </c>
      <c r="CV305" t="s">
        <v>2319</v>
      </c>
      <c r="DB305" t="s">
        <v>2309</v>
      </c>
      <c r="DE305" t="s">
        <v>1724</v>
      </c>
    </row>
    <row r="306" spans="1:109" x14ac:dyDescent="0.25">
      <c r="A306" t="s">
        <v>1378</v>
      </c>
      <c r="B306">
        <v>1</v>
      </c>
      <c r="C306" s="56">
        <v>42640</v>
      </c>
      <c r="D306" t="s">
        <v>1449</v>
      </c>
      <c r="E306" t="s">
        <v>2017</v>
      </c>
      <c r="G306" t="s">
        <v>1144</v>
      </c>
      <c r="H306" t="s">
        <v>1144</v>
      </c>
      <c r="I306" t="s">
        <v>1144</v>
      </c>
      <c r="J306" t="s">
        <v>1144</v>
      </c>
      <c r="K306" t="s">
        <v>1144</v>
      </c>
      <c r="L306">
        <v>176.95</v>
      </c>
      <c r="M306">
        <v>2</v>
      </c>
      <c r="N306">
        <v>0</v>
      </c>
      <c r="O306" s="56"/>
      <c r="P306" s="56"/>
      <c r="Q306">
        <v>13718</v>
      </c>
      <c r="R306">
        <v>9</v>
      </c>
      <c r="S306">
        <v>4</v>
      </c>
      <c r="T306">
        <v>2</v>
      </c>
      <c r="U306">
        <v>2</v>
      </c>
      <c r="V306">
        <v>1</v>
      </c>
      <c r="W306" t="s">
        <v>2379</v>
      </c>
      <c r="X306" t="s">
        <v>2387</v>
      </c>
      <c r="AA306">
        <v>0.08</v>
      </c>
      <c r="AB306">
        <v>1</v>
      </c>
      <c r="AC306">
        <v>6.25</v>
      </c>
      <c r="AD306">
        <v>3.13</v>
      </c>
      <c r="AE306">
        <v>0</v>
      </c>
      <c r="AF306">
        <v>0</v>
      </c>
      <c r="AG306">
        <v>0</v>
      </c>
      <c r="AJ306" s="56"/>
      <c r="AK306" s="56">
        <v>42369</v>
      </c>
      <c r="AL306" s="56">
        <v>42656</v>
      </c>
      <c r="AM306">
        <v>1</v>
      </c>
      <c r="AP306" t="s">
        <v>1450</v>
      </c>
      <c r="AS306" t="s">
        <v>1152</v>
      </c>
      <c r="AT306">
        <v>1</v>
      </c>
      <c r="AV306">
        <v>2</v>
      </c>
      <c r="AW306">
        <v>2</v>
      </c>
      <c r="AX306">
        <v>1</v>
      </c>
      <c r="AY306" t="s">
        <v>1146</v>
      </c>
      <c r="AZ306" t="s">
        <v>1146</v>
      </c>
      <c r="BA306">
        <v>1</v>
      </c>
      <c r="BD306">
        <v>1000000000</v>
      </c>
      <c r="BE306">
        <v>1</v>
      </c>
      <c r="BF306">
        <v>0.5</v>
      </c>
      <c r="BG306">
        <v>0</v>
      </c>
      <c r="BH306">
        <v>0</v>
      </c>
      <c r="BI306">
        <v>0</v>
      </c>
      <c r="BJ306">
        <v>0</v>
      </c>
      <c r="BK306">
        <v>0</v>
      </c>
      <c r="BL306">
        <v>0</v>
      </c>
      <c r="BM306">
        <v>1</v>
      </c>
      <c r="BN306">
        <v>0.5</v>
      </c>
      <c r="BO306">
        <v>0</v>
      </c>
      <c r="BP306">
        <v>0</v>
      </c>
      <c r="BR306">
        <v>1</v>
      </c>
      <c r="BS306">
        <v>1</v>
      </c>
      <c r="BX306">
        <v>0</v>
      </c>
      <c r="BY306">
        <v>0</v>
      </c>
      <c r="BZ306">
        <v>0</v>
      </c>
      <c r="CA306">
        <v>-11.86</v>
      </c>
      <c r="CC306">
        <v>1</v>
      </c>
      <c r="CD306" s="56">
        <v>42592</v>
      </c>
      <c r="CE306" s="56">
        <v>42612</v>
      </c>
      <c r="CF306" s="56">
        <v>42612</v>
      </c>
      <c r="CG306" s="56">
        <v>42640</v>
      </c>
      <c r="CH306" s="56"/>
      <c r="CI306" s="56"/>
      <c r="CJ306">
        <v>0.36</v>
      </c>
      <c r="CK306">
        <v>1</v>
      </c>
      <c r="CL306">
        <v>0</v>
      </c>
      <c r="CM306">
        <v>0.43</v>
      </c>
      <c r="CN306">
        <v>0.28999999999999998</v>
      </c>
      <c r="CO306">
        <v>0</v>
      </c>
      <c r="CP306">
        <v>0</v>
      </c>
      <c r="CQ306" t="s">
        <v>1378</v>
      </c>
      <c r="CR306" t="s">
        <v>1377</v>
      </c>
      <c r="CS306" t="s">
        <v>1451</v>
      </c>
      <c r="CT306" t="s">
        <v>1724</v>
      </c>
      <c r="CU306" t="s">
        <v>1742</v>
      </c>
      <c r="CV306" t="s">
        <v>2018</v>
      </c>
      <c r="DB306" t="s">
        <v>2014</v>
      </c>
      <c r="DE306" t="s">
        <v>1724</v>
      </c>
    </row>
    <row r="307" spans="1:109" x14ac:dyDescent="0.25">
      <c r="A307" t="s">
        <v>1378</v>
      </c>
      <c r="B307">
        <v>1</v>
      </c>
      <c r="C307" s="56">
        <v>42640</v>
      </c>
      <c r="D307" t="s">
        <v>1449</v>
      </c>
      <c r="E307" t="s">
        <v>2373</v>
      </c>
      <c r="G307" t="s">
        <v>1144</v>
      </c>
      <c r="H307" t="s">
        <v>1144</v>
      </c>
      <c r="I307" t="s">
        <v>1144</v>
      </c>
      <c r="J307" t="s">
        <v>1144</v>
      </c>
      <c r="K307" t="s">
        <v>1144</v>
      </c>
      <c r="L307">
        <v>270.95</v>
      </c>
      <c r="M307">
        <v>878.08</v>
      </c>
      <c r="N307">
        <v>0</v>
      </c>
      <c r="O307" s="56"/>
      <c r="P307" s="56"/>
      <c r="Q307">
        <v>13718</v>
      </c>
      <c r="R307">
        <v>9</v>
      </c>
      <c r="S307">
        <v>4</v>
      </c>
      <c r="T307">
        <v>2</v>
      </c>
      <c r="U307">
        <v>2</v>
      </c>
      <c r="V307">
        <v>1</v>
      </c>
      <c r="X307" t="s">
        <v>2385</v>
      </c>
      <c r="AA307">
        <v>0.23</v>
      </c>
      <c r="AB307">
        <v>2</v>
      </c>
      <c r="AC307">
        <v>2.17</v>
      </c>
      <c r="AD307">
        <v>3.26</v>
      </c>
      <c r="AE307">
        <v>0</v>
      </c>
      <c r="AF307">
        <v>0</v>
      </c>
      <c r="AG307">
        <v>0</v>
      </c>
      <c r="AJ307" s="56"/>
      <c r="AK307" s="56"/>
      <c r="AL307" s="56"/>
      <c r="AM307">
        <v>4</v>
      </c>
      <c r="AP307" t="s">
        <v>1450</v>
      </c>
      <c r="AS307" t="s">
        <v>1152</v>
      </c>
      <c r="AT307">
        <v>1</v>
      </c>
      <c r="AV307">
        <v>2</v>
      </c>
      <c r="AW307">
        <v>2</v>
      </c>
      <c r="AX307">
        <v>1</v>
      </c>
      <c r="AY307" t="s">
        <v>1147</v>
      </c>
      <c r="AZ307" t="s">
        <v>1147</v>
      </c>
      <c r="BA307">
        <v>4</v>
      </c>
      <c r="BD307">
        <v>1000000000</v>
      </c>
      <c r="BE307">
        <v>3</v>
      </c>
      <c r="BF307">
        <v>-0.5</v>
      </c>
      <c r="BG307">
        <v>0</v>
      </c>
      <c r="BH307">
        <v>0</v>
      </c>
      <c r="BI307">
        <v>0</v>
      </c>
      <c r="BJ307">
        <v>0</v>
      </c>
      <c r="BK307">
        <v>0</v>
      </c>
      <c r="BL307">
        <v>0</v>
      </c>
      <c r="BM307">
        <v>3</v>
      </c>
      <c r="BN307">
        <v>-0.5</v>
      </c>
      <c r="BO307">
        <v>0</v>
      </c>
      <c r="BP307">
        <v>0</v>
      </c>
      <c r="BR307">
        <v>0</v>
      </c>
      <c r="BS307">
        <v>1</v>
      </c>
      <c r="BX307">
        <v>0</v>
      </c>
      <c r="BY307">
        <v>270.95</v>
      </c>
      <c r="BZ307">
        <v>0</v>
      </c>
      <c r="CA307">
        <v>26.89</v>
      </c>
      <c r="CC307">
        <v>1</v>
      </c>
      <c r="CD307" s="56">
        <v>42619</v>
      </c>
      <c r="CE307" s="56">
        <v>42619</v>
      </c>
      <c r="CF307" s="56">
        <v>42619</v>
      </c>
      <c r="CG307" s="56">
        <v>42647</v>
      </c>
      <c r="CH307" s="56"/>
      <c r="CI307" s="56"/>
      <c r="CJ307">
        <v>0</v>
      </c>
      <c r="CK307">
        <v>0</v>
      </c>
      <c r="CL307">
        <v>0</v>
      </c>
      <c r="CM307">
        <v>0</v>
      </c>
      <c r="CN307">
        <v>0</v>
      </c>
      <c r="CO307">
        <v>0</v>
      </c>
      <c r="CP307">
        <v>0.65</v>
      </c>
      <c r="CQ307" t="s">
        <v>1378</v>
      </c>
      <c r="CR307" t="s">
        <v>1377</v>
      </c>
      <c r="CS307" t="s">
        <v>1451</v>
      </c>
      <c r="CT307" t="s">
        <v>1724</v>
      </c>
      <c r="CU307" t="s">
        <v>1742</v>
      </c>
      <c r="CV307" t="s">
        <v>2374</v>
      </c>
      <c r="DB307" t="s">
        <v>2351</v>
      </c>
      <c r="DE307" t="s">
        <v>1724</v>
      </c>
    </row>
    <row r="308" spans="1:109" x14ac:dyDescent="0.25">
      <c r="A308" t="s">
        <v>1378</v>
      </c>
      <c r="B308">
        <v>1</v>
      </c>
      <c r="C308" s="56">
        <v>42640</v>
      </c>
      <c r="D308" t="s">
        <v>1449</v>
      </c>
      <c r="E308" t="s">
        <v>1438</v>
      </c>
      <c r="G308" t="s">
        <v>1144</v>
      </c>
      <c r="H308" t="s">
        <v>1144</v>
      </c>
      <c r="I308" t="s">
        <v>1144</v>
      </c>
      <c r="J308" t="s">
        <v>1144</v>
      </c>
      <c r="K308" t="s">
        <v>1144</v>
      </c>
      <c r="L308">
        <v>119.69</v>
      </c>
      <c r="M308">
        <v>293.95</v>
      </c>
      <c r="N308">
        <v>0</v>
      </c>
      <c r="O308" s="56"/>
      <c r="P308" s="56"/>
      <c r="Q308">
        <v>13718</v>
      </c>
      <c r="R308">
        <v>9</v>
      </c>
      <c r="S308">
        <v>4</v>
      </c>
      <c r="T308">
        <v>2</v>
      </c>
      <c r="U308">
        <v>2</v>
      </c>
      <c r="V308">
        <v>1</v>
      </c>
      <c r="X308" t="s">
        <v>2385</v>
      </c>
      <c r="AA308">
        <v>0.47</v>
      </c>
      <c r="AB308">
        <v>3</v>
      </c>
      <c r="AC308">
        <v>1.6</v>
      </c>
      <c r="AD308">
        <v>4.26</v>
      </c>
      <c r="AE308">
        <v>0</v>
      </c>
      <c r="AF308">
        <v>0</v>
      </c>
      <c r="AG308">
        <v>0</v>
      </c>
      <c r="AJ308" s="56"/>
      <c r="AK308" s="56">
        <v>42369</v>
      </c>
      <c r="AL308" s="56"/>
      <c r="AM308">
        <v>5</v>
      </c>
      <c r="AP308" t="s">
        <v>1450</v>
      </c>
      <c r="AS308" t="s">
        <v>1152</v>
      </c>
      <c r="AT308">
        <v>1</v>
      </c>
      <c r="AV308">
        <v>3</v>
      </c>
      <c r="AW308">
        <v>2</v>
      </c>
      <c r="AX308">
        <v>1</v>
      </c>
      <c r="AY308" t="s">
        <v>1147</v>
      </c>
      <c r="AZ308" t="s">
        <v>1147</v>
      </c>
      <c r="BA308">
        <v>5</v>
      </c>
      <c r="BD308">
        <v>1000000000</v>
      </c>
      <c r="BE308">
        <v>8</v>
      </c>
      <c r="BF308">
        <v>-1.67</v>
      </c>
      <c r="BG308">
        <v>0</v>
      </c>
      <c r="BH308">
        <v>0</v>
      </c>
      <c r="BI308">
        <v>0</v>
      </c>
      <c r="BJ308">
        <v>0</v>
      </c>
      <c r="BK308">
        <v>0</v>
      </c>
      <c r="BL308">
        <v>0</v>
      </c>
      <c r="BM308">
        <v>8</v>
      </c>
      <c r="BN308">
        <v>-1.67</v>
      </c>
      <c r="BO308">
        <v>0</v>
      </c>
      <c r="BP308">
        <v>0</v>
      </c>
      <c r="BR308">
        <v>0</v>
      </c>
      <c r="BS308">
        <v>2</v>
      </c>
      <c r="BX308">
        <v>0</v>
      </c>
      <c r="BY308">
        <v>598.45000000000005</v>
      </c>
      <c r="BZ308">
        <v>0</v>
      </c>
      <c r="CA308">
        <v>17.47</v>
      </c>
      <c r="CC308">
        <v>1</v>
      </c>
      <c r="CD308" s="56">
        <v>42619</v>
      </c>
      <c r="CE308" s="56">
        <v>42619</v>
      </c>
      <c r="CF308" s="56">
        <v>42619</v>
      </c>
      <c r="CG308" s="56">
        <v>42647</v>
      </c>
      <c r="CH308" s="56"/>
      <c r="CI308" s="56"/>
      <c r="CJ308">
        <v>0.05</v>
      </c>
      <c r="CK308">
        <v>0</v>
      </c>
      <c r="CL308">
        <v>0</v>
      </c>
      <c r="CM308">
        <v>0</v>
      </c>
      <c r="CN308">
        <v>0</v>
      </c>
      <c r="CO308">
        <v>0</v>
      </c>
      <c r="CP308">
        <v>0.65</v>
      </c>
      <c r="CQ308" t="s">
        <v>1378</v>
      </c>
      <c r="CR308" t="s">
        <v>1377</v>
      </c>
      <c r="CS308" t="s">
        <v>1451</v>
      </c>
      <c r="CT308" t="s">
        <v>1724</v>
      </c>
      <c r="CU308" t="s">
        <v>1742</v>
      </c>
      <c r="CV308" t="s">
        <v>2071</v>
      </c>
      <c r="DB308" t="s">
        <v>2059</v>
      </c>
      <c r="DE308" t="s">
        <v>1724</v>
      </c>
    </row>
    <row r="309" spans="1:109" x14ac:dyDescent="0.25">
      <c r="A309" t="s">
        <v>1378</v>
      </c>
      <c r="B309">
        <v>1</v>
      </c>
      <c r="C309" s="56">
        <v>42640</v>
      </c>
      <c r="D309" t="s">
        <v>1449</v>
      </c>
      <c r="E309" t="s">
        <v>1454</v>
      </c>
      <c r="G309" t="s">
        <v>1144</v>
      </c>
      <c r="H309" t="s">
        <v>1144</v>
      </c>
      <c r="I309" t="s">
        <v>1144</v>
      </c>
      <c r="J309" t="s">
        <v>1144</v>
      </c>
      <c r="K309" t="s">
        <v>1144</v>
      </c>
      <c r="L309">
        <v>157.78</v>
      </c>
      <c r="M309">
        <v>361.16</v>
      </c>
      <c r="N309">
        <v>0</v>
      </c>
      <c r="O309" s="56"/>
      <c r="P309" s="56"/>
      <c r="Q309">
        <v>13718</v>
      </c>
      <c r="R309">
        <v>9</v>
      </c>
      <c r="S309">
        <v>4</v>
      </c>
      <c r="T309">
        <v>2</v>
      </c>
      <c r="U309">
        <v>2</v>
      </c>
      <c r="V309">
        <v>1</v>
      </c>
      <c r="X309" t="s">
        <v>2385</v>
      </c>
      <c r="AA309">
        <v>0.04</v>
      </c>
      <c r="AB309">
        <v>1</v>
      </c>
      <c r="AC309">
        <v>18.75</v>
      </c>
      <c r="AD309">
        <v>43.75</v>
      </c>
      <c r="AE309">
        <v>0</v>
      </c>
      <c r="AF309">
        <v>0</v>
      </c>
      <c r="AG309">
        <v>0</v>
      </c>
      <c r="AJ309" s="56">
        <v>42666</v>
      </c>
      <c r="AK309" s="56">
        <v>42369</v>
      </c>
      <c r="AL309" s="56"/>
      <c r="AM309">
        <v>5</v>
      </c>
      <c r="AP309" t="s">
        <v>1450</v>
      </c>
      <c r="AS309" t="s">
        <v>1152</v>
      </c>
      <c r="AT309">
        <v>1</v>
      </c>
      <c r="AV309">
        <v>3</v>
      </c>
      <c r="AW309">
        <v>2</v>
      </c>
      <c r="AX309">
        <v>1</v>
      </c>
      <c r="AY309" t="s">
        <v>1147</v>
      </c>
      <c r="AZ309" t="s">
        <v>1147</v>
      </c>
      <c r="BA309">
        <v>5</v>
      </c>
      <c r="BD309">
        <v>1000000000</v>
      </c>
      <c r="BE309">
        <v>7</v>
      </c>
      <c r="BF309">
        <v>-1.33</v>
      </c>
      <c r="BG309">
        <v>0</v>
      </c>
      <c r="BH309">
        <v>0</v>
      </c>
      <c r="BI309">
        <v>0</v>
      </c>
      <c r="BJ309">
        <v>0</v>
      </c>
      <c r="BK309">
        <v>0</v>
      </c>
      <c r="BL309">
        <v>0</v>
      </c>
      <c r="BM309">
        <v>7</v>
      </c>
      <c r="BN309">
        <v>-1.33</v>
      </c>
      <c r="BO309">
        <v>0</v>
      </c>
      <c r="BP309">
        <v>0</v>
      </c>
      <c r="BR309">
        <v>0</v>
      </c>
      <c r="BS309">
        <v>2</v>
      </c>
      <c r="BX309">
        <v>0</v>
      </c>
      <c r="BY309">
        <v>631.12</v>
      </c>
      <c r="BZ309">
        <v>0</v>
      </c>
      <c r="CA309">
        <v>15.47</v>
      </c>
      <c r="CC309">
        <v>1</v>
      </c>
      <c r="CD309" s="56">
        <v>42619</v>
      </c>
      <c r="CE309" s="56">
        <v>42619</v>
      </c>
      <c r="CF309" s="56">
        <v>42619</v>
      </c>
      <c r="CG309" s="56">
        <v>42647</v>
      </c>
      <c r="CH309" s="56"/>
      <c r="CI309" s="56"/>
      <c r="CJ309">
        <v>0</v>
      </c>
      <c r="CK309">
        <v>0</v>
      </c>
      <c r="CL309">
        <v>0</v>
      </c>
      <c r="CM309">
        <v>0</v>
      </c>
      <c r="CN309">
        <v>0</v>
      </c>
      <c r="CO309">
        <v>0</v>
      </c>
      <c r="CP309">
        <v>0.65</v>
      </c>
      <c r="CQ309" t="s">
        <v>1378</v>
      </c>
      <c r="CR309" t="s">
        <v>1377</v>
      </c>
      <c r="CS309" t="s">
        <v>1451</v>
      </c>
      <c r="CT309" t="s">
        <v>1724</v>
      </c>
      <c r="CU309" t="s">
        <v>1742</v>
      </c>
      <c r="CV309" t="s">
        <v>1765</v>
      </c>
      <c r="DB309" t="s">
        <v>1762</v>
      </c>
      <c r="DE309" t="s">
        <v>1724</v>
      </c>
    </row>
    <row r="310" spans="1:109" x14ac:dyDescent="0.25">
      <c r="A310" t="s">
        <v>1378</v>
      </c>
      <c r="B310">
        <v>1</v>
      </c>
      <c r="C310" s="56">
        <v>42640</v>
      </c>
      <c r="D310" t="s">
        <v>1449</v>
      </c>
      <c r="E310" t="s">
        <v>2127</v>
      </c>
      <c r="G310" t="s">
        <v>1144</v>
      </c>
      <c r="H310" t="s">
        <v>1144</v>
      </c>
      <c r="I310" t="s">
        <v>1144</v>
      </c>
      <c r="J310" t="s">
        <v>1144</v>
      </c>
      <c r="K310" t="s">
        <v>1144</v>
      </c>
      <c r="L310">
        <v>1194.3499999999999</v>
      </c>
      <c r="M310">
        <v>2568.5100000000002</v>
      </c>
      <c r="N310">
        <v>0</v>
      </c>
      <c r="O310" s="56"/>
      <c r="P310" s="56"/>
      <c r="Q310">
        <v>13718</v>
      </c>
      <c r="R310">
        <v>9</v>
      </c>
      <c r="S310">
        <v>4</v>
      </c>
      <c r="T310">
        <v>2</v>
      </c>
      <c r="U310">
        <v>2</v>
      </c>
      <c r="V310">
        <v>1</v>
      </c>
      <c r="X310" t="s">
        <v>2385</v>
      </c>
      <c r="AA310">
        <v>0.16</v>
      </c>
      <c r="AB310">
        <v>1</v>
      </c>
      <c r="AC310">
        <v>4.6900000000000004</v>
      </c>
      <c r="AD310">
        <v>7.81</v>
      </c>
      <c r="AE310">
        <v>0</v>
      </c>
      <c r="AF310">
        <v>0</v>
      </c>
      <c r="AG310">
        <v>0</v>
      </c>
      <c r="AJ310" s="56"/>
      <c r="AK310" s="56"/>
      <c r="AL310" s="56"/>
      <c r="AM310">
        <v>6</v>
      </c>
      <c r="AP310" t="s">
        <v>1450</v>
      </c>
      <c r="AS310" t="s">
        <v>1152</v>
      </c>
      <c r="AT310">
        <v>1</v>
      </c>
      <c r="AV310">
        <v>3</v>
      </c>
      <c r="AW310">
        <v>2</v>
      </c>
      <c r="AX310">
        <v>1</v>
      </c>
      <c r="AY310" t="s">
        <v>1147</v>
      </c>
      <c r="AZ310" t="s">
        <v>1147</v>
      </c>
      <c r="BA310">
        <v>6</v>
      </c>
      <c r="BD310">
        <v>1000000000</v>
      </c>
      <c r="BE310">
        <v>5</v>
      </c>
      <c r="BF310">
        <v>-0.67</v>
      </c>
      <c r="BG310">
        <v>0</v>
      </c>
      <c r="BH310">
        <v>0</v>
      </c>
      <c r="BI310">
        <v>0</v>
      </c>
      <c r="BJ310">
        <v>0</v>
      </c>
      <c r="BK310">
        <v>0</v>
      </c>
      <c r="BL310">
        <v>0</v>
      </c>
      <c r="BM310">
        <v>5</v>
      </c>
      <c r="BN310">
        <v>-0.67</v>
      </c>
      <c r="BO310">
        <v>0</v>
      </c>
      <c r="BP310">
        <v>0</v>
      </c>
      <c r="BR310">
        <v>0</v>
      </c>
      <c r="BS310">
        <v>2</v>
      </c>
      <c r="BX310">
        <v>0</v>
      </c>
      <c r="BY310">
        <v>2388.6999999999998</v>
      </c>
      <c r="BZ310">
        <v>0</v>
      </c>
      <c r="CA310">
        <v>13.81</v>
      </c>
      <c r="CC310">
        <v>1</v>
      </c>
      <c r="CD310" s="56">
        <v>42619</v>
      </c>
      <c r="CE310" s="56">
        <v>42619</v>
      </c>
      <c r="CF310" s="56">
        <v>42619</v>
      </c>
      <c r="CG310" s="56">
        <v>42647</v>
      </c>
      <c r="CH310" s="56"/>
      <c r="CI310" s="56"/>
      <c r="CJ310">
        <v>0</v>
      </c>
      <c r="CK310">
        <v>0</v>
      </c>
      <c r="CL310">
        <v>0</v>
      </c>
      <c r="CM310">
        <v>0</v>
      </c>
      <c r="CN310">
        <v>0</v>
      </c>
      <c r="CO310">
        <v>0</v>
      </c>
      <c r="CP310">
        <v>0.65</v>
      </c>
      <c r="CQ310" t="s">
        <v>1378</v>
      </c>
      <c r="CR310" t="s">
        <v>1377</v>
      </c>
      <c r="CS310" t="s">
        <v>1451</v>
      </c>
      <c r="CT310" t="s">
        <v>1724</v>
      </c>
      <c r="CU310" t="s">
        <v>1742</v>
      </c>
      <c r="CV310" t="s">
        <v>2128</v>
      </c>
      <c r="DB310" t="s">
        <v>2111</v>
      </c>
      <c r="DE310" t="s">
        <v>1724</v>
      </c>
    </row>
    <row r="311" spans="1:109" x14ac:dyDescent="0.25">
      <c r="A311" t="s">
        <v>1378</v>
      </c>
      <c r="B311">
        <v>1</v>
      </c>
      <c r="C311" s="56">
        <v>42640</v>
      </c>
      <c r="D311" t="s">
        <v>1449</v>
      </c>
      <c r="E311" t="s">
        <v>1384</v>
      </c>
      <c r="G311" t="s">
        <v>1144</v>
      </c>
      <c r="H311" t="s">
        <v>1144</v>
      </c>
      <c r="I311" t="s">
        <v>1144</v>
      </c>
      <c r="J311" t="s">
        <v>1144</v>
      </c>
      <c r="K311" t="s">
        <v>1144</v>
      </c>
      <c r="L311">
        <v>760.94</v>
      </c>
      <c r="M311">
        <v>1637.27</v>
      </c>
      <c r="N311">
        <v>0</v>
      </c>
      <c r="O311" s="56"/>
      <c r="P311" s="56"/>
      <c r="Q311">
        <v>13718</v>
      </c>
      <c r="R311">
        <v>9</v>
      </c>
      <c r="S311">
        <v>4</v>
      </c>
      <c r="T311">
        <v>2</v>
      </c>
      <c r="U311">
        <v>2</v>
      </c>
      <c r="V311">
        <v>1</v>
      </c>
      <c r="W311" t="s">
        <v>1376</v>
      </c>
      <c r="X311" t="s">
        <v>2385</v>
      </c>
      <c r="AA311">
        <v>0.16</v>
      </c>
      <c r="AB311">
        <v>1</v>
      </c>
      <c r="AC311">
        <v>4.6900000000000004</v>
      </c>
      <c r="AD311">
        <v>1.56</v>
      </c>
      <c r="AE311">
        <v>0</v>
      </c>
      <c r="AF311">
        <v>0</v>
      </c>
      <c r="AG311">
        <v>0</v>
      </c>
      <c r="AJ311" s="56"/>
      <c r="AK311" s="56"/>
      <c r="AL311" s="56"/>
      <c r="AM311">
        <v>5</v>
      </c>
      <c r="AP311" t="s">
        <v>1450</v>
      </c>
      <c r="AS311" t="s">
        <v>1152</v>
      </c>
      <c r="AT311">
        <v>1</v>
      </c>
      <c r="AV311">
        <v>3</v>
      </c>
      <c r="AW311">
        <v>2</v>
      </c>
      <c r="AX311">
        <v>1</v>
      </c>
      <c r="AY311" t="s">
        <v>1146</v>
      </c>
      <c r="AZ311" t="s">
        <v>1146</v>
      </c>
      <c r="BA311">
        <v>5</v>
      </c>
      <c r="BD311">
        <v>1000000000</v>
      </c>
      <c r="BE311">
        <v>1</v>
      </c>
      <c r="BF311">
        <v>0.67</v>
      </c>
      <c r="BG311">
        <v>0</v>
      </c>
      <c r="BH311">
        <v>0</v>
      </c>
      <c r="BI311">
        <v>0</v>
      </c>
      <c r="BJ311">
        <v>0</v>
      </c>
      <c r="BK311">
        <v>0</v>
      </c>
      <c r="BL311">
        <v>0</v>
      </c>
      <c r="BM311">
        <v>1</v>
      </c>
      <c r="BN311">
        <v>0.67</v>
      </c>
      <c r="BO311">
        <v>0</v>
      </c>
      <c r="BP311">
        <v>0</v>
      </c>
      <c r="BR311">
        <v>2</v>
      </c>
      <c r="BS311">
        <v>2</v>
      </c>
      <c r="BX311">
        <v>0</v>
      </c>
      <c r="BY311">
        <v>0</v>
      </c>
      <c r="BZ311">
        <v>0</v>
      </c>
      <c r="CA311">
        <v>13.82</v>
      </c>
      <c r="CC311">
        <v>1</v>
      </c>
      <c r="CD311" s="56">
        <v>42619</v>
      </c>
      <c r="CE311" s="56">
        <v>42619</v>
      </c>
      <c r="CF311" s="56">
        <v>42619</v>
      </c>
      <c r="CG311" s="56">
        <v>42647</v>
      </c>
      <c r="CH311" s="56"/>
      <c r="CI311" s="56"/>
      <c r="CJ311">
        <v>0.35</v>
      </c>
      <c r="CK311">
        <v>0</v>
      </c>
      <c r="CL311">
        <v>0</v>
      </c>
      <c r="CM311">
        <v>0.5</v>
      </c>
      <c r="CN311">
        <v>0.15</v>
      </c>
      <c r="CO311">
        <v>0</v>
      </c>
      <c r="CP311">
        <v>0</v>
      </c>
      <c r="CQ311" t="s">
        <v>1378</v>
      </c>
      <c r="CR311" t="s">
        <v>1377</v>
      </c>
      <c r="CS311" t="s">
        <v>1451</v>
      </c>
      <c r="CT311" t="s">
        <v>1724</v>
      </c>
      <c r="CU311" t="s">
        <v>1742</v>
      </c>
      <c r="CV311" t="s">
        <v>1817</v>
      </c>
      <c r="DB311" t="s">
        <v>1783</v>
      </c>
      <c r="DE311" t="s">
        <v>1724</v>
      </c>
    </row>
    <row r="312" spans="1:109" x14ac:dyDescent="0.25">
      <c r="A312" t="s">
        <v>1378</v>
      </c>
      <c r="B312">
        <v>1</v>
      </c>
      <c r="C312" s="56">
        <v>42640</v>
      </c>
      <c r="D312" t="s">
        <v>1449</v>
      </c>
      <c r="E312" t="s">
        <v>2169</v>
      </c>
      <c r="G312" t="s">
        <v>1144</v>
      </c>
      <c r="H312" t="s">
        <v>1144</v>
      </c>
      <c r="I312" t="s">
        <v>1144</v>
      </c>
      <c r="J312" t="s">
        <v>1144</v>
      </c>
      <c r="K312" t="s">
        <v>1144</v>
      </c>
      <c r="L312">
        <v>287.72000000000003</v>
      </c>
      <c r="M312">
        <v>2</v>
      </c>
      <c r="N312">
        <v>0</v>
      </c>
      <c r="O312" s="56"/>
      <c r="P312" s="56"/>
      <c r="Q312">
        <v>13718</v>
      </c>
      <c r="R312">
        <v>9</v>
      </c>
      <c r="S312">
        <v>4</v>
      </c>
      <c r="T312">
        <v>2</v>
      </c>
      <c r="U312">
        <v>2</v>
      </c>
      <c r="V312">
        <v>1</v>
      </c>
      <c r="X312" t="s">
        <v>2386</v>
      </c>
      <c r="AA312">
        <v>0</v>
      </c>
      <c r="AB312">
        <v>0</v>
      </c>
      <c r="AC312">
        <v>0</v>
      </c>
      <c r="AD312">
        <v>0</v>
      </c>
      <c r="AE312">
        <v>0</v>
      </c>
      <c r="AF312">
        <v>0</v>
      </c>
      <c r="AG312">
        <v>0</v>
      </c>
      <c r="AJ312" s="56"/>
      <c r="AK312" s="56"/>
      <c r="AL312" s="56"/>
      <c r="AM312">
        <v>1</v>
      </c>
      <c r="AP312" t="s">
        <v>1450</v>
      </c>
      <c r="AS312" t="s">
        <v>1152</v>
      </c>
      <c r="AT312">
        <v>1</v>
      </c>
      <c r="AV312">
        <v>1</v>
      </c>
      <c r="AW312">
        <v>1</v>
      </c>
      <c r="AX312">
        <v>0.5</v>
      </c>
      <c r="AY312" t="s">
        <v>1147</v>
      </c>
      <c r="AZ312" t="s">
        <v>1147</v>
      </c>
      <c r="BA312">
        <v>1</v>
      </c>
      <c r="BD312">
        <v>1000000000</v>
      </c>
      <c r="BE312">
        <v>2</v>
      </c>
      <c r="BF312">
        <v>-1</v>
      </c>
      <c r="BG312">
        <v>0</v>
      </c>
      <c r="BH312">
        <v>0</v>
      </c>
      <c r="BI312">
        <v>0</v>
      </c>
      <c r="BJ312">
        <v>0</v>
      </c>
      <c r="BK312">
        <v>0</v>
      </c>
      <c r="BL312">
        <v>0</v>
      </c>
      <c r="BM312">
        <v>2</v>
      </c>
      <c r="BN312">
        <v>-1</v>
      </c>
      <c r="BO312">
        <v>0</v>
      </c>
      <c r="BP312">
        <v>0</v>
      </c>
      <c r="BR312">
        <v>0</v>
      </c>
      <c r="BS312">
        <v>1</v>
      </c>
      <c r="BX312">
        <v>0</v>
      </c>
      <c r="BY312">
        <v>287.72000000000003</v>
      </c>
      <c r="BZ312">
        <v>0</v>
      </c>
      <c r="CA312">
        <v>-11.92</v>
      </c>
      <c r="CC312">
        <v>1</v>
      </c>
      <c r="CD312" s="56">
        <v>42593</v>
      </c>
      <c r="CE312" s="56">
        <v>42612</v>
      </c>
      <c r="CF312" s="56">
        <v>42612</v>
      </c>
      <c r="CG312" s="56">
        <v>42640</v>
      </c>
      <c r="CH312" s="56"/>
      <c r="CI312" s="56"/>
      <c r="CJ312">
        <v>0</v>
      </c>
      <c r="CK312">
        <v>0</v>
      </c>
      <c r="CL312">
        <v>0</v>
      </c>
      <c r="CM312">
        <v>0</v>
      </c>
      <c r="CN312">
        <v>0</v>
      </c>
      <c r="CO312">
        <v>0</v>
      </c>
      <c r="CP312">
        <v>0.71</v>
      </c>
      <c r="CQ312" t="s">
        <v>1378</v>
      </c>
      <c r="CR312" t="s">
        <v>1377</v>
      </c>
      <c r="CS312" t="s">
        <v>1451</v>
      </c>
      <c r="CT312" t="s">
        <v>1724</v>
      </c>
      <c r="CU312" t="s">
        <v>1742</v>
      </c>
      <c r="CV312" t="s">
        <v>2159</v>
      </c>
      <c r="DB312" t="s">
        <v>2161</v>
      </c>
      <c r="DE312" t="s">
        <v>1724</v>
      </c>
    </row>
    <row r="313" spans="1:109" x14ac:dyDescent="0.25">
      <c r="A313" t="s">
        <v>1378</v>
      </c>
      <c r="B313">
        <v>1</v>
      </c>
      <c r="C313" s="56">
        <v>42640</v>
      </c>
      <c r="D313" t="s">
        <v>1449</v>
      </c>
      <c r="E313" t="s">
        <v>1391</v>
      </c>
      <c r="G313" t="s">
        <v>1144</v>
      </c>
      <c r="H313" t="s">
        <v>1144</v>
      </c>
      <c r="I313" t="s">
        <v>1144</v>
      </c>
      <c r="J313" t="s">
        <v>1144</v>
      </c>
      <c r="K313" t="s">
        <v>1144</v>
      </c>
      <c r="L313">
        <v>56.9</v>
      </c>
      <c r="M313">
        <v>50.87</v>
      </c>
      <c r="N313">
        <v>0</v>
      </c>
      <c r="O313" s="56"/>
      <c r="P313" s="56"/>
      <c r="Q313">
        <v>13718</v>
      </c>
      <c r="R313">
        <v>9</v>
      </c>
      <c r="S313">
        <v>4</v>
      </c>
      <c r="T313">
        <v>2</v>
      </c>
      <c r="U313">
        <v>2</v>
      </c>
      <c r="V313">
        <v>1</v>
      </c>
      <c r="X313" t="s">
        <v>2385</v>
      </c>
      <c r="AA313">
        <v>0.63</v>
      </c>
      <c r="AB313">
        <v>4</v>
      </c>
      <c r="AC313">
        <v>2.38</v>
      </c>
      <c r="AD313">
        <v>5.16</v>
      </c>
      <c r="AE313">
        <v>0</v>
      </c>
      <c r="AF313">
        <v>0</v>
      </c>
      <c r="AG313">
        <v>0</v>
      </c>
      <c r="AJ313" s="56"/>
      <c r="AK313" s="56"/>
      <c r="AL313" s="56"/>
      <c r="AM313">
        <v>13</v>
      </c>
      <c r="AP313" t="s">
        <v>1450</v>
      </c>
      <c r="AS313" t="s">
        <v>1152</v>
      </c>
      <c r="AT313">
        <v>1</v>
      </c>
      <c r="AV313">
        <v>6</v>
      </c>
      <c r="AW313">
        <v>4</v>
      </c>
      <c r="AX313">
        <v>2</v>
      </c>
      <c r="AY313" t="s">
        <v>1147</v>
      </c>
      <c r="AZ313" t="s">
        <v>1147</v>
      </c>
      <c r="BA313">
        <v>13</v>
      </c>
      <c r="BD313">
        <v>1000000000</v>
      </c>
      <c r="BE313">
        <v>13</v>
      </c>
      <c r="BF313">
        <v>-1.17</v>
      </c>
      <c r="BG313">
        <v>0</v>
      </c>
      <c r="BH313">
        <v>0</v>
      </c>
      <c r="BI313">
        <v>0</v>
      </c>
      <c r="BJ313">
        <v>0</v>
      </c>
      <c r="BK313">
        <v>0</v>
      </c>
      <c r="BL313">
        <v>0</v>
      </c>
      <c r="BM313">
        <v>13</v>
      </c>
      <c r="BN313">
        <v>-1.17</v>
      </c>
      <c r="BO313">
        <v>0</v>
      </c>
      <c r="BP313">
        <v>0</v>
      </c>
      <c r="BR313">
        <v>0</v>
      </c>
      <c r="BS313">
        <v>3</v>
      </c>
      <c r="BX313">
        <v>0</v>
      </c>
      <c r="BY313">
        <v>398.3</v>
      </c>
      <c r="BZ313">
        <v>0</v>
      </c>
      <c r="CA313">
        <v>-1.27</v>
      </c>
      <c r="CC313">
        <v>1</v>
      </c>
      <c r="CD313" s="56">
        <v>42619</v>
      </c>
      <c r="CE313" s="56">
        <v>42619</v>
      </c>
      <c r="CF313" s="56">
        <v>42619</v>
      </c>
      <c r="CG313" s="56">
        <v>42647</v>
      </c>
      <c r="CH313" s="56"/>
      <c r="CI313" s="56"/>
      <c r="CJ313">
        <v>0</v>
      </c>
      <c r="CK313">
        <v>0</v>
      </c>
      <c r="CL313">
        <v>0</v>
      </c>
      <c r="CM313">
        <v>0</v>
      </c>
      <c r="CN313">
        <v>0</v>
      </c>
      <c r="CO313">
        <v>0</v>
      </c>
      <c r="CP313">
        <v>0.65</v>
      </c>
      <c r="CQ313" t="s">
        <v>1378</v>
      </c>
      <c r="CR313" t="s">
        <v>1377</v>
      </c>
      <c r="CS313" t="s">
        <v>1451</v>
      </c>
      <c r="CT313" t="s">
        <v>1724</v>
      </c>
      <c r="CU313" t="s">
        <v>1742</v>
      </c>
      <c r="CV313" t="s">
        <v>1864</v>
      </c>
      <c r="DB313" t="s">
        <v>1863</v>
      </c>
      <c r="DE313" t="s">
        <v>1724</v>
      </c>
    </row>
    <row r="314" spans="1:109" x14ac:dyDescent="0.25">
      <c r="A314" t="s">
        <v>1378</v>
      </c>
      <c r="B314">
        <v>1</v>
      </c>
      <c r="C314" s="56">
        <v>42640</v>
      </c>
      <c r="D314" t="s">
        <v>1449</v>
      </c>
      <c r="E314" t="s">
        <v>2214</v>
      </c>
      <c r="G314" t="s">
        <v>1144</v>
      </c>
      <c r="H314" t="s">
        <v>1144</v>
      </c>
      <c r="I314" t="s">
        <v>1144</v>
      </c>
      <c r="J314" t="s">
        <v>1144</v>
      </c>
      <c r="K314" t="s">
        <v>1144</v>
      </c>
      <c r="L314">
        <v>447.47</v>
      </c>
      <c r="M314">
        <v>2</v>
      </c>
      <c r="N314">
        <v>0</v>
      </c>
      <c r="O314" s="56"/>
      <c r="P314" s="56"/>
      <c r="Q314">
        <v>13718</v>
      </c>
      <c r="R314">
        <v>9</v>
      </c>
      <c r="S314">
        <v>4</v>
      </c>
      <c r="T314">
        <v>2</v>
      </c>
      <c r="U314">
        <v>2</v>
      </c>
      <c r="V314">
        <v>1</v>
      </c>
      <c r="X314" t="s">
        <v>2386</v>
      </c>
      <c r="AA314">
        <v>0</v>
      </c>
      <c r="AB314">
        <v>0</v>
      </c>
      <c r="AC314">
        <v>0</v>
      </c>
      <c r="AD314">
        <v>0</v>
      </c>
      <c r="AE314">
        <v>0</v>
      </c>
      <c r="AF314">
        <v>0</v>
      </c>
      <c r="AG314">
        <v>0</v>
      </c>
      <c r="AJ314" s="56"/>
      <c r="AK314" s="56">
        <v>42369</v>
      </c>
      <c r="AL314" s="56"/>
      <c r="AM314">
        <v>1</v>
      </c>
      <c r="AP314" t="s">
        <v>1450</v>
      </c>
      <c r="AS314" t="s">
        <v>1152</v>
      </c>
      <c r="AT314">
        <v>1</v>
      </c>
      <c r="AV314">
        <v>1</v>
      </c>
      <c r="AW314">
        <v>1</v>
      </c>
      <c r="AX314">
        <v>0.5</v>
      </c>
      <c r="AY314" t="s">
        <v>1147</v>
      </c>
      <c r="AZ314" t="s">
        <v>1147</v>
      </c>
      <c r="BA314">
        <v>1</v>
      </c>
      <c r="BD314">
        <v>1000000000</v>
      </c>
      <c r="BE314">
        <v>2</v>
      </c>
      <c r="BF314">
        <v>-1</v>
      </c>
      <c r="BG314">
        <v>0</v>
      </c>
      <c r="BH314">
        <v>0</v>
      </c>
      <c r="BI314">
        <v>0</v>
      </c>
      <c r="BJ314">
        <v>0</v>
      </c>
      <c r="BK314">
        <v>0</v>
      </c>
      <c r="BL314">
        <v>0</v>
      </c>
      <c r="BM314">
        <v>2</v>
      </c>
      <c r="BN314">
        <v>-1</v>
      </c>
      <c r="BO314">
        <v>0</v>
      </c>
      <c r="BP314">
        <v>0</v>
      </c>
      <c r="BR314">
        <v>0</v>
      </c>
      <c r="BS314">
        <v>1</v>
      </c>
      <c r="BX314">
        <v>0</v>
      </c>
      <c r="BY314">
        <v>447.47</v>
      </c>
      <c r="BZ314">
        <v>0</v>
      </c>
      <c r="CA314">
        <v>-11.95</v>
      </c>
      <c r="CC314">
        <v>1</v>
      </c>
      <c r="CD314" s="56">
        <v>42593</v>
      </c>
      <c r="CE314" s="56">
        <v>42612</v>
      </c>
      <c r="CF314" s="56">
        <v>42612</v>
      </c>
      <c r="CG314" s="56">
        <v>42640</v>
      </c>
      <c r="CH314" s="56"/>
      <c r="CI314" s="56"/>
      <c r="CJ314">
        <v>0</v>
      </c>
      <c r="CK314">
        <v>0</v>
      </c>
      <c r="CL314">
        <v>0</v>
      </c>
      <c r="CM314">
        <v>0</v>
      </c>
      <c r="CN314">
        <v>0</v>
      </c>
      <c r="CO314">
        <v>0</v>
      </c>
      <c r="CP314">
        <v>0.71</v>
      </c>
      <c r="CQ314" t="s">
        <v>1378</v>
      </c>
      <c r="CR314" t="s">
        <v>1377</v>
      </c>
      <c r="CS314" t="s">
        <v>1451</v>
      </c>
      <c r="CT314" t="s">
        <v>1724</v>
      </c>
      <c r="CU314" t="s">
        <v>1742</v>
      </c>
      <c r="CV314" t="s">
        <v>2213</v>
      </c>
      <c r="DB314" t="s">
        <v>2161</v>
      </c>
      <c r="DE314" t="s">
        <v>1724</v>
      </c>
    </row>
    <row r="315" spans="1:109" x14ac:dyDescent="0.25">
      <c r="A315" t="s">
        <v>1378</v>
      </c>
      <c r="B315">
        <v>1</v>
      </c>
      <c r="C315" s="56">
        <v>42640</v>
      </c>
      <c r="D315" t="s">
        <v>1449</v>
      </c>
      <c r="E315" t="s">
        <v>1913</v>
      </c>
      <c r="G315" t="s">
        <v>1144</v>
      </c>
      <c r="H315" t="s">
        <v>1144</v>
      </c>
      <c r="I315" t="s">
        <v>1144</v>
      </c>
      <c r="J315" t="s">
        <v>1144</v>
      </c>
      <c r="K315" t="s">
        <v>1144</v>
      </c>
      <c r="L315">
        <v>0</v>
      </c>
      <c r="M315">
        <v>230.18</v>
      </c>
      <c r="N315">
        <v>0</v>
      </c>
      <c r="O315" s="56"/>
      <c r="P315" s="56"/>
      <c r="Q315">
        <v>13718</v>
      </c>
      <c r="R315">
        <v>9</v>
      </c>
      <c r="S315">
        <v>4</v>
      </c>
      <c r="T315">
        <v>2</v>
      </c>
      <c r="U315">
        <v>2</v>
      </c>
      <c r="V315">
        <v>1</v>
      </c>
      <c r="X315" t="s">
        <v>2386</v>
      </c>
      <c r="AA315">
        <v>0</v>
      </c>
      <c r="AB315">
        <v>0</v>
      </c>
      <c r="AC315">
        <v>0</v>
      </c>
      <c r="AD315">
        <v>0</v>
      </c>
      <c r="AE315">
        <v>0</v>
      </c>
      <c r="AF315">
        <v>0</v>
      </c>
      <c r="AG315">
        <v>0</v>
      </c>
      <c r="AJ315" s="56"/>
      <c r="AK315" s="56"/>
      <c r="AL315" s="56"/>
      <c r="AP315" t="s">
        <v>1450</v>
      </c>
      <c r="AS315" t="s">
        <v>1152</v>
      </c>
      <c r="AT315">
        <v>1</v>
      </c>
      <c r="AV315">
        <v>0</v>
      </c>
      <c r="AW315">
        <v>0</v>
      </c>
      <c r="AX315">
        <v>0</v>
      </c>
      <c r="AY315" t="s">
        <v>1375</v>
      </c>
      <c r="AZ315" t="s">
        <v>1375</v>
      </c>
      <c r="BA315">
        <v>0</v>
      </c>
      <c r="BD315">
        <v>1000000000</v>
      </c>
      <c r="BE315">
        <v>0</v>
      </c>
      <c r="BF315">
        <v>0</v>
      </c>
      <c r="BG315">
        <v>0</v>
      </c>
      <c r="BH315">
        <v>0</v>
      </c>
      <c r="BI315">
        <v>0</v>
      </c>
      <c r="BJ315">
        <v>0</v>
      </c>
      <c r="BK315">
        <v>0</v>
      </c>
      <c r="BL315">
        <v>0</v>
      </c>
      <c r="BM315">
        <v>0</v>
      </c>
      <c r="BN315">
        <v>0</v>
      </c>
      <c r="BO315">
        <v>0</v>
      </c>
      <c r="BP315">
        <v>0</v>
      </c>
      <c r="BR315">
        <v>0</v>
      </c>
      <c r="BS315">
        <v>0</v>
      </c>
      <c r="BX315">
        <v>0</v>
      </c>
      <c r="BY315">
        <v>0</v>
      </c>
      <c r="BZ315">
        <v>0</v>
      </c>
      <c r="CA315">
        <v>0</v>
      </c>
      <c r="CC315">
        <v>1</v>
      </c>
      <c r="CD315" s="56">
        <v>42593</v>
      </c>
      <c r="CE315" s="56">
        <v>42612</v>
      </c>
      <c r="CF315" s="56">
        <v>42612</v>
      </c>
      <c r="CG315" s="56">
        <v>42640</v>
      </c>
      <c r="CH315" s="56"/>
      <c r="CI315" s="56"/>
      <c r="CJ315">
        <v>1</v>
      </c>
      <c r="CK315">
        <v>0</v>
      </c>
      <c r="CL315">
        <v>0.71</v>
      </c>
      <c r="CM315">
        <v>0</v>
      </c>
      <c r="CN315">
        <v>0</v>
      </c>
      <c r="CO315">
        <v>0</v>
      </c>
      <c r="CP315">
        <v>0</v>
      </c>
      <c r="CQ315" t="s">
        <v>1378</v>
      </c>
      <c r="CR315" t="s">
        <v>1377</v>
      </c>
      <c r="CS315" t="s">
        <v>1451</v>
      </c>
      <c r="CT315" t="s">
        <v>1724</v>
      </c>
      <c r="CU315" t="s">
        <v>1742</v>
      </c>
      <c r="CV315" t="s">
        <v>1914</v>
      </c>
      <c r="DB315" t="s">
        <v>1869</v>
      </c>
      <c r="DE315" t="s">
        <v>1724</v>
      </c>
    </row>
    <row r="316" spans="1:109" x14ac:dyDescent="0.25">
      <c r="A316" t="s">
        <v>1378</v>
      </c>
      <c r="B316">
        <v>1</v>
      </c>
      <c r="C316" s="56">
        <v>42640</v>
      </c>
      <c r="D316" t="s">
        <v>1449</v>
      </c>
      <c r="E316" t="s">
        <v>2262</v>
      </c>
      <c r="G316" t="s">
        <v>1144</v>
      </c>
      <c r="H316" t="s">
        <v>1144</v>
      </c>
      <c r="I316" t="s">
        <v>1144</v>
      </c>
      <c r="J316" t="s">
        <v>1144</v>
      </c>
      <c r="K316" t="s">
        <v>1144</v>
      </c>
      <c r="L316">
        <v>569.04999999999995</v>
      </c>
      <c r="M316">
        <v>2</v>
      </c>
      <c r="N316">
        <v>0</v>
      </c>
      <c r="O316" s="56"/>
      <c r="P316" s="56"/>
      <c r="Q316">
        <v>13718</v>
      </c>
      <c r="R316">
        <v>9</v>
      </c>
      <c r="S316">
        <v>4</v>
      </c>
      <c r="T316">
        <v>2</v>
      </c>
      <c r="U316">
        <v>2</v>
      </c>
      <c r="V316">
        <v>1</v>
      </c>
      <c r="W316" t="s">
        <v>2379</v>
      </c>
      <c r="X316" t="s">
        <v>2386</v>
      </c>
      <c r="AA316">
        <v>0</v>
      </c>
      <c r="AB316">
        <v>0</v>
      </c>
      <c r="AC316">
        <v>0</v>
      </c>
      <c r="AD316">
        <v>0</v>
      </c>
      <c r="AE316">
        <v>0</v>
      </c>
      <c r="AF316">
        <v>0</v>
      </c>
      <c r="AG316">
        <v>0</v>
      </c>
      <c r="AJ316" s="56"/>
      <c r="AK316" s="56">
        <v>42369</v>
      </c>
      <c r="AL316" s="56"/>
      <c r="AM316">
        <v>1</v>
      </c>
      <c r="AP316" t="s">
        <v>1450</v>
      </c>
      <c r="AS316" t="s">
        <v>1152</v>
      </c>
      <c r="AT316">
        <v>1</v>
      </c>
      <c r="AV316">
        <v>1</v>
      </c>
      <c r="AW316">
        <v>1</v>
      </c>
      <c r="AX316">
        <v>0.5</v>
      </c>
      <c r="AY316" t="s">
        <v>1145</v>
      </c>
      <c r="AZ316" t="s">
        <v>1145</v>
      </c>
      <c r="BA316">
        <v>1</v>
      </c>
      <c r="BD316">
        <v>1000000000</v>
      </c>
      <c r="BE316">
        <v>1</v>
      </c>
      <c r="BF316">
        <v>0</v>
      </c>
      <c r="BG316">
        <v>0</v>
      </c>
      <c r="BH316">
        <v>0</v>
      </c>
      <c r="BI316">
        <v>0</v>
      </c>
      <c r="BJ316">
        <v>0</v>
      </c>
      <c r="BK316">
        <v>0</v>
      </c>
      <c r="BL316">
        <v>0</v>
      </c>
      <c r="BM316">
        <v>1</v>
      </c>
      <c r="BN316">
        <v>0</v>
      </c>
      <c r="BO316">
        <v>0</v>
      </c>
      <c r="BP316">
        <v>0</v>
      </c>
      <c r="BR316">
        <v>0</v>
      </c>
      <c r="BS316">
        <v>1</v>
      </c>
      <c r="BX316">
        <v>0</v>
      </c>
      <c r="BY316">
        <v>0</v>
      </c>
      <c r="BZ316">
        <v>0</v>
      </c>
      <c r="CA316">
        <v>-11.96</v>
      </c>
      <c r="CC316">
        <v>1</v>
      </c>
      <c r="CD316" s="56">
        <v>42593</v>
      </c>
      <c r="CE316" s="56">
        <v>42612</v>
      </c>
      <c r="CF316" s="56">
        <v>42612</v>
      </c>
      <c r="CG316" s="56">
        <v>42640</v>
      </c>
      <c r="CH316" s="56"/>
      <c r="CI316" s="56"/>
      <c r="CJ316">
        <v>0</v>
      </c>
      <c r="CK316">
        <v>0</v>
      </c>
      <c r="CL316">
        <v>0</v>
      </c>
      <c r="CM316">
        <v>0</v>
      </c>
      <c r="CN316">
        <v>0.71</v>
      </c>
      <c r="CO316">
        <v>0</v>
      </c>
      <c r="CP316">
        <v>0</v>
      </c>
      <c r="CQ316" t="s">
        <v>1378</v>
      </c>
      <c r="CR316" t="s">
        <v>1377</v>
      </c>
      <c r="CS316" t="s">
        <v>1451</v>
      </c>
      <c r="CT316" t="s">
        <v>1724</v>
      </c>
      <c r="CU316" t="s">
        <v>1742</v>
      </c>
      <c r="CV316" t="s">
        <v>2263</v>
      </c>
      <c r="DB316" t="s">
        <v>2134</v>
      </c>
      <c r="DE316" t="s">
        <v>1724</v>
      </c>
    </row>
    <row r="317" spans="1:109" x14ac:dyDescent="0.25">
      <c r="A317" t="s">
        <v>1378</v>
      </c>
      <c r="B317">
        <v>1</v>
      </c>
      <c r="C317" s="56">
        <v>42640</v>
      </c>
      <c r="D317" t="s">
        <v>1449</v>
      </c>
      <c r="E317" t="s">
        <v>1433</v>
      </c>
      <c r="G317" t="s">
        <v>1144</v>
      </c>
      <c r="H317" t="s">
        <v>1144</v>
      </c>
      <c r="I317" t="s">
        <v>1144</v>
      </c>
      <c r="J317" t="s">
        <v>1144</v>
      </c>
      <c r="K317" t="s">
        <v>1144</v>
      </c>
      <c r="L317">
        <v>112.73</v>
      </c>
      <c r="M317">
        <v>293.95</v>
      </c>
      <c r="N317">
        <v>0</v>
      </c>
      <c r="O317" s="56"/>
      <c r="P317" s="56"/>
      <c r="Q317">
        <v>13718</v>
      </c>
      <c r="R317">
        <v>9</v>
      </c>
      <c r="S317">
        <v>4</v>
      </c>
      <c r="T317">
        <v>2</v>
      </c>
      <c r="U317">
        <v>2</v>
      </c>
      <c r="V317">
        <v>1</v>
      </c>
      <c r="X317" t="s">
        <v>2386</v>
      </c>
      <c r="AA317">
        <v>0.2</v>
      </c>
      <c r="AB317">
        <v>2</v>
      </c>
      <c r="AC317">
        <v>6.25</v>
      </c>
      <c r="AD317">
        <v>12.5</v>
      </c>
      <c r="AE317">
        <v>0</v>
      </c>
      <c r="AF317">
        <v>0</v>
      </c>
      <c r="AG317">
        <v>0</v>
      </c>
      <c r="AJ317" s="56">
        <v>42666</v>
      </c>
      <c r="AK317" s="56">
        <v>42369</v>
      </c>
      <c r="AL317" s="56"/>
      <c r="AM317">
        <v>5</v>
      </c>
      <c r="AP317" t="s">
        <v>1450</v>
      </c>
      <c r="AS317" t="s">
        <v>1152</v>
      </c>
      <c r="AT317">
        <v>1</v>
      </c>
      <c r="AV317">
        <v>5</v>
      </c>
      <c r="AW317">
        <v>3</v>
      </c>
      <c r="AX317">
        <v>2</v>
      </c>
      <c r="AY317" t="s">
        <v>1147</v>
      </c>
      <c r="AZ317" t="s">
        <v>1147</v>
      </c>
      <c r="BA317">
        <v>5</v>
      </c>
      <c r="BD317">
        <v>1000000000</v>
      </c>
      <c r="BE317">
        <v>10</v>
      </c>
      <c r="BF317">
        <v>-1</v>
      </c>
      <c r="BG317">
        <v>0</v>
      </c>
      <c r="BH317">
        <v>0</v>
      </c>
      <c r="BI317">
        <v>0</v>
      </c>
      <c r="BJ317">
        <v>0</v>
      </c>
      <c r="BK317">
        <v>0</v>
      </c>
      <c r="BL317">
        <v>0</v>
      </c>
      <c r="BM317">
        <v>10</v>
      </c>
      <c r="BN317">
        <v>-1</v>
      </c>
      <c r="BO317">
        <v>0</v>
      </c>
      <c r="BP317">
        <v>0</v>
      </c>
      <c r="BR317">
        <v>0</v>
      </c>
      <c r="BS317">
        <v>3</v>
      </c>
      <c r="BX317">
        <v>0</v>
      </c>
      <c r="BY317">
        <v>563.65</v>
      </c>
      <c r="BZ317">
        <v>0</v>
      </c>
      <c r="CA317">
        <v>19.29</v>
      </c>
      <c r="CC317">
        <v>1</v>
      </c>
      <c r="CD317" s="56">
        <v>42593</v>
      </c>
      <c r="CE317" s="56">
        <v>42612</v>
      </c>
      <c r="CF317" s="56">
        <v>42612</v>
      </c>
      <c r="CG317" s="56">
        <v>42640</v>
      </c>
      <c r="CH317" s="56"/>
      <c r="CI317" s="56"/>
      <c r="CJ317">
        <v>0.08</v>
      </c>
      <c r="CK317">
        <v>0</v>
      </c>
      <c r="CL317">
        <v>0</v>
      </c>
      <c r="CM317">
        <v>0</v>
      </c>
      <c r="CN317">
        <v>0</v>
      </c>
      <c r="CO317">
        <v>0</v>
      </c>
      <c r="CP317">
        <v>0.71</v>
      </c>
      <c r="CQ317" t="s">
        <v>1378</v>
      </c>
      <c r="CR317" t="s">
        <v>1377</v>
      </c>
      <c r="CS317" t="s">
        <v>1451</v>
      </c>
      <c r="CT317" t="s">
        <v>1724</v>
      </c>
      <c r="CU317" t="s">
        <v>1742</v>
      </c>
      <c r="CV317" t="s">
        <v>2058</v>
      </c>
      <c r="DB317" t="s">
        <v>2059</v>
      </c>
      <c r="DE317" t="s">
        <v>1724</v>
      </c>
    </row>
    <row r="318" spans="1:109" x14ac:dyDescent="0.25">
      <c r="A318" t="s">
        <v>1378</v>
      </c>
      <c r="B318">
        <v>1</v>
      </c>
      <c r="C318" s="56">
        <v>42640</v>
      </c>
      <c r="D318" t="s">
        <v>1449</v>
      </c>
      <c r="E318" t="s">
        <v>2109</v>
      </c>
      <c r="G318" t="s">
        <v>1144</v>
      </c>
      <c r="H318" t="s">
        <v>1144</v>
      </c>
      <c r="I318" t="s">
        <v>1144</v>
      </c>
      <c r="J318" t="s">
        <v>1144</v>
      </c>
      <c r="K318" t="s">
        <v>1144</v>
      </c>
      <c r="L318">
        <v>1164.97</v>
      </c>
      <c r="M318">
        <v>2568.5100000000002</v>
      </c>
      <c r="N318">
        <v>0</v>
      </c>
      <c r="O318" s="56"/>
      <c r="P318" s="56"/>
      <c r="Q318">
        <v>13718</v>
      </c>
      <c r="R318">
        <v>9</v>
      </c>
      <c r="S318">
        <v>4</v>
      </c>
      <c r="T318">
        <v>2</v>
      </c>
      <c r="U318">
        <v>2</v>
      </c>
      <c r="V318">
        <v>1</v>
      </c>
      <c r="X318" t="s">
        <v>2385</v>
      </c>
      <c r="AA318">
        <v>0.23</v>
      </c>
      <c r="AB318">
        <v>2</v>
      </c>
      <c r="AC318">
        <v>3.26</v>
      </c>
      <c r="AD318">
        <v>4.3499999999999996</v>
      </c>
      <c r="AE318">
        <v>0</v>
      </c>
      <c r="AF318">
        <v>0</v>
      </c>
      <c r="AG318">
        <v>0</v>
      </c>
      <c r="AJ318" s="56"/>
      <c r="AK318" s="56"/>
      <c r="AL318" s="56"/>
      <c r="AM318">
        <v>5</v>
      </c>
      <c r="AP318" t="s">
        <v>1450</v>
      </c>
      <c r="AS318" t="s">
        <v>1152</v>
      </c>
      <c r="AT318">
        <v>1</v>
      </c>
      <c r="AV318">
        <v>3</v>
      </c>
      <c r="AW318">
        <v>2</v>
      </c>
      <c r="AX318">
        <v>1</v>
      </c>
      <c r="AY318" t="s">
        <v>1147</v>
      </c>
      <c r="AZ318" t="s">
        <v>1147</v>
      </c>
      <c r="BA318">
        <v>5</v>
      </c>
      <c r="BD318">
        <v>1000000000</v>
      </c>
      <c r="BE318">
        <v>4</v>
      </c>
      <c r="BF318">
        <v>-0.33</v>
      </c>
      <c r="BG318">
        <v>0</v>
      </c>
      <c r="BH318">
        <v>0</v>
      </c>
      <c r="BI318">
        <v>0</v>
      </c>
      <c r="BJ318">
        <v>0</v>
      </c>
      <c r="BK318">
        <v>0</v>
      </c>
      <c r="BL318">
        <v>0</v>
      </c>
      <c r="BM318">
        <v>4</v>
      </c>
      <c r="BN318">
        <v>-0.33</v>
      </c>
      <c r="BO318">
        <v>0</v>
      </c>
      <c r="BP318">
        <v>0</v>
      </c>
      <c r="BR318">
        <v>0</v>
      </c>
      <c r="BS318">
        <v>2</v>
      </c>
      <c r="BX318">
        <v>0</v>
      </c>
      <c r="BY318">
        <v>1164.97</v>
      </c>
      <c r="BZ318">
        <v>0</v>
      </c>
      <c r="CA318">
        <v>14.46</v>
      </c>
      <c r="CC318">
        <v>1</v>
      </c>
      <c r="CD318" s="56">
        <v>42619</v>
      </c>
      <c r="CE318" s="56">
        <v>42619</v>
      </c>
      <c r="CF318" s="56">
        <v>42619</v>
      </c>
      <c r="CG318" s="56">
        <v>42647</v>
      </c>
      <c r="CH318" s="56"/>
      <c r="CI318" s="56"/>
      <c r="CJ318">
        <v>0</v>
      </c>
      <c r="CK318">
        <v>0</v>
      </c>
      <c r="CL318">
        <v>0</v>
      </c>
      <c r="CM318">
        <v>0</v>
      </c>
      <c r="CN318">
        <v>0</v>
      </c>
      <c r="CO318">
        <v>0</v>
      </c>
      <c r="CP318">
        <v>0.65</v>
      </c>
      <c r="CQ318" t="s">
        <v>1378</v>
      </c>
      <c r="CR318" t="s">
        <v>1377</v>
      </c>
      <c r="CS318" t="s">
        <v>1451</v>
      </c>
      <c r="CT318" t="s">
        <v>1724</v>
      </c>
      <c r="CU318" t="s">
        <v>1742</v>
      </c>
      <c r="CV318" t="s">
        <v>2110</v>
      </c>
      <c r="DB318" t="s">
        <v>2111</v>
      </c>
      <c r="DE318" t="s">
        <v>1724</v>
      </c>
    </row>
    <row r="319" spans="1:109" x14ac:dyDescent="0.25">
      <c r="A319" t="s">
        <v>1378</v>
      </c>
      <c r="B319">
        <v>1</v>
      </c>
      <c r="C319" s="56">
        <v>42640</v>
      </c>
      <c r="D319" t="s">
        <v>1449</v>
      </c>
      <c r="E319" t="s">
        <v>1801</v>
      </c>
      <c r="G319" t="s">
        <v>1144</v>
      </c>
      <c r="H319" t="s">
        <v>1144</v>
      </c>
      <c r="I319" t="s">
        <v>1144</v>
      </c>
      <c r="J319" t="s">
        <v>1144</v>
      </c>
      <c r="K319" t="s">
        <v>1144</v>
      </c>
      <c r="L319">
        <v>870.71</v>
      </c>
      <c r="M319">
        <v>2032.14</v>
      </c>
      <c r="N319">
        <v>0</v>
      </c>
      <c r="O319" s="56"/>
      <c r="P319" s="56"/>
      <c r="Q319">
        <v>13718</v>
      </c>
      <c r="R319">
        <v>9</v>
      </c>
      <c r="S319">
        <v>4</v>
      </c>
      <c r="T319">
        <v>2</v>
      </c>
      <c r="U319">
        <v>2</v>
      </c>
      <c r="V319">
        <v>1</v>
      </c>
      <c r="X319" t="s">
        <v>2385</v>
      </c>
      <c r="AA319">
        <v>0</v>
      </c>
      <c r="AB319">
        <v>0</v>
      </c>
      <c r="AC319">
        <v>0</v>
      </c>
      <c r="AD319">
        <v>0</v>
      </c>
      <c r="AE319">
        <v>0</v>
      </c>
      <c r="AF319">
        <v>0</v>
      </c>
      <c r="AG319">
        <v>0</v>
      </c>
      <c r="AJ319" s="56"/>
      <c r="AK319" s="56"/>
      <c r="AL319" s="56">
        <v>42322</v>
      </c>
      <c r="AM319">
        <v>1</v>
      </c>
      <c r="AP319" t="s">
        <v>1450</v>
      </c>
      <c r="AS319" t="s">
        <v>1152</v>
      </c>
      <c r="AT319">
        <v>1</v>
      </c>
      <c r="AV319">
        <v>0</v>
      </c>
      <c r="AW319">
        <v>0</v>
      </c>
      <c r="AX319">
        <v>0</v>
      </c>
      <c r="AY319" t="s">
        <v>1375</v>
      </c>
      <c r="AZ319" t="s">
        <v>1375</v>
      </c>
      <c r="BA319">
        <v>2</v>
      </c>
      <c r="BD319">
        <v>1000000000</v>
      </c>
      <c r="BE319">
        <v>0</v>
      </c>
      <c r="BF319">
        <v>0</v>
      </c>
      <c r="BG319">
        <v>0</v>
      </c>
      <c r="BH319">
        <v>0</v>
      </c>
      <c r="BI319">
        <v>0</v>
      </c>
      <c r="BJ319">
        <v>0</v>
      </c>
      <c r="BK319">
        <v>0</v>
      </c>
      <c r="BL319">
        <v>0</v>
      </c>
      <c r="BM319">
        <v>0</v>
      </c>
      <c r="BN319">
        <v>0</v>
      </c>
      <c r="BO319">
        <v>0</v>
      </c>
      <c r="BP319">
        <v>0</v>
      </c>
      <c r="BR319">
        <v>0</v>
      </c>
      <c r="BS319">
        <v>0</v>
      </c>
      <c r="BX319">
        <v>0</v>
      </c>
      <c r="BY319">
        <v>0</v>
      </c>
      <c r="BZ319">
        <v>0</v>
      </c>
      <c r="CA319">
        <v>0</v>
      </c>
      <c r="CC319">
        <v>1</v>
      </c>
      <c r="CD319" s="56">
        <v>42619</v>
      </c>
      <c r="CE319" s="56">
        <v>42619</v>
      </c>
      <c r="CF319" s="56">
        <v>42619</v>
      </c>
      <c r="CG319" s="56">
        <v>42647</v>
      </c>
      <c r="CH319" s="56"/>
      <c r="CI319" s="56"/>
      <c r="CJ319">
        <v>1</v>
      </c>
      <c r="CK319">
        <v>0</v>
      </c>
      <c r="CL319">
        <v>0.65</v>
      </c>
      <c r="CM319">
        <v>0</v>
      </c>
      <c r="CN319">
        <v>0</v>
      </c>
      <c r="CO319">
        <v>0</v>
      </c>
      <c r="CP319">
        <v>0</v>
      </c>
      <c r="CQ319" t="s">
        <v>1378</v>
      </c>
      <c r="CR319" t="s">
        <v>1377</v>
      </c>
      <c r="CS319" t="s">
        <v>1451</v>
      </c>
      <c r="CT319" t="s">
        <v>1724</v>
      </c>
      <c r="CU319" t="s">
        <v>1742</v>
      </c>
      <c r="CV319" t="s">
        <v>1802</v>
      </c>
      <c r="DB319" t="s">
        <v>1794</v>
      </c>
      <c r="DE319" t="s">
        <v>1724</v>
      </c>
    </row>
    <row r="320" spans="1:109" x14ac:dyDescent="0.25">
      <c r="A320" t="s">
        <v>1378</v>
      </c>
      <c r="B320">
        <v>1</v>
      </c>
      <c r="C320" s="56">
        <v>42640</v>
      </c>
      <c r="D320" t="s">
        <v>1449</v>
      </c>
      <c r="E320" t="s">
        <v>2158</v>
      </c>
      <c r="G320" t="s">
        <v>1144</v>
      </c>
      <c r="H320" t="s">
        <v>1144</v>
      </c>
      <c r="I320" t="s">
        <v>1144</v>
      </c>
      <c r="J320" t="s">
        <v>1144</v>
      </c>
      <c r="K320" t="s">
        <v>1144</v>
      </c>
      <c r="L320">
        <v>289.61</v>
      </c>
      <c r="M320">
        <v>2</v>
      </c>
      <c r="N320">
        <v>0</v>
      </c>
      <c r="O320" s="56"/>
      <c r="P320" s="56"/>
      <c r="Q320">
        <v>13718</v>
      </c>
      <c r="R320">
        <v>9</v>
      </c>
      <c r="S320">
        <v>4</v>
      </c>
      <c r="T320">
        <v>2</v>
      </c>
      <c r="U320">
        <v>2</v>
      </c>
      <c r="V320">
        <v>1</v>
      </c>
      <c r="X320" t="s">
        <v>2385</v>
      </c>
      <c r="AA320">
        <v>0</v>
      </c>
      <c r="AB320">
        <v>0</v>
      </c>
      <c r="AC320">
        <v>0</v>
      </c>
      <c r="AD320">
        <v>0</v>
      </c>
      <c r="AE320">
        <v>0</v>
      </c>
      <c r="AF320">
        <v>0</v>
      </c>
      <c r="AG320">
        <v>0</v>
      </c>
      <c r="AJ320" s="56"/>
      <c r="AK320" s="56"/>
      <c r="AL320" s="56"/>
      <c r="AM320">
        <v>1</v>
      </c>
      <c r="AP320" t="s">
        <v>1450</v>
      </c>
      <c r="AS320" t="s">
        <v>1152</v>
      </c>
      <c r="AT320">
        <v>1</v>
      </c>
      <c r="AV320">
        <v>1</v>
      </c>
      <c r="AW320">
        <v>1</v>
      </c>
      <c r="AX320">
        <v>0.5</v>
      </c>
      <c r="AY320" t="s">
        <v>1147</v>
      </c>
      <c r="AZ320" t="s">
        <v>1147</v>
      </c>
      <c r="BA320">
        <v>2</v>
      </c>
      <c r="BD320">
        <v>1000000000</v>
      </c>
      <c r="BE320">
        <v>2</v>
      </c>
      <c r="BF320">
        <v>-1</v>
      </c>
      <c r="BG320">
        <v>0</v>
      </c>
      <c r="BH320">
        <v>0</v>
      </c>
      <c r="BI320">
        <v>0</v>
      </c>
      <c r="BJ320">
        <v>0</v>
      </c>
      <c r="BK320">
        <v>0</v>
      </c>
      <c r="BL320">
        <v>0</v>
      </c>
      <c r="BM320">
        <v>2</v>
      </c>
      <c r="BN320">
        <v>-1</v>
      </c>
      <c r="BO320">
        <v>0</v>
      </c>
      <c r="BP320">
        <v>0</v>
      </c>
      <c r="BR320">
        <v>0</v>
      </c>
      <c r="BS320">
        <v>1</v>
      </c>
      <c r="BX320">
        <v>0</v>
      </c>
      <c r="BY320">
        <v>289.61</v>
      </c>
      <c r="BZ320">
        <v>0</v>
      </c>
      <c r="CA320">
        <v>-11.92</v>
      </c>
      <c r="CC320">
        <v>1</v>
      </c>
      <c r="CD320" s="56">
        <v>42619</v>
      </c>
      <c r="CE320" s="56">
        <v>42619</v>
      </c>
      <c r="CF320" s="56">
        <v>42619</v>
      </c>
      <c r="CG320" s="56">
        <v>42647</v>
      </c>
      <c r="CH320" s="56"/>
      <c r="CI320" s="56"/>
      <c r="CJ320">
        <v>0</v>
      </c>
      <c r="CK320">
        <v>0</v>
      </c>
      <c r="CL320">
        <v>0</v>
      </c>
      <c r="CM320">
        <v>0</v>
      </c>
      <c r="CN320">
        <v>0</v>
      </c>
      <c r="CO320">
        <v>0</v>
      </c>
      <c r="CP320">
        <v>0.65</v>
      </c>
      <c r="CQ320" t="s">
        <v>1378</v>
      </c>
      <c r="CR320" t="s">
        <v>1377</v>
      </c>
      <c r="CS320" t="s">
        <v>1451</v>
      </c>
      <c r="CT320" t="s">
        <v>1724</v>
      </c>
      <c r="CU320" t="s">
        <v>1742</v>
      </c>
      <c r="CV320" t="s">
        <v>2159</v>
      </c>
      <c r="DB320" t="s">
        <v>2145</v>
      </c>
      <c r="DE320" t="s">
        <v>1724</v>
      </c>
    </row>
    <row r="321" spans="1:109" x14ac:dyDescent="0.25">
      <c r="A321" t="s">
        <v>1378</v>
      </c>
      <c r="B321">
        <v>1</v>
      </c>
      <c r="C321" s="56">
        <v>42640</v>
      </c>
      <c r="D321" t="s">
        <v>1449</v>
      </c>
      <c r="E321" t="s">
        <v>1848</v>
      </c>
      <c r="G321" t="s">
        <v>1144</v>
      </c>
      <c r="H321" t="s">
        <v>1144</v>
      </c>
      <c r="I321" t="s">
        <v>1144</v>
      </c>
      <c r="J321" t="s">
        <v>1144</v>
      </c>
      <c r="K321" t="s">
        <v>1144</v>
      </c>
      <c r="L321">
        <v>668.37</v>
      </c>
      <c r="M321">
        <v>1059.4100000000001</v>
      </c>
      <c r="N321">
        <v>0</v>
      </c>
      <c r="O321" s="56"/>
      <c r="P321" s="56"/>
      <c r="Q321">
        <v>13718</v>
      </c>
      <c r="R321">
        <v>9</v>
      </c>
      <c r="S321">
        <v>4</v>
      </c>
      <c r="T321">
        <v>2</v>
      </c>
      <c r="U321">
        <v>2</v>
      </c>
      <c r="V321">
        <v>1</v>
      </c>
      <c r="X321" t="s">
        <v>2386</v>
      </c>
      <c r="AA321">
        <v>0</v>
      </c>
      <c r="AB321">
        <v>0</v>
      </c>
      <c r="AC321">
        <v>0</v>
      </c>
      <c r="AD321">
        <v>0</v>
      </c>
      <c r="AE321">
        <v>0</v>
      </c>
      <c r="AF321">
        <v>0</v>
      </c>
      <c r="AG321">
        <v>0</v>
      </c>
      <c r="AJ321" s="56"/>
      <c r="AK321" s="56"/>
      <c r="AL321" s="56"/>
      <c r="AM321">
        <v>3</v>
      </c>
      <c r="AP321" t="s">
        <v>1450</v>
      </c>
      <c r="AS321" t="s">
        <v>1152</v>
      </c>
      <c r="AT321">
        <v>1</v>
      </c>
      <c r="AV321">
        <v>3</v>
      </c>
      <c r="AW321">
        <v>2</v>
      </c>
      <c r="AX321">
        <v>1</v>
      </c>
      <c r="AY321" t="s">
        <v>1147</v>
      </c>
      <c r="AZ321" t="s">
        <v>1147</v>
      </c>
      <c r="BA321">
        <v>3</v>
      </c>
      <c r="BD321">
        <v>1000000000</v>
      </c>
      <c r="BE321">
        <v>4</v>
      </c>
      <c r="BF321">
        <v>-0.33</v>
      </c>
      <c r="BG321">
        <v>0</v>
      </c>
      <c r="BH321">
        <v>0</v>
      </c>
      <c r="BI321">
        <v>0</v>
      </c>
      <c r="BJ321">
        <v>0</v>
      </c>
      <c r="BK321">
        <v>0</v>
      </c>
      <c r="BL321">
        <v>0</v>
      </c>
      <c r="BM321">
        <v>4</v>
      </c>
      <c r="BN321">
        <v>-0.33</v>
      </c>
      <c r="BO321">
        <v>0</v>
      </c>
      <c r="BP321">
        <v>0</v>
      </c>
      <c r="BR321">
        <v>0</v>
      </c>
      <c r="BS321">
        <v>2</v>
      </c>
      <c r="BX321">
        <v>0</v>
      </c>
      <c r="BY321">
        <v>668.37</v>
      </c>
      <c r="BZ321">
        <v>0</v>
      </c>
      <c r="CA321">
        <v>7.02</v>
      </c>
      <c r="CC321">
        <v>1</v>
      </c>
      <c r="CD321" s="56">
        <v>42593</v>
      </c>
      <c r="CE321" s="56">
        <v>42612</v>
      </c>
      <c r="CF321" s="56">
        <v>42612</v>
      </c>
      <c r="CG321" s="56">
        <v>42640</v>
      </c>
      <c r="CH321" s="56"/>
      <c r="CI321" s="56"/>
      <c r="CJ321">
        <v>0</v>
      </c>
      <c r="CK321">
        <v>0</v>
      </c>
      <c r="CL321">
        <v>0</v>
      </c>
      <c r="CM321">
        <v>0</v>
      </c>
      <c r="CN321">
        <v>0</v>
      </c>
      <c r="CO321">
        <v>0</v>
      </c>
      <c r="CP321">
        <v>0.71</v>
      </c>
      <c r="CQ321" t="s">
        <v>1378</v>
      </c>
      <c r="CR321" t="s">
        <v>1377</v>
      </c>
      <c r="CS321" t="s">
        <v>1451</v>
      </c>
      <c r="CT321" t="s">
        <v>1724</v>
      </c>
      <c r="CU321" t="s">
        <v>1742</v>
      </c>
      <c r="CV321" t="s">
        <v>1849</v>
      </c>
      <c r="DB321" t="s">
        <v>1847</v>
      </c>
      <c r="DE321" t="s">
        <v>1724</v>
      </c>
    </row>
    <row r="322" spans="1:109" x14ac:dyDescent="0.25">
      <c r="A322" t="s">
        <v>1378</v>
      </c>
      <c r="B322">
        <v>1</v>
      </c>
      <c r="C322" s="56">
        <v>42640</v>
      </c>
      <c r="D322" t="s">
        <v>1449</v>
      </c>
      <c r="E322" t="s">
        <v>2200</v>
      </c>
      <c r="G322" t="s">
        <v>1144</v>
      </c>
      <c r="H322" t="s">
        <v>1144</v>
      </c>
      <c r="I322" t="s">
        <v>1144</v>
      </c>
      <c r="J322" t="s">
        <v>1144</v>
      </c>
      <c r="K322" t="s">
        <v>1144</v>
      </c>
      <c r="L322">
        <v>431.82</v>
      </c>
      <c r="M322">
        <v>2</v>
      </c>
      <c r="N322">
        <v>0</v>
      </c>
      <c r="O322" s="56"/>
      <c r="P322" s="56"/>
      <c r="Q322">
        <v>13718</v>
      </c>
      <c r="R322">
        <v>9</v>
      </c>
      <c r="S322">
        <v>4</v>
      </c>
      <c r="T322">
        <v>2</v>
      </c>
      <c r="U322">
        <v>2</v>
      </c>
      <c r="V322">
        <v>1</v>
      </c>
      <c r="X322" t="s">
        <v>2386</v>
      </c>
      <c r="AA322">
        <v>0</v>
      </c>
      <c r="AB322">
        <v>0</v>
      </c>
      <c r="AC322">
        <v>0</v>
      </c>
      <c r="AD322">
        <v>0</v>
      </c>
      <c r="AE322">
        <v>0</v>
      </c>
      <c r="AF322">
        <v>0</v>
      </c>
      <c r="AG322">
        <v>0</v>
      </c>
      <c r="AJ322" s="56"/>
      <c r="AK322" s="56"/>
      <c r="AL322" s="56"/>
      <c r="AM322">
        <v>1</v>
      </c>
      <c r="AP322" t="s">
        <v>1450</v>
      </c>
      <c r="AS322" t="s">
        <v>1152</v>
      </c>
      <c r="AT322">
        <v>1</v>
      </c>
      <c r="AV322">
        <v>1</v>
      </c>
      <c r="AW322">
        <v>1</v>
      </c>
      <c r="AX322">
        <v>0.5</v>
      </c>
      <c r="AY322" t="s">
        <v>1147</v>
      </c>
      <c r="AZ322" t="s">
        <v>1147</v>
      </c>
      <c r="BA322">
        <v>1</v>
      </c>
      <c r="BD322">
        <v>1000000000</v>
      </c>
      <c r="BE322">
        <v>2</v>
      </c>
      <c r="BF322">
        <v>-1</v>
      </c>
      <c r="BG322">
        <v>0</v>
      </c>
      <c r="BH322">
        <v>0</v>
      </c>
      <c r="BI322">
        <v>0</v>
      </c>
      <c r="BJ322">
        <v>0</v>
      </c>
      <c r="BK322">
        <v>0</v>
      </c>
      <c r="BL322">
        <v>0</v>
      </c>
      <c r="BM322">
        <v>2</v>
      </c>
      <c r="BN322">
        <v>-1</v>
      </c>
      <c r="BO322">
        <v>0</v>
      </c>
      <c r="BP322">
        <v>0</v>
      </c>
      <c r="BR322">
        <v>0</v>
      </c>
      <c r="BS322">
        <v>1</v>
      </c>
      <c r="BX322">
        <v>0</v>
      </c>
      <c r="BY322">
        <v>431.82</v>
      </c>
      <c r="BZ322">
        <v>0</v>
      </c>
      <c r="CA322">
        <v>-11.94</v>
      </c>
      <c r="CC322">
        <v>1</v>
      </c>
      <c r="CD322" s="56">
        <v>42593</v>
      </c>
      <c r="CE322" s="56">
        <v>42612</v>
      </c>
      <c r="CF322" s="56">
        <v>42612</v>
      </c>
      <c r="CG322" s="56">
        <v>42640</v>
      </c>
      <c r="CH322" s="56"/>
      <c r="CI322" s="56"/>
      <c r="CJ322">
        <v>0</v>
      </c>
      <c r="CK322">
        <v>0</v>
      </c>
      <c r="CL322">
        <v>0</v>
      </c>
      <c r="CM322">
        <v>0</v>
      </c>
      <c r="CN322">
        <v>0</v>
      </c>
      <c r="CO322">
        <v>0</v>
      </c>
      <c r="CP322">
        <v>0.71</v>
      </c>
      <c r="CQ322" t="s">
        <v>1378</v>
      </c>
      <c r="CR322" t="s">
        <v>1377</v>
      </c>
      <c r="CS322" t="s">
        <v>1451</v>
      </c>
      <c r="CT322" t="s">
        <v>1724</v>
      </c>
      <c r="CU322" t="s">
        <v>1742</v>
      </c>
      <c r="CV322" t="s">
        <v>2201</v>
      </c>
      <c r="DB322" t="s">
        <v>2161</v>
      </c>
      <c r="DE322" t="s">
        <v>1724</v>
      </c>
    </row>
    <row r="323" spans="1:109" x14ac:dyDescent="0.25">
      <c r="A323" t="s">
        <v>1378</v>
      </c>
      <c r="B323">
        <v>1</v>
      </c>
      <c r="C323" s="56">
        <v>42640</v>
      </c>
      <c r="D323" t="s">
        <v>1449</v>
      </c>
      <c r="E323" t="s">
        <v>1897</v>
      </c>
      <c r="G323" t="s">
        <v>1144</v>
      </c>
      <c r="H323" t="s">
        <v>1144</v>
      </c>
      <c r="I323" t="s">
        <v>1144</v>
      </c>
      <c r="J323" t="s">
        <v>1144</v>
      </c>
      <c r="K323" t="s">
        <v>1144</v>
      </c>
      <c r="L323">
        <v>372.37</v>
      </c>
      <c r="M323">
        <v>717.51</v>
      </c>
      <c r="N323">
        <v>0</v>
      </c>
      <c r="O323" s="56"/>
      <c r="P323" s="56"/>
      <c r="Q323">
        <v>13718</v>
      </c>
      <c r="R323">
        <v>9</v>
      </c>
      <c r="S323">
        <v>4</v>
      </c>
      <c r="T323">
        <v>2</v>
      </c>
      <c r="U323">
        <v>2</v>
      </c>
      <c r="V323">
        <v>1</v>
      </c>
      <c r="X323" t="s">
        <v>2385</v>
      </c>
      <c r="AA323">
        <v>0.16</v>
      </c>
      <c r="AB323">
        <v>1</v>
      </c>
      <c r="AC323">
        <v>4.6900000000000004</v>
      </c>
      <c r="AD323">
        <v>6.25</v>
      </c>
      <c r="AE323">
        <v>0</v>
      </c>
      <c r="AF323">
        <v>0</v>
      </c>
      <c r="AG323">
        <v>0</v>
      </c>
      <c r="AJ323" s="56"/>
      <c r="AK323" s="56"/>
      <c r="AL323" s="56"/>
      <c r="AM323">
        <v>4</v>
      </c>
      <c r="AP323" t="s">
        <v>1450</v>
      </c>
      <c r="AS323" t="s">
        <v>1152</v>
      </c>
      <c r="AT323">
        <v>1</v>
      </c>
      <c r="AV323">
        <v>3</v>
      </c>
      <c r="AW323">
        <v>2</v>
      </c>
      <c r="AX323">
        <v>1</v>
      </c>
      <c r="AY323" t="s">
        <v>1147</v>
      </c>
      <c r="AZ323" t="s">
        <v>1147</v>
      </c>
      <c r="BA323">
        <v>4</v>
      </c>
      <c r="BD323">
        <v>1000000000</v>
      </c>
      <c r="BE323">
        <v>4</v>
      </c>
      <c r="BF323">
        <v>-0.33</v>
      </c>
      <c r="BG323">
        <v>0</v>
      </c>
      <c r="BH323">
        <v>0</v>
      </c>
      <c r="BI323">
        <v>0</v>
      </c>
      <c r="BJ323">
        <v>0</v>
      </c>
      <c r="BK323">
        <v>0</v>
      </c>
      <c r="BL323">
        <v>0</v>
      </c>
      <c r="BM323">
        <v>4</v>
      </c>
      <c r="BN323">
        <v>-0.33</v>
      </c>
      <c r="BO323">
        <v>0</v>
      </c>
      <c r="BP323">
        <v>0</v>
      </c>
      <c r="BR323">
        <v>0</v>
      </c>
      <c r="BS323">
        <v>2</v>
      </c>
      <c r="BX323">
        <v>0</v>
      </c>
      <c r="BY323">
        <v>372.37</v>
      </c>
      <c r="BZ323">
        <v>0</v>
      </c>
      <c r="CA323">
        <v>11.12</v>
      </c>
      <c r="CC323">
        <v>1</v>
      </c>
      <c r="CD323" s="56">
        <v>42619</v>
      </c>
      <c r="CE323" s="56">
        <v>42619</v>
      </c>
      <c r="CF323" s="56">
        <v>42619</v>
      </c>
      <c r="CG323" s="56">
        <v>42647</v>
      </c>
      <c r="CH323" s="56"/>
      <c r="CI323" s="56"/>
      <c r="CJ323">
        <v>0</v>
      </c>
      <c r="CK323">
        <v>0</v>
      </c>
      <c r="CL323">
        <v>0</v>
      </c>
      <c r="CM323">
        <v>0</v>
      </c>
      <c r="CN323">
        <v>0</v>
      </c>
      <c r="CO323">
        <v>0</v>
      </c>
      <c r="CP323">
        <v>0.65</v>
      </c>
      <c r="CQ323" t="s">
        <v>1378</v>
      </c>
      <c r="CR323" t="s">
        <v>1377</v>
      </c>
      <c r="CS323" t="s">
        <v>1451</v>
      </c>
      <c r="CT323" t="s">
        <v>1724</v>
      </c>
      <c r="CU323" t="s">
        <v>1742</v>
      </c>
      <c r="CV323" t="s">
        <v>1898</v>
      </c>
      <c r="DB323" t="s">
        <v>1888</v>
      </c>
      <c r="DE323" t="s">
        <v>1724</v>
      </c>
    </row>
    <row r="324" spans="1:109" x14ac:dyDescent="0.25">
      <c r="A324" t="s">
        <v>1378</v>
      </c>
      <c r="B324">
        <v>1</v>
      </c>
      <c r="C324" s="56">
        <v>42640</v>
      </c>
      <c r="D324" t="s">
        <v>1449</v>
      </c>
      <c r="E324" t="s">
        <v>2246</v>
      </c>
      <c r="G324" t="s">
        <v>1144</v>
      </c>
      <c r="H324" t="s">
        <v>1144</v>
      </c>
      <c r="I324" t="s">
        <v>1144</v>
      </c>
      <c r="J324" t="s">
        <v>1144</v>
      </c>
      <c r="K324" t="s">
        <v>1144</v>
      </c>
      <c r="L324">
        <v>427.27</v>
      </c>
      <c r="M324">
        <v>2</v>
      </c>
      <c r="N324">
        <v>0</v>
      </c>
      <c r="O324" s="56"/>
      <c r="P324" s="56"/>
      <c r="Q324">
        <v>13718</v>
      </c>
      <c r="R324">
        <v>9</v>
      </c>
      <c r="S324">
        <v>4</v>
      </c>
      <c r="T324">
        <v>2</v>
      </c>
      <c r="U324">
        <v>2</v>
      </c>
      <c r="V324">
        <v>1</v>
      </c>
      <c r="W324" t="s">
        <v>2379</v>
      </c>
      <c r="X324" t="s">
        <v>2386</v>
      </c>
      <c r="AA324">
        <v>0</v>
      </c>
      <c r="AB324">
        <v>0</v>
      </c>
      <c r="AC324">
        <v>0</v>
      </c>
      <c r="AD324">
        <v>0</v>
      </c>
      <c r="AE324">
        <v>0</v>
      </c>
      <c r="AF324">
        <v>0</v>
      </c>
      <c r="AG324">
        <v>0</v>
      </c>
      <c r="AJ324" s="56"/>
      <c r="AK324" s="56">
        <v>42369</v>
      </c>
      <c r="AL324" s="56"/>
      <c r="AM324">
        <v>1</v>
      </c>
      <c r="AP324" t="s">
        <v>1450</v>
      </c>
      <c r="AS324" t="s">
        <v>1152</v>
      </c>
      <c r="AT324">
        <v>1</v>
      </c>
      <c r="AV324">
        <v>1</v>
      </c>
      <c r="AW324">
        <v>1</v>
      </c>
      <c r="AX324">
        <v>0.5</v>
      </c>
      <c r="AY324" t="s">
        <v>1145</v>
      </c>
      <c r="AZ324" t="s">
        <v>1145</v>
      </c>
      <c r="BA324">
        <v>1</v>
      </c>
      <c r="BD324">
        <v>1000000000</v>
      </c>
      <c r="BE324">
        <v>1</v>
      </c>
      <c r="BF324">
        <v>0</v>
      </c>
      <c r="BG324">
        <v>0</v>
      </c>
      <c r="BH324">
        <v>0</v>
      </c>
      <c r="BI324">
        <v>0</v>
      </c>
      <c r="BJ324">
        <v>0</v>
      </c>
      <c r="BK324">
        <v>0</v>
      </c>
      <c r="BL324">
        <v>0</v>
      </c>
      <c r="BM324">
        <v>1</v>
      </c>
      <c r="BN324">
        <v>0</v>
      </c>
      <c r="BO324">
        <v>0</v>
      </c>
      <c r="BP324">
        <v>0</v>
      </c>
      <c r="BR324">
        <v>0</v>
      </c>
      <c r="BS324">
        <v>1</v>
      </c>
      <c r="BX324">
        <v>0</v>
      </c>
      <c r="BY324">
        <v>0</v>
      </c>
      <c r="BZ324">
        <v>0</v>
      </c>
      <c r="CA324">
        <v>-11.94</v>
      </c>
      <c r="CC324">
        <v>1</v>
      </c>
      <c r="CD324" s="56">
        <v>42593</v>
      </c>
      <c r="CE324" s="56">
        <v>42612</v>
      </c>
      <c r="CF324" s="56">
        <v>42612</v>
      </c>
      <c r="CG324" s="56">
        <v>42640</v>
      </c>
      <c r="CH324" s="56"/>
      <c r="CI324" s="56"/>
      <c r="CJ324">
        <v>0</v>
      </c>
      <c r="CK324">
        <v>0</v>
      </c>
      <c r="CL324">
        <v>0</v>
      </c>
      <c r="CM324">
        <v>0</v>
      </c>
      <c r="CN324">
        <v>0.71</v>
      </c>
      <c r="CO324">
        <v>0</v>
      </c>
      <c r="CP324">
        <v>0</v>
      </c>
      <c r="CQ324" t="s">
        <v>1378</v>
      </c>
      <c r="CR324" t="s">
        <v>1377</v>
      </c>
      <c r="CS324" t="s">
        <v>1451</v>
      </c>
      <c r="CT324" t="s">
        <v>1724</v>
      </c>
      <c r="CU324" t="s">
        <v>1742</v>
      </c>
      <c r="CV324" t="s">
        <v>2236</v>
      </c>
      <c r="DB324" t="s">
        <v>2134</v>
      </c>
      <c r="DE324" t="s">
        <v>1724</v>
      </c>
    </row>
    <row r="325" spans="1:109" x14ac:dyDescent="0.25">
      <c r="A325" t="s">
        <v>1378</v>
      </c>
      <c r="B325">
        <v>1</v>
      </c>
      <c r="C325" s="56">
        <v>42640</v>
      </c>
      <c r="D325" t="s">
        <v>1449</v>
      </c>
      <c r="E325" t="s">
        <v>1408</v>
      </c>
      <c r="G325" t="s">
        <v>1144</v>
      </c>
      <c r="H325" t="s">
        <v>1144</v>
      </c>
      <c r="I325" t="s">
        <v>1144</v>
      </c>
      <c r="J325" t="s">
        <v>1144</v>
      </c>
      <c r="K325" t="s">
        <v>1144</v>
      </c>
      <c r="L325">
        <v>343.05</v>
      </c>
      <c r="M325">
        <v>1020.89</v>
      </c>
      <c r="N325">
        <v>0</v>
      </c>
      <c r="O325" s="56"/>
      <c r="P325" s="56"/>
      <c r="Q325">
        <v>13718</v>
      </c>
      <c r="R325">
        <v>9</v>
      </c>
      <c r="S325">
        <v>4</v>
      </c>
      <c r="T325">
        <v>2</v>
      </c>
      <c r="U325">
        <v>2</v>
      </c>
      <c r="V325">
        <v>1</v>
      </c>
      <c r="X325" t="s">
        <v>2385</v>
      </c>
      <c r="AA325">
        <v>0.04</v>
      </c>
      <c r="AB325">
        <v>1</v>
      </c>
      <c r="AC325">
        <v>12.5</v>
      </c>
      <c r="AD325">
        <v>18.75</v>
      </c>
      <c r="AE325">
        <v>0</v>
      </c>
      <c r="AF325">
        <v>0</v>
      </c>
      <c r="AG325">
        <v>0</v>
      </c>
      <c r="AJ325" s="56">
        <v>42666</v>
      </c>
      <c r="AK325" s="56"/>
      <c r="AL325" s="56"/>
      <c r="AM325">
        <v>5</v>
      </c>
      <c r="AP325" t="s">
        <v>1450</v>
      </c>
      <c r="AS325" t="s">
        <v>1152</v>
      </c>
      <c r="AT325">
        <v>1</v>
      </c>
      <c r="AV325">
        <v>2</v>
      </c>
      <c r="AW325">
        <v>2</v>
      </c>
      <c r="AX325">
        <v>1</v>
      </c>
      <c r="AY325" t="s">
        <v>1147</v>
      </c>
      <c r="AZ325" t="s">
        <v>1147</v>
      </c>
      <c r="BA325">
        <v>5</v>
      </c>
      <c r="BD325">
        <v>1000000000</v>
      </c>
      <c r="BE325">
        <v>3</v>
      </c>
      <c r="BF325">
        <v>-0.5</v>
      </c>
      <c r="BG325">
        <v>0</v>
      </c>
      <c r="BH325">
        <v>0</v>
      </c>
      <c r="BI325">
        <v>0</v>
      </c>
      <c r="BJ325">
        <v>0</v>
      </c>
      <c r="BK325">
        <v>0</v>
      </c>
      <c r="BL325">
        <v>0</v>
      </c>
      <c r="BM325">
        <v>3</v>
      </c>
      <c r="BN325">
        <v>-0.5</v>
      </c>
      <c r="BO325">
        <v>0</v>
      </c>
      <c r="BP325">
        <v>0</v>
      </c>
      <c r="BR325">
        <v>0</v>
      </c>
      <c r="BS325">
        <v>1</v>
      </c>
      <c r="BX325">
        <v>0</v>
      </c>
      <c r="BY325">
        <v>343.05</v>
      </c>
      <c r="BZ325">
        <v>0</v>
      </c>
      <c r="CA325">
        <v>23.71</v>
      </c>
      <c r="CC325">
        <v>1</v>
      </c>
      <c r="CD325" s="56">
        <v>42619</v>
      </c>
      <c r="CE325" s="56">
        <v>42619</v>
      </c>
      <c r="CF325" s="56">
        <v>42619</v>
      </c>
      <c r="CG325" s="56">
        <v>42647</v>
      </c>
      <c r="CH325" s="56"/>
      <c r="CI325" s="56"/>
      <c r="CJ325">
        <v>0</v>
      </c>
      <c r="CK325">
        <v>0</v>
      </c>
      <c r="CL325">
        <v>0</v>
      </c>
      <c r="CM325">
        <v>0</v>
      </c>
      <c r="CN325">
        <v>0</v>
      </c>
      <c r="CO325">
        <v>0</v>
      </c>
      <c r="CP325">
        <v>0.65</v>
      </c>
      <c r="CQ325" t="s">
        <v>1378</v>
      </c>
      <c r="CR325" t="s">
        <v>1377</v>
      </c>
      <c r="CS325" t="s">
        <v>1451</v>
      </c>
      <c r="CT325" t="s">
        <v>1724</v>
      </c>
      <c r="CU325" t="s">
        <v>1742</v>
      </c>
      <c r="CV325" t="s">
        <v>1963</v>
      </c>
      <c r="DB325" t="s">
        <v>1962</v>
      </c>
      <c r="DE325" t="s">
        <v>1724</v>
      </c>
    </row>
    <row r="326" spans="1:109" x14ac:dyDescent="0.25">
      <c r="A326" t="s">
        <v>1378</v>
      </c>
      <c r="B326">
        <v>1</v>
      </c>
      <c r="C326" s="56">
        <v>42640</v>
      </c>
      <c r="D326" t="s">
        <v>1449</v>
      </c>
      <c r="E326" t="s">
        <v>1492</v>
      </c>
      <c r="G326" t="s">
        <v>1144</v>
      </c>
      <c r="H326" t="s">
        <v>1144</v>
      </c>
      <c r="I326" t="s">
        <v>1144</v>
      </c>
      <c r="J326" t="s">
        <v>1144</v>
      </c>
      <c r="K326" t="s">
        <v>1144</v>
      </c>
      <c r="L326">
        <v>586.12</v>
      </c>
      <c r="M326">
        <v>2</v>
      </c>
      <c r="N326">
        <v>0</v>
      </c>
      <c r="O326" s="56"/>
      <c r="P326" s="56"/>
      <c r="Q326">
        <v>13718</v>
      </c>
      <c r="R326">
        <v>9</v>
      </c>
      <c r="S326">
        <v>4</v>
      </c>
      <c r="T326">
        <v>2</v>
      </c>
      <c r="U326">
        <v>2</v>
      </c>
      <c r="V326">
        <v>1</v>
      </c>
      <c r="W326" t="s">
        <v>1376</v>
      </c>
      <c r="X326" t="s">
        <v>2385</v>
      </c>
      <c r="AA326">
        <v>0.08</v>
      </c>
      <c r="AB326">
        <v>1</v>
      </c>
      <c r="AC326">
        <v>6.25</v>
      </c>
      <c r="AD326">
        <v>6.25</v>
      </c>
      <c r="AE326">
        <v>0</v>
      </c>
      <c r="AF326">
        <v>0</v>
      </c>
      <c r="AG326">
        <v>0</v>
      </c>
      <c r="AJ326" s="56"/>
      <c r="AK326" s="56"/>
      <c r="AL326" s="56"/>
      <c r="AM326">
        <v>1</v>
      </c>
      <c r="AP326" t="s">
        <v>1450</v>
      </c>
      <c r="AS326" t="s">
        <v>1152</v>
      </c>
      <c r="AT326">
        <v>1</v>
      </c>
      <c r="AV326">
        <v>2</v>
      </c>
      <c r="AW326">
        <v>2</v>
      </c>
      <c r="AX326">
        <v>1</v>
      </c>
      <c r="AY326" t="s">
        <v>1145</v>
      </c>
      <c r="AZ326" t="s">
        <v>1145</v>
      </c>
      <c r="BA326">
        <v>3</v>
      </c>
      <c r="BD326">
        <v>1000000000</v>
      </c>
      <c r="BE326">
        <v>2</v>
      </c>
      <c r="BF326">
        <v>0</v>
      </c>
      <c r="BG326">
        <v>0</v>
      </c>
      <c r="BH326">
        <v>0</v>
      </c>
      <c r="BI326">
        <v>0</v>
      </c>
      <c r="BJ326">
        <v>0</v>
      </c>
      <c r="BK326">
        <v>0</v>
      </c>
      <c r="BL326">
        <v>0</v>
      </c>
      <c r="BM326">
        <v>2</v>
      </c>
      <c r="BN326">
        <v>0</v>
      </c>
      <c r="BO326">
        <v>0</v>
      </c>
      <c r="BP326">
        <v>0</v>
      </c>
      <c r="BR326">
        <v>0</v>
      </c>
      <c r="BS326">
        <v>1</v>
      </c>
      <c r="BX326">
        <v>0</v>
      </c>
      <c r="BY326">
        <v>0</v>
      </c>
      <c r="BZ326">
        <v>0</v>
      </c>
      <c r="CA326">
        <v>-11.96</v>
      </c>
      <c r="CC326">
        <v>1</v>
      </c>
      <c r="CD326" s="56">
        <v>42619</v>
      </c>
      <c r="CE326" s="56">
        <v>42619</v>
      </c>
      <c r="CF326" s="56">
        <v>42619</v>
      </c>
      <c r="CG326" s="56">
        <v>42647</v>
      </c>
      <c r="CH326" s="56"/>
      <c r="CI326" s="56"/>
      <c r="CJ326">
        <v>0</v>
      </c>
      <c r="CK326">
        <v>0</v>
      </c>
      <c r="CL326">
        <v>0</v>
      </c>
      <c r="CM326">
        <v>0</v>
      </c>
      <c r="CN326">
        <v>0.65</v>
      </c>
      <c r="CO326">
        <v>0</v>
      </c>
      <c r="CP326">
        <v>0</v>
      </c>
      <c r="CQ326" t="s">
        <v>1378</v>
      </c>
      <c r="CR326" t="s">
        <v>1377</v>
      </c>
      <c r="CS326" t="s">
        <v>1451</v>
      </c>
      <c r="CT326" t="s">
        <v>1724</v>
      </c>
      <c r="CU326" t="s">
        <v>1742</v>
      </c>
      <c r="CV326" t="s">
        <v>2301</v>
      </c>
      <c r="DB326" t="s">
        <v>2286</v>
      </c>
      <c r="DE326" t="s">
        <v>1724</v>
      </c>
    </row>
    <row r="327" spans="1:109" x14ac:dyDescent="0.25">
      <c r="A327" t="s">
        <v>1378</v>
      </c>
      <c r="B327">
        <v>1</v>
      </c>
      <c r="C327" s="56">
        <v>42640</v>
      </c>
      <c r="D327" t="s">
        <v>1449</v>
      </c>
      <c r="E327" t="s">
        <v>2005</v>
      </c>
      <c r="G327" t="s">
        <v>1144</v>
      </c>
      <c r="H327" t="s">
        <v>1144</v>
      </c>
      <c r="I327" t="s">
        <v>1144</v>
      </c>
      <c r="J327" t="s">
        <v>1144</v>
      </c>
      <c r="K327" t="s">
        <v>1144</v>
      </c>
      <c r="L327">
        <v>0</v>
      </c>
      <c r="M327">
        <v>732.52</v>
      </c>
      <c r="N327">
        <v>0</v>
      </c>
      <c r="O327" s="56"/>
      <c r="P327" s="56"/>
      <c r="Q327">
        <v>13718</v>
      </c>
      <c r="R327">
        <v>9</v>
      </c>
      <c r="S327">
        <v>4</v>
      </c>
      <c r="T327">
        <v>2</v>
      </c>
      <c r="U327">
        <v>2</v>
      </c>
      <c r="V327">
        <v>1</v>
      </c>
      <c r="X327" t="s">
        <v>2386</v>
      </c>
      <c r="AA327">
        <v>0</v>
      </c>
      <c r="AB327">
        <v>0</v>
      </c>
      <c r="AC327">
        <v>0</v>
      </c>
      <c r="AD327">
        <v>0</v>
      </c>
      <c r="AE327">
        <v>0</v>
      </c>
      <c r="AF327">
        <v>0</v>
      </c>
      <c r="AG327">
        <v>0</v>
      </c>
      <c r="AJ327" s="56"/>
      <c r="AK327" s="56"/>
      <c r="AL327" s="56"/>
      <c r="AP327" t="s">
        <v>1450</v>
      </c>
      <c r="AS327" t="s">
        <v>1152</v>
      </c>
      <c r="AT327">
        <v>1</v>
      </c>
      <c r="AV327">
        <v>0</v>
      </c>
      <c r="AW327">
        <v>0</v>
      </c>
      <c r="AX327">
        <v>0</v>
      </c>
      <c r="AY327" t="s">
        <v>1375</v>
      </c>
      <c r="AZ327" t="s">
        <v>1375</v>
      </c>
      <c r="BA327">
        <v>0</v>
      </c>
      <c r="BD327">
        <v>1000000000</v>
      </c>
      <c r="BE327">
        <v>0</v>
      </c>
      <c r="BF327">
        <v>0</v>
      </c>
      <c r="BG327">
        <v>0</v>
      </c>
      <c r="BH327">
        <v>0</v>
      </c>
      <c r="BI327">
        <v>0</v>
      </c>
      <c r="BJ327">
        <v>0</v>
      </c>
      <c r="BK327">
        <v>0</v>
      </c>
      <c r="BL327">
        <v>0</v>
      </c>
      <c r="BM327">
        <v>0</v>
      </c>
      <c r="BN327">
        <v>0</v>
      </c>
      <c r="BO327">
        <v>0</v>
      </c>
      <c r="BP327">
        <v>0</v>
      </c>
      <c r="BR327">
        <v>0</v>
      </c>
      <c r="BS327">
        <v>0</v>
      </c>
      <c r="BX327">
        <v>0</v>
      </c>
      <c r="BY327">
        <v>0</v>
      </c>
      <c r="BZ327">
        <v>0</v>
      </c>
      <c r="CA327">
        <v>0</v>
      </c>
      <c r="CC327">
        <v>1</v>
      </c>
      <c r="CD327" s="56">
        <v>42593</v>
      </c>
      <c r="CE327" s="56">
        <v>42612</v>
      </c>
      <c r="CF327" s="56">
        <v>42612</v>
      </c>
      <c r="CG327" s="56">
        <v>42640</v>
      </c>
      <c r="CH327" s="56"/>
      <c r="CI327" s="56"/>
      <c r="CJ327">
        <v>1</v>
      </c>
      <c r="CK327">
        <v>0</v>
      </c>
      <c r="CL327">
        <v>0.71</v>
      </c>
      <c r="CM327">
        <v>0</v>
      </c>
      <c r="CN327">
        <v>0</v>
      </c>
      <c r="CO327">
        <v>0</v>
      </c>
      <c r="CP327">
        <v>0</v>
      </c>
      <c r="CQ327" t="s">
        <v>1378</v>
      </c>
      <c r="CR327" t="s">
        <v>1377</v>
      </c>
      <c r="CS327" t="s">
        <v>1451</v>
      </c>
      <c r="CT327" t="s">
        <v>1724</v>
      </c>
      <c r="CU327" t="s">
        <v>1742</v>
      </c>
      <c r="CV327" t="s">
        <v>2006</v>
      </c>
      <c r="DB327" t="s">
        <v>1997</v>
      </c>
      <c r="DE327" t="s">
        <v>1724</v>
      </c>
    </row>
    <row r="328" spans="1:109" x14ac:dyDescent="0.25">
      <c r="A328" t="s">
        <v>1378</v>
      </c>
      <c r="B328">
        <v>1</v>
      </c>
      <c r="C328" s="56">
        <v>42640</v>
      </c>
      <c r="D328" t="s">
        <v>1449</v>
      </c>
      <c r="E328" t="s">
        <v>1447</v>
      </c>
      <c r="G328" t="s">
        <v>1144</v>
      </c>
      <c r="H328" t="s">
        <v>1144</v>
      </c>
      <c r="I328" t="s">
        <v>1144</v>
      </c>
      <c r="J328" t="s">
        <v>1144</v>
      </c>
      <c r="K328" t="s">
        <v>1144</v>
      </c>
      <c r="L328">
        <v>226.27</v>
      </c>
      <c r="M328">
        <v>878.08</v>
      </c>
      <c r="N328">
        <v>0</v>
      </c>
      <c r="O328" s="56"/>
      <c r="P328" s="56"/>
      <c r="Q328">
        <v>13718</v>
      </c>
      <c r="R328">
        <v>9</v>
      </c>
      <c r="S328">
        <v>4</v>
      </c>
      <c r="T328">
        <v>2</v>
      </c>
      <c r="U328">
        <v>2</v>
      </c>
      <c r="V328">
        <v>1</v>
      </c>
      <c r="X328" t="s">
        <v>2385</v>
      </c>
      <c r="AA328">
        <v>0</v>
      </c>
      <c r="AB328">
        <v>0</v>
      </c>
      <c r="AC328">
        <v>0</v>
      </c>
      <c r="AD328">
        <v>0</v>
      </c>
      <c r="AE328">
        <v>0</v>
      </c>
      <c r="AF328">
        <v>0</v>
      </c>
      <c r="AG328">
        <v>0</v>
      </c>
      <c r="AJ328" s="56">
        <v>42666</v>
      </c>
      <c r="AK328" s="56"/>
      <c r="AL328" s="56"/>
      <c r="AM328">
        <v>5</v>
      </c>
      <c r="AP328" t="s">
        <v>1450</v>
      </c>
      <c r="AS328" t="s">
        <v>1152</v>
      </c>
      <c r="AT328">
        <v>1</v>
      </c>
      <c r="AV328">
        <v>2</v>
      </c>
      <c r="AW328">
        <v>2</v>
      </c>
      <c r="AX328">
        <v>1</v>
      </c>
      <c r="AY328" t="s">
        <v>1147</v>
      </c>
      <c r="AZ328" t="s">
        <v>1147</v>
      </c>
      <c r="BA328">
        <v>5</v>
      </c>
      <c r="BD328">
        <v>1000000000</v>
      </c>
      <c r="BE328">
        <v>7</v>
      </c>
      <c r="BF328">
        <v>-2.5</v>
      </c>
      <c r="BG328">
        <v>0</v>
      </c>
      <c r="BH328">
        <v>0</v>
      </c>
      <c r="BI328">
        <v>0</v>
      </c>
      <c r="BJ328">
        <v>0</v>
      </c>
      <c r="BK328">
        <v>0</v>
      </c>
      <c r="BL328">
        <v>0</v>
      </c>
      <c r="BM328">
        <v>7</v>
      </c>
      <c r="BN328">
        <v>-2.5</v>
      </c>
      <c r="BO328">
        <v>0</v>
      </c>
      <c r="BP328">
        <v>0</v>
      </c>
      <c r="BR328">
        <v>0</v>
      </c>
      <c r="BS328">
        <v>1</v>
      </c>
      <c r="BX328">
        <v>0</v>
      </c>
      <c r="BY328">
        <v>1131.3499999999999</v>
      </c>
      <c r="BZ328">
        <v>0</v>
      </c>
      <c r="CA328">
        <v>34.57</v>
      </c>
      <c r="CC328">
        <v>1</v>
      </c>
      <c r="CD328" s="56">
        <v>42619</v>
      </c>
      <c r="CE328" s="56">
        <v>42619</v>
      </c>
      <c r="CF328" s="56">
        <v>42619</v>
      </c>
      <c r="CG328" s="56">
        <v>42647</v>
      </c>
      <c r="CH328" s="56"/>
      <c r="CI328" s="56"/>
      <c r="CJ328">
        <v>0.08</v>
      </c>
      <c r="CK328">
        <v>0</v>
      </c>
      <c r="CL328">
        <v>0</v>
      </c>
      <c r="CM328">
        <v>0</v>
      </c>
      <c r="CN328">
        <v>0</v>
      </c>
      <c r="CO328">
        <v>0</v>
      </c>
      <c r="CP328">
        <v>0.65</v>
      </c>
      <c r="CQ328" t="s">
        <v>1378</v>
      </c>
      <c r="CR328" t="s">
        <v>1377</v>
      </c>
      <c r="CS328" t="s">
        <v>1451</v>
      </c>
      <c r="CT328" t="s">
        <v>1724</v>
      </c>
      <c r="CU328" t="s">
        <v>1742</v>
      </c>
      <c r="CV328" t="s">
        <v>2358</v>
      </c>
      <c r="DB328" t="s">
        <v>2351</v>
      </c>
      <c r="DE328" t="s">
        <v>1724</v>
      </c>
    </row>
    <row r="329" spans="1:109" x14ac:dyDescent="0.25">
      <c r="A329" t="s">
        <v>1378</v>
      </c>
      <c r="B329">
        <v>1</v>
      </c>
      <c r="C329" s="56">
        <v>42640</v>
      </c>
      <c r="D329" t="s">
        <v>1449</v>
      </c>
      <c r="E329" t="s">
        <v>1483</v>
      </c>
      <c r="G329" t="s">
        <v>1144</v>
      </c>
      <c r="H329" t="s">
        <v>1144</v>
      </c>
      <c r="I329" t="s">
        <v>1144</v>
      </c>
      <c r="J329" t="s">
        <v>1144</v>
      </c>
      <c r="K329" t="s">
        <v>1144</v>
      </c>
      <c r="L329">
        <v>2082.39</v>
      </c>
      <c r="M329">
        <v>2</v>
      </c>
      <c r="N329">
        <v>0</v>
      </c>
      <c r="O329" s="56"/>
      <c r="P329" s="56"/>
      <c r="Q329">
        <v>13718</v>
      </c>
      <c r="R329">
        <v>9</v>
      </c>
      <c r="S329">
        <v>4</v>
      </c>
      <c r="T329">
        <v>2</v>
      </c>
      <c r="U329">
        <v>2</v>
      </c>
      <c r="V329">
        <v>1</v>
      </c>
      <c r="X329" t="s">
        <v>2386</v>
      </c>
      <c r="AA329">
        <v>0.04</v>
      </c>
      <c r="AB329">
        <v>1</v>
      </c>
      <c r="AC329">
        <v>0</v>
      </c>
      <c r="AD329">
        <v>0</v>
      </c>
      <c r="AE329">
        <v>0</v>
      </c>
      <c r="AF329">
        <v>0</v>
      </c>
      <c r="AG329">
        <v>0</v>
      </c>
      <c r="AJ329" s="56"/>
      <c r="AK329" s="56"/>
      <c r="AL329" s="56"/>
      <c r="AP329" t="s">
        <v>1450</v>
      </c>
      <c r="AS329" t="s">
        <v>1152</v>
      </c>
      <c r="AT329">
        <v>1</v>
      </c>
      <c r="AV329">
        <v>0</v>
      </c>
      <c r="AW329">
        <v>0</v>
      </c>
      <c r="AX329">
        <v>0</v>
      </c>
      <c r="AY329" t="s">
        <v>1375</v>
      </c>
      <c r="AZ329" t="s">
        <v>1375</v>
      </c>
      <c r="BA329">
        <v>0</v>
      </c>
      <c r="BD329">
        <v>1000000000</v>
      </c>
      <c r="BE329">
        <v>0</v>
      </c>
      <c r="BF329">
        <v>0</v>
      </c>
      <c r="BG329">
        <v>0</v>
      </c>
      <c r="BH329">
        <v>0</v>
      </c>
      <c r="BI329">
        <v>0</v>
      </c>
      <c r="BJ329">
        <v>0</v>
      </c>
      <c r="BK329">
        <v>0</v>
      </c>
      <c r="BL329">
        <v>0</v>
      </c>
      <c r="BM329">
        <v>0</v>
      </c>
      <c r="BN329">
        <v>0</v>
      </c>
      <c r="BO329">
        <v>0</v>
      </c>
      <c r="BP329">
        <v>0</v>
      </c>
      <c r="BR329">
        <v>0</v>
      </c>
      <c r="BS329">
        <v>0</v>
      </c>
      <c r="BX329">
        <v>0</v>
      </c>
      <c r="BY329">
        <v>0</v>
      </c>
      <c r="BZ329">
        <v>0</v>
      </c>
      <c r="CA329">
        <v>0</v>
      </c>
      <c r="CC329">
        <v>1</v>
      </c>
      <c r="CD329" s="56">
        <v>42593</v>
      </c>
      <c r="CE329" s="56">
        <v>42612</v>
      </c>
      <c r="CF329" s="56">
        <v>42612</v>
      </c>
      <c r="CG329" s="56">
        <v>42640</v>
      </c>
      <c r="CH329" s="56"/>
      <c r="CI329" s="56"/>
      <c r="CJ329">
        <v>1</v>
      </c>
      <c r="CK329">
        <v>0</v>
      </c>
      <c r="CL329">
        <v>0.71</v>
      </c>
      <c r="CM329">
        <v>0</v>
      </c>
      <c r="CN329">
        <v>0</v>
      </c>
      <c r="CO329">
        <v>0</v>
      </c>
      <c r="CP329">
        <v>0</v>
      </c>
      <c r="CQ329" t="s">
        <v>1378</v>
      </c>
      <c r="CR329" t="s">
        <v>1377</v>
      </c>
      <c r="CS329" t="s">
        <v>1451</v>
      </c>
      <c r="CT329" t="s">
        <v>1724</v>
      </c>
      <c r="CU329" t="s">
        <v>1742</v>
      </c>
      <c r="CV329" t="s">
        <v>2147</v>
      </c>
      <c r="DB329" t="s">
        <v>2145</v>
      </c>
      <c r="DE329" t="s">
        <v>1724</v>
      </c>
    </row>
    <row r="330" spans="1:109" x14ac:dyDescent="0.25">
      <c r="A330" t="s">
        <v>1378</v>
      </c>
      <c r="B330">
        <v>1</v>
      </c>
      <c r="C330" s="56">
        <v>42640</v>
      </c>
      <c r="D330" t="s">
        <v>1449</v>
      </c>
      <c r="E330" t="s">
        <v>1831</v>
      </c>
      <c r="G330" t="s">
        <v>1144</v>
      </c>
      <c r="H330" t="s">
        <v>1144</v>
      </c>
      <c r="I330" t="s">
        <v>1144</v>
      </c>
      <c r="J330" t="s">
        <v>1144</v>
      </c>
      <c r="K330" t="s">
        <v>1144</v>
      </c>
      <c r="L330">
        <v>28.43</v>
      </c>
      <c r="M330">
        <v>91.5</v>
      </c>
      <c r="N330">
        <v>0</v>
      </c>
      <c r="O330" s="56"/>
      <c r="P330" s="56"/>
      <c r="Q330">
        <v>13718</v>
      </c>
      <c r="R330">
        <v>9</v>
      </c>
      <c r="S330">
        <v>4</v>
      </c>
      <c r="T330">
        <v>2</v>
      </c>
      <c r="U330">
        <v>2</v>
      </c>
      <c r="V330">
        <v>1</v>
      </c>
      <c r="X330" t="s">
        <v>2385</v>
      </c>
      <c r="AA330">
        <v>0</v>
      </c>
      <c r="AB330">
        <v>0</v>
      </c>
      <c r="AC330">
        <v>0</v>
      </c>
      <c r="AD330">
        <v>0</v>
      </c>
      <c r="AE330">
        <v>0</v>
      </c>
      <c r="AF330">
        <v>0</v>
      </c>
      <c r="AG330">
        <v>0</v>
      </c>
      <c r="AJ330" s="56"/>
      <c r="AK330" s="56">
        <v>42369</v>
      </c>
      <c r="AL330" s="56"/>
      <c r="AM330">
        <v>3</v>
      </c>
      <c r="AP330" t="s">
        <v>1450</v>
      </c>
      <c r="AS330" t="s">
        <v>1152</v>
      </c>
      <c r="AT330">
        <v>1</v>
      </c>
      <c r="AV330">
        <v>2</v>
      </c>
      <c r="AW330">
        <v>2</v>
      </c>
      <c r="AX330">
        <v>1</v>
      </c>
      <c r="AY330" t="s">
        <v>1147</v>
      </c>
      <c r="AZ330" t="s">
        <v>1147</v>
      </c>
      <c r="BA330">
        <v>3</v>
      </c>
      <c r="BD330">
        <v>1000000000</v>
      </c>
      <c r="BE330">
        <v>3</v>
      </c>
      <c r="BF330">
        <v>-0.5</v>
      </c>
      <c r="BG330">
        <v>0</v>
      </c>
      <c r="BH330">
        <v>0</v>
      </c>
      <c r="BI330">
        <v>0</v>
      </c>
      <c r="BJ330">
        <v>0</v>
      </c>
      <c r="BK330">
        <v>0</v>
      </c>
      <c r="BL330">
        <v>0</v>
      </c>
      <c r="BM330">
        <v>3</v>
      </c>
      <c r="BN330">
        <v>-0.5</v>
      </c>
      <c r="BO330">
        <v>0</v>
      </c>
      <c r="BP330">
        <v>0</v>
      </c>
      <c r="BR330">
        <v>0</v>
      </c>
      <c r="BS330">
        <v>1</v>
      </c>
      <c r="BX330">
        <v>0</v>
      </c>
      <c r="BY330">
        <v>28.43</v>
      </c>
      <c r="BZ330">
        <v>0</v>
      </c>
      <c r="CA330">
        <v>26.62</v>
      </c>
      <c r="CC330">
        <v>1</v>
      </c>
      <c r="CD330" s="56">
        <v>42619</v>
      </c>
      <c r="CE330" s="56">
        <v>42619</v>
      </c>
      <c r="CF330" s="56">
        <v>42619</v>
      </c>
      <c r="CG330" s="56">
        <v>42647</v>
      </c>
      <c r="CH330" s="56"/>
      <c r="CI330" s="56"/>
      <c r="CJ330">
        <v>0</v>
      </c>
      <c r="CK330">
        <v>0</v>
      </c>
      <c r="CL330">
        <v>0</v>
      </c>
      <c r="CM330">
        <v>0</v>
      </c>
      <c r="CN330">
        <v>0</v>
      </c>
      <c r="CO330">
        <v>0</v>
      </c>
      <c r="CP330">
        <v>0.65</v>
      </c>
      <c r="CQ330" t="s">
        <v>1378</v>
      </c>
      <c r="CR330" t="s">
        <v>1377</v>
      </c>
      <c r="CS330" t="s">
        <v>1451</v>
      </c>
      <c r="CT330" t="s">
        <v>1724</v>
      </c>
      <c r="CU330" t="s">
        <v>1742</v>
      </c>
      <c r="CV330" t="s">
        <v>1832</v>
      </c>
      <c r="DB330" t="s">
        <v>1830</v>
      </c>
      <c r="DE330" t="s">
        <v>1724</v>
      </c>
    </row>
    <row r="331" spans="1:109" x14ac:dyDescent="0.25">
      <c r="A331" t="s">
        <v>1378</v>
      </c>
      <c r="B331">
        <v>1</v>
      </c>
      <c r="C331" s="56">
        <v>42640</v>
      </c>
      <c r="D331" t="s">
        <v>1449</v>
      </c>
      <c r="E331" t="s">
        <v>2189</v>
      </c>
      <c r="G331" t="s">
        <v>1144</v>
      </c>
      <c r="H331" t="s">
        <v>1144</v>
      </c>
      <c r="I331" t="s">
        <v>1144</v>
      </c>
      <c r="J331" t="s">
        <v>1144</v>
      </c>
      <c r="K331" t="s">
        <v>1144</v>
      </c>
      <c r="L331">
        <v>458.57</v>
      </c>
      <c r="M331">
        <v>2</v>
      </c>
      <c r="N331">
        <v>0</v>
      </c>
      <c r="O331" s="56"/>
      <c r="P331" s="56"/>
      <c r="Q331">
        <v>13718</v>
      </c>
      <c r="R331">
        <v>9</v>
      </c>
      <c r="S331">
        <v>4</v>
      </c>
      <c r="T331">
        <v>2</v>
      </c>
      <c r="U331">
        <v>2</v>
      </c>
      <c r="V331">
        <v>1</v>
      </c>
      <c r="X331" t="s">
        <v>2386</v>
      </c>
      <c r="AA331">
        <v>0</v>
      </c>
      <c r="AB331">
        <v>0</v>
      </c>
      <c r="AC331">
        <v>0</v>
      </c>
      <c r="AD331">
        <v>0</v>
      </c>
      <c r="AE331">
        <v>0</v>
      </c>
      <c r="AF331">
        <v>0</v>
      </c>
      <c r="AG331">
        <v>0</v>
      </c>
      <c r="AJ331" s="56"/>
      <c r="AK331" s="56">
        <v>42369</v>
      </c>
      <c r="AL331" s="56"/>
      <c r="AM331">
        <v>1</v>
      </c>
      <c r="AP331" t="s">
        <v>1450</v>
      </c>
      <c r="AS331" t="s">
        <v>1152</v>
      </c>
      <c r="AT331">
        <v>1</v>
      </c>
      <c r="AV331">
        <v>1</v>
      </c>
      <c r="AW331">
        <v>1</v>
      </c>
      <c r="AX331">
        <v>0.5</v>
      </c>
      <c r="AY331" t="s">
        <v>1147</v>
      </c>
      <c r="AZ331" t="s">
        <v>1147</v>
      </c>
      <c r="BA331">
        <v>1</v>
      </c>
      <c r="BD331">
        <v>1000000000</v>
      </c>
      <c r="BE331">
        <v>2</v>
      </c>
      <c r="BF331">
        <v>-1</v>
      </c>
      <c r="BG331">
        <v>0</v>
      </c>
      <c r="BH331">
        <v>0</v>
      </c>
      <c r="BI331">
        <v>0</v>
      </c>
      <c r="BJ331">
        <v>0</v>
      </c>
      <c r="BK331">
        <v>0</v>
      </c>
      <c r="BL331">
        <v>0</v>
      </c>
      <c r="BM331">
        <v>2</v>
      </c>
      <c r="BN331">
        <v>-1</v>
      </c>
      <c r="BO331">
        <v>0</v>
      </c>
      <c r="BP331">
        <v>0</v>
      </c>
      <c r="BR331">
        <v>0</v>
      </c>
      <c r="BS331">
        <v>1</v>
      </c>
      <c r="BX331">
        <v>0</v>
      </c>
      <c r="BY331">
        <v>458.57</v>
      </c>
      <c r="BZ331">
        <v>0</v>
      </c>
      <c r="CA331">
        <v>-11.95</v>
      </c>
      <c r="CC331">
        <v>1</v>
      </c>
      <c r="CD331" s="56">
        <v>42593</v>
      </c>
      <c r="CE331" s="56">
        <v>42612</v>
      </c>
      <c r="CF331" s="56">
        <v>42612</v>
      </c>
      <c r="CG331" s="56">
        <v>42640</v>
      </c>
      <c r="CH331" s="56"/>
      <c r="CI331" s="56"/>
      <c r="CJ331">
        <v>0</v>
      </c>
      <c r="CK331">
        <v>0</v>
      </c>
      <c r="CL331">
        <v>0</v>
      </c>
      <c r="CM331">
        <v>0</v>
      </c>
      <c r="CN331">
        <v>0</v>
      </c>
      <c r="CO331">
        <v>0</v>
      </c>
      <c r="CP331">
        <v>0.71</v>
      </c>
      <c r="CQ331" t="s">
        <v>1378</v>
      </c>
      <c r="CR331" t="s">
        <v>1377</v>
      </c>
      <c r="CS331" t="s">
        <v>1451</v>
      </c>
      <c r="CT331" t="s">
        <v>1724</v>
      </c>
      <c r="CU331" t="s">
        <v>1742</v>
      </c>
      <c r="CV331" t="s">
        <v>2188</v>
      </c>
      <c r="DB331" t="s">
        <v>2161</v>
      </c>
      <c r="DE331" t="s">
        <v>1724</v>
      </c>
    </row>
    <row r="332" spans="1:109" x14ac:dyDescent="0.25">
      <c r="A332" t="s">
        <v>1378</v>
      </c>
      <c r="B332">
        <v>1</v>
      </c>
      <c r="C332" s="56">
        <v>42640</v>
      </c>
      <c r="D332" t="s">
        <v>1449</v>
      </c>
      <c r="E332" t="s">
        <v>1885</v>
      </c>
      <c r="G332" t="s">
        <v>1144</v>
      </c>
      <c r="H332" t="s">
        <v>1144</v>
      </c>
      <c r="I332" t="s">
        <v>1144</v>
      </c>
      <c r="J332" t="s">
        <v>1144</v>
      </c>
      <c r="K332" t="s">
        <v>1144</v>
      </c>
      <c r="L332">
        <v>0</v>
      </c>
      <c r="M332">
        <v>230.18</v>
      </c>
      <c r="N332">
        <v>0</v>
      </c>
      <c r="O332" s="56"/>
      <c r="P332" s="56"/>
      <c r="Q332">
        <v>13718</v>
      </c>
      <c r="R332">
        <v>9</v>
      </c>
      <c r="S332">
        <v>4</v>
      </c>
      <c r="T332">
        <v>2</v>
      </c>
      <c r="U332">
        <v>2</v>
      </c>
      <c r="V332">
        <v>1</v>
      </c>
      <c r="X332" t="s">
        <v>2386</v>
      </c>
      <c r="AA332">
        <v>0</v>
      </c>
      <c r="AB332">
        <v>0</v>
      </c>
      <c r="AC332">
        <v>0</v>
      </c>
      <c r="AD332">
        <v>0</v>
      </c>
      <c r="AE332">
        <v>0</v>
      </c>
      <c r="AF332">
        <v>0</v>
      </c>
      <c r="AG332">
        <v>0</v>
      </c>
      <c r="AJ332" s="56"/>
      <c r="AK332" s="56"/>
      <c r="AL332" s="56"/>
      <c r="AP332" t="s">
        <v>1450</v>
      </c>
      <c r="AS332" t="s">
        <v>1152</v>
      </c>
      <c r="AT332">
        <v>1</v>
      </c>
      <c r="AV332">
        <v>0</v>
      </c>
      <c r="AW332">
        <v>0</v>
      </c>
      <c r="AX332">
        <v>0</v>
      </c>
      <c r="AY332" t="s">
        <v>1375</v>
      </c>
      <c r="AZ332" t="s">
        <v>1375</v>
      </c>
      <c r="BA332">
        <v>0</v>
      </c>
      <c r="BD332">
        <v>1000000000</v>
      </c>
      <c r="BE332">
        <v>0</v>
      </c>
      <c r="BF332">
        <v>0</v>
      </c>
      <c r="BG332">
        <v>0</v>
      </c>
      <c r="BH332">
        <v>0</v>
      </c>
      <c r="BI332">
        <v>0</v>
      </c>
      <c r="BJ332">
        <v>0</v>
      </c>
      <c r="BK332">
        <v>0</v>
      </c>
      <c r="BL332">
        <v>0</v>
      </c>
      <c r="BM332">
        <v>0</v>
      </c>
      <c r="BN332">
        <v>0</v>
      </c>
      <c r="BO332">
        <v>0</v>
      </c>
      <c r="BP332">
        <v>0</v>
      </c>
      <c r="BR332">
        <v>0</v>
      </c>
      <c r="BS332">
        <v>0</v>
      </c>
      <c r="BX332">
        <v>0</v>
      </c>
      <c r="BY332">
        <v>0</v>
      </c>
      <c r="BZ332">
        <v>0</v>
      </c>
      <c r="CA332">
        <v>0</v>
      </c>
      <c r="CC332">
        <v>1</v>
      </c>
      <c r="CD332" s="56">
        <v>42593</v>
      </c>
      <c r="CE332" s="56">
        <v>42612</v>
      </c>
      <c r="CF332" s="56">
        <v>42612</v>
      </c>
      <c r="CG332" s="56">
        <v>42640</v>
      </c>
      <c r="CH332" s="56"/>
      <c r="CI332" s="56"/>
      <c r="CJ332">
        <v>1</v>
      </c>
      <c r="CK332">
        <v>0</v>
      </c>
      <c r="CL332">
        <v>0.71</v>
      </c>
      <c r="CM332">
        <v>0</v>
      </c>
      <c r="CN332">
        <v>0</v>
      </c>
      <c r="CO332">
        <v>0</v>
      </c>
      <c r="CP332">
        <v>0</v>
      </c>
      <c r="CQ332" t="s">
        <v>1378</v>
      </c>
      <c r="CR332" t="s">
        <v>1377</v>
      </c>
      <c r="CS332" t="s">
        <v>1451</v>
      </c>
      <c r="CT332" t="s">
        <v>1724</v>
      </c>
      <c r="CU332" t="s">
        <v>1742</v>
      </c>
      <c r="CV332" t="s">
        <v>1886</v>
      </c>
      <c r="DB332" t="s">
        <v>1869</v>
      </c>
      <c r="DE332" t="s">
        <v>1724</v>
      </c>
    </row>
    <row r="333" spans="1:109" x14ac:dyDescent="0.25">
      <c r="A333" t="s">
        <v>1378</v>
      </c>
      <c r="B333">
        <v>1</v>
      </c>
      <c r="C333" s="56">
        <v>42640</v>
      </c>
      <c r="D333" t="s">
        <v>1449</v>
      </c>
      <c r="E333" t="s">
        <v>2237</v>
      </c>
      <c r="G333" t="s">
        <v>1144</v>
      </c>
      <c r="H333" t="s">
        <v>1144</v>
      </c>
      <c r="I333" t="s">
        <v>1144</v>
      </c>
      <c r="J333" t="s">
        <v>1144</v>
      </c>
      <c r="K333" t="s">
        <v>1144</v>
      </c>
      <c r="L333">
        <v>433.96</v>
      </c>
      <c r="M333">
        <v>2</v>
      </c>
      <c r="N333">
        <v>0</v>
      </c>
      <c r="O333" s="56"/>
      <c r="P333" s="56"/>
      <c r="Q333">
        <v>13718</v>
      </c>
      <c r="R333">
        <v>9</v>
      </c>
      <c r="S333">
        <v>4</v>
      </c>
      <c r="T333">
        <v>2</v>
      </c>
      <c r="U333">
        <v>2</v>
      </c>
      <c r="V333">
        <v>1</v>
      </c>
      <c r="W333" t="s">
        <v>2379</v>
      </c>
      <c r="X333" t="s">
        <v>2386</v>
      </c>
      <c r="AA333">
        <v>0.04</v>
      </c>
      <c r="AB333">
        <v>1</v>
      </c>
      <c r="AC333">
        <v>6.25</v>
      </c>
      <c r="AD333">
        <v>6.25</v>
      </c>
      <c r="AE333">
        <v>0</v>
      </c>
      <c r="AF333">
        <v>0</v>
      </c>
      <c r="AG333">
        <v>0</v>
      </c>
      <c r="AJ333" s="56"/>
      <c r="AK333" s="56">
        <v>42369</v>
      </c>
      <c r="AL333" s="56"/>
      <c r="AM333">
        <v>1</v>
      </c>
      <c r="AP333" t="s">
        <v>1450</v>
      </c>
      <c r="AS333" t="s">
        <v>1152</v>
      </c>
      <c r="AT333">
        <v>1</v>
      </c>
      <c r="AV333">
        <v>1</v>
      </c>
      <c r="AW333">
        <v>1</v>
      </c>
      <c r="AX333">
        <v>0.5</v>
      </c>
      <c r="AY333" t="s">
        <v>1145</v>
      </c>
      <c r="AZ333" t="s">
        <v>1145</v>
      </c>
      <c r="BA333">
        <v>1</v>
      </c>
      <c r="BD333">
        <v>1000000000</v>
      </c>
      <c r="BE333">
        <v>1</v>
      </c>
      <c r="BF333">
        <v>0</v>
      </c>
      <c r="BG333">
        <v>0</v>
      </c>
      <c r="BH333">
        <v>0</v>
      </c>
      <c r="BI333">
        <v>0</v>
      </c>
      <c r="BJ333">
        <v>0</v>
      </c>
      <c r="BK333">
        <v>0</v>
      </c>
      <c r="BL333">
        <v>0</v>
      </c>
      <c r="BM333">
        <v>1</v>
      </c>
      <c r="BN333">
        <v>0</v>
      </c>
      <c r="BO333">
        <v>0</v>
      </c>
      <c r="BP333">
        <v>0</v>
      </c>
      <c r="BR333">
        <v>0</v>
      </c>
      <c r="BS333">
        <v>1</v>
      </c>
      <c r="BX333">
        <v>0</v>
      </c>
      <c r="BY333">
        <v>0</v>
      </c>
      <c r="BZ333">
        <v>0</v>
      </c>
      <c r="CA333">
        <v>-11.94</v>
      </c>
      <c r="CC333">
        <v>1</v>
      </c>
      <c r="CD333" s="56">
        <v>42593</v>
      </c>
      <c r="CE333" s="56">
        <v>42612</v>
      </c>
      <c r="CF333" s="56">
        <v>42612</v>
      </c>
      <c r="CG333" s="56">
        <v>42640</v>
      </c>
      <c r="CH333" s="56"/>
      <c r="CI333" s="56"/>
      <c r="CJ333">
        <v>0.33</v>
      </c>
      <c r="CK333">
        <v>0</v>
      </c>
      <c r="CL333">
        <v>0</v>
      </c>
      <c r="CM333">
        <v>0</v>
      </c>
      <c r="CN333">
        <v>0.32</v>
      </c>
      <c r="CO333">
        <v>0</v>
      </c>
      <c r="CP333">
        <v>0.39</v>
      </c>
      <c r="CQ333" t="s">
        <v>1378</v>
      </c>
      <c r="CR333" t="s">
        <v>1377</v>
      </c>
      <c r="CS333" t="s">
        <v>1451</v>
      </c>
      <c r="CT333" t="s">
        <v>1724</v>
      </c>
      <c r="CU333" t="s">
        <v>1742</v>
      </c>
      <c r="CV333" t="s">
        <v>2236</v>
      </c>
      <c r="DB333" t="s">
        <v>2134</v>
      </c>
      <c r="DE333" t="s">
        <v>1724</v>
      </c>
    </row>
    <row r="334" spans="1:109" x14ac:dyDescent="0.25">
      <c r="A334" t="s">
        <v>1378</v>
      </c>
      <c r="B334">
        <v>1</v>
      </c>
      <c r="C334" s="56">
        <v>42640</v>
      </c>
      <c r="D334" t="s">
        <v>1449</v>
      </c>
      <c r="E334" t="s">
        <v>1952</v>
      </c>
      <c r="G334" t="s">
        <v>1144</v>
      </c>
      <c r="H334" t="s">
        <v>1144</v>
      </c>
      <c r="I334" t="s">
        <v>1144</v>
      </c>
      <c r="J334" t="s">
        <v>1144</v>
      </c>
      <c r="K334" t="s">
        <v>1144</v>
      </c>
      <c r="L334">
        <v>0</v>
      </c>
      <c r="M334">
        <v>230.18</v>
      </c>
      <c r="N334">
        <v>0</v>
      </c>
      <c r="O334" s="56"/>
      <c r="P334" s="56"/>
      <c r="Q334">
        <v>13718</v>
      </c>
      <c r="R334">
        <v>9</v>
      </c>
      <c r="S334">
        <v>4</v>
      </c>
      <c r="T334">
        <v>2</v>
      </c>
      <c r="U334">
        <v>2</v>
      </c>
      <c r="V334">
        <v>1</v>
      </c>
      <c r="X334" t="s">
        <v>2386</v>
      </c>
      <c r="AA334">
        <v>0</v>
      </c>
      <c r="AB334">
        <v>0</v>
      </c>
      <c r="AC334">
        <v>0</v>
      </c>
      <c r="AD334">
        <v>0</v>
      </c>
      <c r="AE334">
        <v>0</v>
      </c>
      <c r="AF334">
        <v>0</v>
      </c>
      <c r="AG334">
        <v>0</v>
      </c>
      <c r="AJ334" s="56"/>
      <c r="AK334" s="56"/>
      <c r="AL334" s="56"/>
      <c r="AP334" t="s">
        <v>1450</v>
      </c>
      <c r="AS334" t="s">
        <v>1152</v>
      </c>
      <c r="AT334">
        <v>1</v>
      </c>
      <c r="AV334">
        <v>0</v>
      </c>
      <c r="AW334">
        <v>0</v>
      </c>
      <c r="AX334">
        <v>0</v>
      </c>
      <c r="AY334" t="s">
        <v>1375</v>
      </c>
      <c r="AZ334" t="s">
        <v>1375</v>
      </c>
      <c r="BA334">
        <v>0</v>
      </c>
      <c r="BD334">
        <v>1000000000</v>
      </c>
      <c r="BE334">
        <v>0</v>
      </c>
      <c r="BF334">
        <v>0</v>
      </c>
      <c r="BG334">
        <v>0</v>
      </c>
      <c r="BH334">
        <v>0</v>
      </c>
      <c r="BI334">
        <v>0</v>
      </c>
      <c r="BJ334">
        <v>0</v>
      </c>
      <c r="BK334">
        <v>0</v>
      </c>
      <c r="BL334">
        <v>0</v>
      </c>
      <c r="BM334">
        <v>0</v>
      </c>
      <c r="BN334">
        <v>0</v>
      </c>
      <c r="BO334">
        <v>0</v>
      </c>
      <c r="BP334">
        <v>0</v>
      </c>
      <c r="BR334">
        <v>0</v>
      </c>
      <c r="BS334">
        <v>0</v>
      </c>
      <c r="BX334">
        <v>0</v>
      </c>
      <c r="BY334">
        <v>0</v>
      </c>
      <c r="BZ334">
        <v>0</v>
      </c>
      <c r="CA334">
        <v>0</v>
      </c>
      <c r="CC334">
        <v>1</v>
      </c>
      <c r="CD334" s="56">
        <v>42593</v>
      </c>
      <c r="CE334" s="56">
        <v>42612</v>
      </c>
      <c r="CF334" s="56">
        <v>42612</v>
      </c>
      <c r="CG334" s="56">
        <v>42640</v>
      </c>
      <c r="CH334" s="56"/>
      <c r="CI334" s="56"/>
      <c r="CJ334">
        <v>1</v>
      </c>
      <c r="CK334">
        <v>0</v>
      </c>
      <c r="CL334">
        <v>0.71</v>
      </c>
      <c r="CM334">
        <v>0</v>
      </c>
      <c r="CN334">
        <v>0</v>
      </c>
      <c r="CO334">
        <v>0</v>
      </c>
      <c r="CP334">
        <v>0</v>
      </c>
      <c r="CQ334" t="s">
        <v>1378</v>
      </c>
      <c r="CR334" t="s">
        <v>1377</v>
      </c>
      <c r="CS334" t="s">
        <v>1451</v>
      </c>
      <c r="CT334" t="s">
        <v>1724</v>
      </c>
      <c r="CU334" t="s">
        <v>1742</v>
      </c>
      <c r="CV334" t="s">
        <v>1945</v>
      </c>
      <c r="DB334" t="s">
        <v>1869</v>
      </c>
      <c r="DE334" t="s">
        <v>1724</v>
      </c>
    </row>
    <row r="335" spans="1:109" x14ac:dyDescent="0.25">
      <c r="A335" t="s">
        <v>1378</v>
      </c>
      <c r="B335">
        <v>1</v>
      </c>
      <c r="C335" s="56">
        <v>42640</v>
      </c>
      <c r="D335" t="s">
        <v>1449</v>
      </c>
      <c r="E335" t="s">
        <v>1934</v>
      </c>
      <c r="G335" t="s">
        <v>1144</v>
      </c>
      <c r="H335" t="s">
        <v>1144</v>
      </c>
      <c r="I335" t="s">
        <v>1144</v>
      </c>
      <c r="J335" t="s">
        <v>1144</v>
      </c>
      <c r="K335" t="s">
        <v>1144</v>
      </c>
      <c r="L335">
        <v>0</v>
      </c>
      <c r="M335">
        <v>230.18</v>
      </c>
      <c r="N335">
        <v>0</v>
      </c>
      <c r="O335" s="56"/>
      <c r="P335" s="56"/>
      <c r="Q335">
        <v>13718</v>
      </c>
      <c r="R335">
        <v>9</v>
      </c>
      <c r="S335">
        <v>4</v>
      </c>
      <c r="T335">
        <v>2</v>
      </c>
      <c r="U335">
        <v>2</v>
      </c>
      <c r="V335">
        <v>1</v>
      </c>
      <c r="X335" t="s">
        <v>2386</v>
      </c>
      <c r="AA335">
        <v>0</v>
      </c>
      <c r="AB335">
        <v>0</v>
      </c>
      <c r="AC335">
        <v>0</v>
      </c>
      <c r="AD335">
        <v>0</v>
      </c>
      <c r="AE335">
        <v>0</v>
      </c>
      <c r="AF335">
        <v>0</v>
      </c>
      <c r="AG335">
        <v>0</v>
      </c>
      <c r="AJ335" s="56"/>
      <c r="AK335" s="56"/>
      <c r="AL335" s="56"/>
      <c r="AP335" t="s">
        <v>1450</v>
      </c>
      <c r="AS335" t="s">
        <v>1152</v>
      </c>
      <c r="AT335">
        <v>1</v>
      </c>
      <c r="AV335">
        <v>0</v>
      </c>
      <c r="AW335">
        <v>0</v>
      </c>
      <c r="AX335">
        <v>0</v>
      </c>
      <c r="AY335" t="s">
        <v>1375</v>
      </c>
      <c r="AZ335" t="s">
        <v>1375</v>
      </c>
      <c r="BA335">
        <v>0</v>
      </c>
      <c r="BD335">
        <v>1000000000</v>
      </c>
      <c r="BE335">
        <v>0</v>
      </c>
      <c r="BF335">
        <v>0</v>
      </c>
      <c r="BG335">
        <v>0</v>
      </c>
      <c r="BH335">
        <v>0</v>
      </c>
      <c r="BI335">
        <v>0</v>
      </c>
      <c r="BJ335">
        <v>0</v>
      </c>
      <c r="BK335">
        <v>0</v>
      </c>
      <c r="BL335">
        <v>0</v>
      </c>
      <c r="BM335">
        <v>0</v>
      </c>
      <c r="BN335">
        <v>0</v>
      </c>
      <c r="BO335">
        <v>0</v>
      </c>
      <c r="BP335">
        <v>0</v>
      </c>
      <c r="BR335">
        <v>0</v>
      </c>
      <c r="BS335">
        <v>0</v>
      </c>
      <c r="BX335">
        <v>0</v>
      </c>
      <c r="BY335">
        <v>0</v>
      </c>
      <c r="BZ335">
        <v>0</v>
      </c>
      <c r="CA335">
        <v>0</v>
      </c>
      <c r="CC335">
        <v>1</v>
      </c>
      <c r="CD335" s="56">
        <v>42593</v>
      </c>
      <c r="CE335" s="56">
        <v>42612</v>
      </c>
      <c r="CF335" s="56">
        <v>42612</v>
      </c>
      <c r="CG335" s="56">
        <v>42640</v>
      </c>
      <c r="CH335" s="56"/>
      <c r="CI335" s="56"/>
      <c r="CJ335">
        <v>1</v>
      </c>
      <c r="CK335">
        <v>0</v>
      </c>
      <c r="CL335">
        <v>0.71</v>
      </c>
      <c r="CM335">
        <v>0</v>
      </c>
      <c r="CN335">
        <v>0</v>
      </c>
      <c r="CO335">
        <v>0</v>
      </c>
      <c r="CP335">
        <v>0</v>
      </c>
      <c r="CQ335" t="s">
        <v>1378</v>
      </c>
      <c r="CR335" t="s">
        <v>1377</v>
      </c>
      <c r="CS335" t="s">
        <v>1451</v>
      </c>
      <c r="CT335" t="s">
        <v>1724</v>
      </c>
      <c r="CU335" t="s">
        <v>1742</v>
      </c>
      <c r="CV335" t="s">
        <v>1935</v>
      </c>
      <c r="DB335" t="s">
        <v>1869</v>
      </c>
      <c r="DE335" t="s">
        <v>1724</v>
      </c>
    </row>
    <row r="336" spans="1:109" x14ac:dyDescent="0.25">
      <c r="A336" t="s">
        <v>1378</v>
      </c>
      <c r="B336">
        <v>1</v>
      </c>
      <c r="C336" s="56">
        <v>42640</v>
      </c>
      <c r="D336" t="s">
        <v>1449</v>
      </c>
      <c r="E336" t="s">
        <v>2287</v>
      </c>
      <c r="G336" t="s">
        <v>1144</v>
      </c>
      <c r="H336" t="s">
        <v>1144</v>
      </c>
      <c r="I336" t="s">
        <v>1144</v>
      </c>
      <c r="J336" t="s">
        <v>1144</v>
      </c>
      <c r="K336" t="s">
        <v>1144</v>
      </c>
      <c r="L336">
        <v>352.89</v>
      </c>
      <c r="M336">
        <v>2</v>
      </c>
      <c r="N336">
        <v>0</v>
      </c>
      <c r="O336" s="56"/>
      <c r="P336" s="56"/>
      <c r="Q336">
        <v>13718</v>
      </c>
      <c r="R336">
        <v>9</v>
      </c>
      <c r="S336">
        <v>4</v>
      </c>
      <c r="T336">
        <v>2</v>
      </c>
      <c r="U336">
        <v>2</v>
      </c>
      <c r="V336">
        <v>1</v>
      </c>
      <c r="W336" t="s">
        <v>1376</v>
      </c>
      <c r="X336" t="s">
        <v>2385</v>
      </c>
      <c r="AA336">
        <v>0.04</v>
      </c>
      <c r="AB336">
        <v>1</v>
      </c>
      <c r="AC336">
        <v>12.5</v>
      </c>
      <c r="AD336">
        <v>12.5</v>
      </c>
      <c r="AE336">
        <v>0</v>
      </c>
      <c r="AF336">
        <v>0</v>
      </c>
      <c r="AG336">
        <v>0</v>
      </c>
      <c r="AJ336" s="56"/>
      <c r="AK336" s="56">
        <v>42369</v>
      </c>
      <c r="AL336" s="56"/>
      <c r="AM336">
        <v>1</v>
      </c>
      <c r="AP336" t="s">
        <v>1450</v>
      </c>
      <c r="AS336" t="s">
        <v>1152</v>
      </c>
      <c r="AT336">
        <v>1</v>
      </c>
      <c r="AV336">
        <v>2</v>
      </c>
      <c r="AW336">
        <v>2</v>
      </c>
      <c r="AX336">
        <v>1</v>
      </c>
      <c r="AY336" t="s">
        <v>1145</v>
      </c>
      <c r="AZ336" t="s">
        <v>1145</v>
      </c>
      <c r="BA336">
        <v>3</v>
      </c>
      <c r="BD336">
        <v>1000000000</v>
      </c>
      <c r="BE336">
        <v>2</v>
      </c>
      <c r="BF336">
        <v>0</v>
      </c>
      <c r="BG336">
        <v>0</v>
      </c>
      <c r="BH336">
        <v>0</v>
      </c>
      <c r="BI336">
        <v>0</v>
      </c>
      <c r="BJ336">
        <v>0</v>
      </c>
      <c r="BK336">
        <v>0</v>
      </c>
      <c r="BL336">
        <v>0</v>
      </c>
      <c r="BM336">
        <v>2</v>
      </c>
      <c r="BN336">
        <v>0</v>
      </c>
      <c r="BO336">
        <v>0</v>
      </c>
      <c r="BP336">
        <v>0</v>
      </c>
      <c r="BR336">
        <v>0</v>
      </c>
      <c r="BS336">
        <v>1</v>
      </c>
      <c r="BX336">
        <v>0</v>
      </c>
      <c r="BY336">
        <v>0</v>
      </c>
      <c r="BZ336">
        <v>0</v>
      </c>
      <c r="CA336">
        <v>-11.93</v>
      </c>
      <c r="CC336">
        <v>1</v>
      </c>
      <c r="CD336" s="56">
        <v>42619</v>
      </c>
      <c r="CE336" s="56">
        <v>42619</v>
      </c>
      <c r="CF336" s="56">
        <v>42619</v>
      </c>
      <c r="CG336" s="56">
        <v>42647</v>
      </c>
      <c r="CH336" s="56"/>
      <c r="CI336" s="56"/>
      <c r="CJ336">
        <v>0</v>
      </c>
      <c r="CK336">
        <v>0</v>
      </c>
      <c r="CL336">
        <v>0</v>
      </c>
      <c r="CM336">
        <v>0</v>
      </c>
      <c r="CN336">
        <v>0.65</v>
      </c>
      <c r="CO336">
        <v>0</v>
      </c>
      <c r="CP336">
        <v>0</v>
      </c>
      <c r="CQ336" t="s">
        <v>1378</v>
      </c>
      <c r="CR336" t="s">
        <v>1377</v>
      </c>
      <c r="CS336" t="s">
        <v>1451</v>
      </c>
      <c r="CT336" t="s">
        <v>1724</v>
      </c>
      <c r="CU336" t="s">
        <v>1742</v>
      </c>
      <c r="CV336" t="s">
        <v>2288</v>
      </c>
      <c r="DB336" t="s">
        <v>2286</v>
      </c>
      <c r="DE336" t="s">
        <v>1724</v>
      </c>
    </row>
    <row r="337" spans="1:109" x14ac:dyDescent="0.25">
      <c r="A337" t="s">
        <v>1378</v>
      </c>
      <c r="B337">
        <v>1</v>
      </c>
      <c r="C337" s="56">
        <v>42640</v>
      </c>
      <c r="D337" t="s">
        <v>1449</v>
      </c>
      <c r="E337" t="s">
        <v>1422</v>
      </c>
      <c r="G337" t="s">
        <v>1144</v>
      </c>
      <c r="H337" t="s">
        <v>1144</v>
      </c>
      <c r="I337" t="s">
        <v>1144</v>
      </c>
      <c r="J337" t="s">
        <v>1144</v>
      </c>
      <c r="K337" t="s">
        <v>1144</v>
      </c>
      <c r="L337">
        <v>544.11</v>
      </c>
      <c r="M337">
        <v>1056.52</v>
      </c>
      <c r="N337">
        <v>0</v>
      </c>
      <c r="O337" s="56"/>
      <c r="P337" s="56"/>
      <c r="Q337">
        <v>13718</v>
      </c>
      <c r="R337">
        <v>9</v>
      </c>
      <c r="S337">
        <v>4</v>
      </c>
      <c r="T337">
        <v>2</v>
      </c>
      <c r="U337">
        <v>2</v>
      </c>
      <c r="V337">
        <v>1</v>
      </c>
      <c r="W337" t="s">
        <v>1376</v>
      </c>
      <c r="X337" t="s">
        <v>2385</v>
      </c>
      <c r="AA337">
        <v>0.27</v>
      </c>
      <c r="AB337">
        <v>2</v>
      </c>
      <c r="AC337">
        <v>4.63</v>
      </c>
      <c r="AD337">
        <v>4.63</v>
      </c>
      <c r="AE337">
        <v>0</v>
      </c>
      <c r="AF337">
        <v>0</v>
      </c>
      <c r="AG337">
        <v>0</v>
      </c>
      <c r="AJ337" s="56"/>
      <c r="AK337" s="56"/>
      <c r="AL337" s="56">
        <v>42322</v>
      </c>
      <c r="AM337">
        <v>6</v>
      </c>
      <c r="AP337" t="s">
        <v>1450</v>
      </c>
      <c r="AS337" t="s">
        <v>1152</v>
      </c>
      <c r="AT337">
        <v>1</v>
      </c>
      <c r="AV337">
        <v>5</v>
      </c>
      <c r="AW337">
        <v>3</v>
      </c>
      <c r="AX337">
        <v>2</v>
      </c>
      <c r="AY337" t="s">
        <v>1148</v>
      </c>
      <c r="AZ337" t="s">
        <v>1148</v>
      </c>
      <c r="BA337">
        <v>6</v>
      </c>
      <c r="BD337">
        <v>1000000000</v>
      </c>
      <c r="BE337">
        <v>5</v>
      </c>
      <c r="BF337">
        <v>0</v>
      </c>
      <c r="BG337">
        <v>0</v>
      </c>
      <c r="BH337">
        <v>0</v>
      </c>
      <c r="BI337">
        <v>0</v>
      </c>
      <c r="BJ337">
        <v>0</v>
      </c>
      <c r="BK337">
        <v>0</v>
      </c>
      <c r="BL337">
        <v>0</v>
      </c>
      <c r="BM337">
        <v>5</v>
      </c>
      <c r="BN337">
        <v>0</v>
      </c>
      <c r="BO337">
        <v>0</v>
      </c>
      <c r="BP337">
        <v>0</v>
      </c>
      <c r="BR337">
        <v>0</v>
      </c>
      <c r="BS337">
        <v>3</v>
      </c>
      <c r="BX337">
        <v>0</v>
      </c>
      <c r="BY337">
        <v>0</v>
      </c>
      <c r="BZ337">
        <v>0</v>
      </c>
      <c r="CA337">
        <v>11.3</v>
      </c>
      <c r="CC337">
        <v>1</v>
      </c>
      <c r="CD337" s="56">
        <v>42619</v>
      </c>
      <c r="CE337" s="56">
        <v>42619</v>
      </c>
      <c r="CF337" s="56">
        <v>42619</v>
      </c>
      <c r="CG337" s="56">
        <v>42647</v>
      </c>
      <c r="CH337" s="56"/>
      <c r="CI337" s="56"/>
      <c r="CJ337">
        <v>0.08</v>
      </c>
      <c r="CK337">
        <v>0</v>
      </c>
      <c r="CL337">
        <v>0</v>
      </c>
      <c r="CM337">
        <v>0</v>
      </c>
      <c r="CN337">
        <v>0</v>
      </c>
      <c r="CO337">
        <v>0.65</v>
      </c>
      <c r="CP337">
        <v>0</v>
      </c>
      <c r="CQ337" t="s">
        <v>1378</v>
      </c>
      <c r="CR337" t="s">
        <v>1377</v>
      </c>
      <c r="CS337" t="s">
        <v>1451</v>
      </c>
      <c r="CT337" t="s">
        <v>1724</v>
      </c>
      <c r="CU337" t="s">
        <v>1742</v>
      </c>
      <c r="CV337" t="s">
        <v>1993</v>
      </c>
      <c r="DB337" t="s">
        <v>1978</v>
      </c>
      <c r="DE337" t="s">
        <v>1724</v>
      </c>
    </row>
    <row r="338" spans="1:109" x14ac:dyDescent="0.25">
      <c r="A338" t="s">
        <v>1378</v>
      </c>
      <c r="B338">
        <v>1</v>
      </c>
      <c r="C338" s="56">
        <v>42640</v>
      </c>
      <c r="D338" t="s">
        <v>1449</v>
      </c>
      <c r="E338" t="s">
        <v>2343</v>
      </c>
      <c r="G338" t="s">
        <v>1144</v>
      </c>
      <c r="H338" t="s">
        <v>1144</v>
      </c>
      <c r="I338" t="s">
        <v>1144</v>
      </c>
      <c r="J338" t="s">
        <v>1144</v>
      </c>
      <c r="K338" t="s">
        <v>1144</v>
      </c>
      <c r="L338">
        <v>1147.3699999999999</v>
      </c>
      <c r="M338">
        <v>2</v>
      </c>
      <c r="N338">
        <v>0</v>
      </c>
      <c r="O338" s="56"/>
      <c r="P338" s="56"/>
      <c r="Q338">
        <v>13718</v>
      </c>
      <c r="R338">
        <v>9</v>
      </c>
      <c r="S338">
        <v>4</v>
      </c>
      <c r="T338">
        <v>2</v>
      </c>
      <c r="U338">
        <v>2</v>
      </c>
      <c r="V338">
        <v>1</v>
      </c>
      <c r="W338" t="s">
        <v>2379</v>
      </c>
      <c r="X338" t="s">
        <v>2387</v>
      </c>
      <c r="AA338">
        <v>0</v>
      </c>
      <c r="AB338">
        <v>0</v>
      </c>
      <c r="AC338">
        <v>0</v>
      </c>
      <c r="AD338">
        <v>0</v>
      </c>
      <c r="AE338">
        <v>0</v>
      </c>
      <c r="AF338">
        <v>0</v>
      </c>
      <c r="AG338">
        <v>0</v>
      </c>
      <c r="AJ338" s="56"/>
      <c r="AK338" s="56"/>
      <c r="AL338" s="56">
        <v>42322</v>
      </c>
      <c r="AM338">
        <v>1</v>
      </c>
      <c r="AP338" t="s">
        <v>1450</v>
      </c>
      <c r="AS338" t="s">
        <v>1152</v>
      </c>
      <c r="AT338">
        <v>1</v>
      </c>
      <c r="AV338">
        <v>2</v>
      </c>
      <c r="AW338">
        <v>2</v>
      </c>
      <c r="AX338">
        <v>1</v>
      </c>
      <c r="AY338" t="s">
        <v>1145</v>
      </c>
      <c r="AZ338" t="s">
        <v>1145</v>
      </c>
      <c r="BA338">
        <v>1</v>
      </c>
      <c r="BD338">
        <v>1000000000</v>
      </c>
      <c r="BE338">
        <v>2</v>
      </c>
      <c r="BF338">
        <v>0</v>
      </c>
      <c r="BG338">
        <v>0</v>
      </c>
      <c r="BH338">
        <v>0</v>
      </c>
      <c r="BI338">
        <v>0</v>
      </c>
      <c r="BJ338">
        <v>0</v>
      </c>
      <c r="BK338">
        <v>0</v>
      </c>
      <c r="BL338">
        <v>0</v>
      </c>
      <c r="BM338">
        <v>2</v>
      </c>
      <c r="BN338">
        <v>0</v>
      </c>
      <c r="BO338">
        <v>0</v>
      </c>
      <c r="BP338">
        <v>0</v>
      </c>
      <c r="BR338">
        <v>0</v>
      </c>
      <c r="BS338">
        <v>1</v>
      </c>
      <c r="BX338">
        <v>0</v>
      </c>
      <c r="BY338">
        <v>0</v>
      </c>
      <c r="BZ338">
        <v>0</v>
      </c>
      <c r="CA338">
        <v>-11.98</v>
      </c>
      <c r="CC338">
        <v>1</v>
      </c>
      <c r="CD338" s="56">
        <v>42592</v>
      </c>
      <c r="CE338" s="56">
        <v>42612</v>
      </c>
      <c r="CF338" s="56">
        <v>42612</v>
      </c>
      <c r="CG338" s="56">
        <v>42640</v>
      </c>
      <c r="CH338" s="56"/>
      <c r="CI338" s="56"/>
      <c r="CJ338">
        <v>0</v>
      </c>
      <c r="CK338">
        <v>0</v>
      </c>
      <c r="CL338">
        <v>0</v>
      </c>
      <c r="CM338">
        <v>0</v>
      </c>
      <c r="CN338">
        <v>0.71</v>
      </c>
      <c r="CO338">
        <v>0</v>
      </c>
      <c r="CP338">
        <v>0</v>
      </c>
      <c r="CQ338" t="s">
        <v>1378</v>
      </c>
      <c r="CR338" t="s">
        <v>1377</v>
      </c>
      <c r="CS338" t="s">
        <v>1451</v>
      </c>
      <c r="CT338" t="s">
        <v>1724</v>
      </c>
      <c r="CU338" t="s">
        <v>1742</v>
      </c>
      <c r="CV338" t="s">
        <v>2344</v>
      </c>
      <c r="DB338" t="s">
        <v>2145</v>
      </c>
      <c r="DE338" t="s">
        <v>1724</v>
      </c>
    </row>
    <row r="339" spans="1:109" x14ac:dyDescent="0.25">
      <c r="A339" t="s">
        <v>1378</v>
      </c>
      <c r="B339">
        <v>1</v>
      </c>
      <c r="C339" s="56">
        <v>42640</v>
      </c>
      <c r="D339" t="s">
        <v>1449</v>
      </c>
      <c r="E339" t="s">
        <v>2043</v>
      </c>
      <c r="G339" t="s">
        <v>1144</v>
      </c>
      <c r="H339" t="s">
        <v>1144</v>
      </c>
      <c r="I339" t="s">
        <v>1144</v>
      </c>
      <c r="J339" t="s">
        <v>1144</v>
      </c>
      <c r="K339" t="s">
        <v>1144</v>
      </c>
      <c r="L339">
        <v>219</v>
      </c>
      <c r="M339">
        <v>2</v>
      </c>
      <c r="N339">
        <v>0</v>
      </c>
      <c r="O339" s="56"/>
      <c r="P339" s="56"/>
      <c r="Q339">
        <v>13718</v>
      </c>
      <c r="R339">
        <v>9</v>
      </c>
      <c r="S339">
        <v>4</v>
      </c>
      <c r="T339">
        <v>2</v>
      </c>
      <c r="U339">
        <v>2</v>
      </c>
      <c r="V339">
        <v>1</v>
      </c>
      <c r="W339" t="s">
        <v>1376</v>
      </c>
      <c r="X339" t="s">
        <v>2385</v>
      </c>
      <c r="AA339">
        <v>0</v>
      </c>
      <c r="AB339">
        <v>0</v>
      </c>
      <c r="AC339">
        <v>0</v>
      </c>
      <c r="AD339">
        <v>0</v>
      </c>
      <c r="AE339">
        <v>0</v>
      </c>
      <c r="AF339">
        <v>0</v>
      </c>
      <c r="AG339">
        <v>0</v>
      </c>
      <c r="AJ339" s="56"/>
      <c r="AK339" s="56">
        <v>42369</v>
      </c>
      <c r="AL339" s="56"/>
      <c r="AM339">
        <v>1</v>
      </c>
      <c r="AP339" t="s">
        <v>1450</v>
      </c>
      <c r="AS339" t="s">
        <v>1152</v>
      </c>
      <c r="AT339">
        <v>1</v>
      </c>
      <c r="AV339">
        <v>2</v>
      </c>
      <c r="AW339">
        <v>2</v>
      </c>
      <c r="AX339">
        <v>1</v>
      </c>
      <c r="AY339" t="s">
        <v>1145</v>
      </c>
      <c r="AZ339" t="s">
        <v>1145</v>
      </c>
      <c r="BA339">
        <v>1</v>
      </c>
      <c r="BD339">
        <v>1000000000</v>
      </c>
      <c r="BE339">
        <v>2</v>
      </c>
      <c r="BF339">
        <v>0</v>
      </c>
      <c r="BG339">
        <v>0</v>
      </c>
      <c r="BH339">
        <v>0</v>
      </c>
      <c r="BI339">
        <v>0</v>
      </c>
      <c r="BJ339">
        <v>0</v>
      </c>
      <c r="BK339">
        <v>0</v>
      </c>
      <c r="BL339">
        <v>0</v>
      </c>
      <c r="BM339">
        <v>2</v>
      </c>
      <c r="BN339">
        <v>0</v>
      </c>
      <c r="BO339">
        <v>0</v>
      </c>
      <c r="BP339">
        <v>0</v>
      </c>
      <c r="BR339">
        <v>0</v>
      </c>
      <c r="BS339">
        <v>1</v>
      </c>
      <c r="BX339">
        <v>0</v>
      </c>
      <c r="BY339">
        <v>0</v>
      </c>
      <c r="BZ339">
        <v>0</v>
      </c>
      <c r="CA339">
        <v>-11.89</v>
      </c>
      <c r="CC339">
        <v>1</v>
      </c>
      <c r="CD339" s="56">
        <v>42619</v>
      </c>
      <c r="CE339" s="56">
        <v>42619</v>
      </c>
      <c r="CF339" s="56">
        <v>42619</v>
      </c>
      <c r="CG339" s="56">
        <v>42647</v>
      </c>
      <c r="CH339" s="56"/>
      <c r="CI339" s="56"/>
      <c r="CJ339">
        <v>0</v>
      </c>
      <c r="CK339">
        <v>0</v>
      </c>
      <c r="CL339">
        <v>0</v>
      </c>
      <c r="CM339">
        <v>0</v>
      </c>
      <c r="CN339">
        <v>0.65</v>
      </c>
      <c r="CO339">
        <v>0</v>
      </c>
      <c r="CP339">
        <v>0</v>
      </c>
      <c r="CQ339" t="s">
        <v>1378</v>
      </c>
      <c r="CR339" t="s">
        <v>1377</v>
      </c>
      <c r="CS339" t="s">
        <v>1451</v>
      </c>
      <c r="CT339" t="s">
        <v>1724</v>
      </c>
      <c r="CU339" t="s">
        <v>1742</v>
      </c>
      <c r="CV339" t="s">
        <v>2044</v>
      </c>
      <c r="DB339" t="s">
        <v>2014</v>
      </c>
      <c r="DE339" t="s">
        <v>1724</v>
      </c>
    </row>
    <row r="340" spans="1:109" x14ac:dyDescent="0.25">
      <c r="A340" t="s">
        <v>1378</v>
      </c>
      <c r="B340">
        <v>1</v>
      </c>
      <c r="C340" s="56">
        <v>42640</v>
      </c>
      <c r="D340" t="s">
        <v>1449</v>
      </c>
      <c r="E340" t="s">
        <v>2094</v>
      </c>
      <c r="G340" t="s">
        <v>1144</v>
      </c>
      <c r="H340" t="s">
        <v>1144</v>
      </c>
      <c r="I340" t="s">
        <v>1144</v>
      </c>
      <c r="J340" t="s">
        <v>1144</v>
      </c>
      <c r="K340" t="s">
        <v>1144</v>
      </c>
      <c r="L340">
        <v>136.88999999999999</v>
      </c>
      <c r="M340">
        <v>293.95</v>
      </c>
      <c r="N340">
        <v>0</v>
      </c>
      <c r="O340" s="56"/>
      <c r="P340" s="56"/>
      <c r="Q340">
        <v>13718</v>
      </c>
      <c r="R340">
        <v>9</v>
      </c>
      <c r="S340">
        <v>4</v>
      </c>
      <c r="T340">
        <v>2</v>
      </c>
      <c r="U340">
        <v>2</v>
      </c>
      <c r="V340">
        <v>1</v>
      </c>
      <c r="W340" t="s">
        <v>2379</v>
      </c>
      <c r="X340" t="s">
        <v>2386</v>
      </c>
      <c r="AA340">
        <v>0.12</v>
      </c>
      <c r="AB340">
        <v>1</v>
      </c>
      <c r="AC340">
        <v>8.33</v>
      </c>
      <c r="AD340">
        <v>8.33</v>
      </c>
      <c r="AE340">
        <v>0</v>
      </c>
      <c r="AF340">
        <v>0</v>
      </c>
      <c r="AG340">
        <v>0</v>
      </c>
      <c r="AJ340" s="56">
        <v>42666</v>
      </c>
      <c r="AK340" s="56">
        <v>42369</v>
      </c>
      <c r="AL340" s="56"/>
      <c r="AM340">
        <v>4</v>
      </c>
      <c r="AP340" t="s">
        <v>1450</v>
      </c>
      <c r="AS340" t="s">
        <v>1152</v>
      </c>
      <c r="AT340">
        <v>1</v>
      </c>
      <c r="AV340">
        <v>4</v>
      </c>
      <c r="AW340">
        <v>3</v>
      </c>
      <c r="AX340">
        <v>1</v>
      </c>
      <c r="AY340" t="s">
        <v>1148</v>
      </c>
      <c r="AZ340" t="s">
        <v>1148</v>
      </c>
      <c r="BA340">
        <v>4</v>
      </c>
      <c r="BD340">
        <v>1000000000</v>
      </c>
      <c r="BE340">
        <v>4</v>
      </c>
      <c r="BF340">
        <v>0</v>
      </c>
      <c r="BG340">
        <v>0</v>
      </c>
      <c r="BH340">
        <v>0</v>
      </c>
      <c r="BI340">
        <v>0</v>
      </c>
      <c r="BJ340">
        <v>0</v>
      </c>
      <c r="BK340">
        <v>0</v>
      </c>
      <c r="BL340">
        <v>0</v>
      </c>
      <c r="BM340">
        <v>4</v>
      </c>
      <c r="BN340">
        <v>0</v>
      </c>
      <c r="BO340">
        <v>0</v>
      </c>
      <c r="BP340">
        <v>0</v>
      </c>
      <c r="BR340">
        <v>0</v>
      </c>
      <c r="BS340">
        <v>2</v>
      </c>
      <c r="BX340">
        <v>0</v>
      </c>
      <c r="BY340">
        <v>0</v>
      </c>
      <c r="BZ340">
        <v>0</v>
      </c>
      <c r="CA340">
        <v>13.77</v>
      </c>
      <c r="CC340">
        <v>1</v>
      </c>
      <c r="CD340" s="56">
        <v>42593</v>
      </c>
      <c r="CE340" s="56">
        <v>42612</v>
      </c>
      <c r="CF340" s="56">
        <v>42612</v>
      </c>
      <c r="CG340" s="56">
        <v>42640</v>
      </c>
      <c r="CH340" s="56"/>
      <c r="CI340" s="56"/>
      <c r="CJ340">
        <v>0</v>
      </c>
      <c r="CK340">
        <v>0</v>
      </c>
      <c r="CL340">
        <v>0</v>
      </c>
      <c r="CM340">
        <v>0</v>
      </c>
      <c r="CN340">
        <v>0</v>
      </c>
      <c r="CO340">
        <v>0.71</v>
      </c>
      <c r="CP340">
        <v>0</v>
      </c>
      <c r="CQ340" t="s">
        <v>1378</v>
      </c>
      <c r="CR340" t="s">
        <v>1377</v>
      </c>
      <c r="CS340" t="s">
        <v>1451</v>
      </c>
      <c r="CT340" t="s">
        <v>1724</v>
      </c>
      <c r="CU340" t="s">
        <v>1742</v>
      </c>
      <c r="CV340" t="s">
        <v>2095</v>
      </c>
      <c r="DB340" t="s">
        <v>2059</v>
      </c>
      <c r="DE340" t="s">
        <v>1724</v>
      </c>
    </row>
    <row r="341" spans="1:109" x14ac:dyDescent="0.25">
      <c r="A341" t="s">
        <v>1378</v>
      </c>
      <c r="B341">
        <v>1</v>
      </c>
      <c r="C341" s="56">
        <v>42640</v>
      </c>
      <c r="D341" t="s">
        <v>1449</v>
      </c>
      <c r="E341" t="s">
        <v>1459</v>
      </c>
      <c r="G341" t="s">
        <v>1144</v>
      </c>
      <c r="H341" t="s">
        <v>1144</v>
      </c>
      <c r="I341" t="s">
        <v>1144</v>
      </c>
      <c r="J341" t="s">
        <v>1144</v>
      </c>
      <c r="K341" t="s">
        <v>1144</v>
      </c>
      <c r="L341">
        <v>760.94</v>
      </c>
      <c r="M341">
        <v>1637.27</v>
      </c>
      <c r="N341">
        <v>0</v>
      </c>
      <c r="O341" s="56"/>
      <c r="P341" s="56"/>
      <c r="Q341">
        <v>13718</v>
      </c>
      <c r="R341">
        <v>9</v>
      </c>
      <c r="S341">
        <v>4</v>
      </c>
      <c r="T341">
        <v>2</v>
      </c>
      <c r="U341">
        <v>2</v>
      </c>
      <c r="V341">
        <v>1</v>
      </c>
      <c r="X341" t="s">
        <v>2385</v>
      </c>
      <c r="AA341">
        <v>0.04</v>
      </c>
      <c r="AB341">
        <v>1</v>
      </c>
      <c r="AC341">
        <v>6.25</v>
      </c>
      <c r="AD341">
        <v>18.75</v>
      </c>
      <c r="AE341">
        <v>0</v>
      </c>
      <c r="AF341">
        <v>0</v>
      </c>
      <c r="AG341">
        <v>0</v>
      </c>
      <c r="AJ341" s="56"/>
      <c r="AK341" s="56"/>
      <c r="AL341" s="56"/>
      <c r="AP341" t="s">
        <v>1450</v>
      </c>
      <c r="AS341" t="s">
        <v>1152</v>
      </c>
      <c r="AT341">
        <v>1</v>
      </c>
      <c r="AV341">
        <v>1</v>
      </c>
      <c r="AW341">
        <v>1</v>
      </c>
      <c r="AX341">
        <v>0.5</v>
      </c>
      <c r="AY341" t="s">
        <v>1147</v>
      </c>
      <c r="AZ341" t="s">
        <v>1147</v>
      </c>
      <c r="BA341">
        <v>2</v>
      </c>
      <c r="BD341">
        <v>1000000000</v>
      </c>
      <c r="BE341">
        <v>3</v>
      </c>
      <c r="BF341">
        <v>-2</v>
      </c>
      <c r="BG341">
        <v>0</v>
      </c>
      <c r="BH341">
        <v>0</v>
      </c>
      <c r="BI341">
        <v>0</v>
      </c>
      <c r="BJ341">
        <v>0</v>
      </c>
      <c r="BK341">
        <v>0</v>
      </c>
      <c r="BL341">
        <v>0</v>
      </c>
      <c r="BM341">
        <v>3</v>
      </c>
      <c r="BN341">
        <v>-2</v>
      </c>
      <c r="BO341">
        <v>0</v>
      </c>
      <c r="BP341">
        <v>0</v>
      </c>
      <c r="BR341">
        <v>0</v>
      </c>
      <c r="BS341">
        <v>1</v>
      </c>
      <c r="BX341">
        <v>0</v>
      </c>
      <c r="BY341">
        <v>1521.88</v>
      </c>
      <c r="BZ341">
        <v>0</v>
      </c>
      <c r="CA341">
        <v>13.82</v>
      </c>
      <c r="CC341">
        <v>1</v>
      </c>
      <c r="CD341" s="56">
        <v>42619</v>
      </c>
      <c r="CE341" s="56">
        <v>42619</v>
      </c>
      <c r="CF341" s="56">
        <v>42619</v>
      </c>
      <c r="CG341" s="56">
        <v>42647</v>
      </c>
      <c r="CH341" s="56"/>
      <c r="CI341" s="56"/>
      <c r="CJ341">
        <v>0</v>
      </c>
      <c r="CK341">
        <v>0</v>
      </c>
      <c r="CL341">
        <v>0</v>
      </c>
      <c r="CM341">
        <v>0</v>
      </c>
      <c r="CN341">
        <v>0</v>
      </c>
      <c r="CO341">
        <v>0</v>
      </c>
      <c r="CP341">
        <v>0.65</v>
      </c>
      <c r="CQ341" t="s">
        <v>1378</v>
      </c>
      <c r="CR341" t="s">
        <v>1377</v>
      </c>
      <c r="CS341" t="s">
        <v>1451</v>
      </c>
      <c r="CT341" t="s">
        <v>1724</v>
      </c>
      <c r="CU341" t="s">
        <v>1742</v>
      </c>
      <c r="CV341" t="s">
        <v>1785</v>
      </c>
      <c r="DB341" t="s">
        <v>1783</v>
      </c>
      <c r="DE341" t="s">
        <v>1724</v>
      </c>
    </row>
    <row r="342" spans="1:109" x14ac:dyDescent="0.25">
      <c r="A342" t="s">
        <v>1378</v>
      </c>
      <c r="B342">
        <v>1</v>
      </c>
      <c r="C342" s="56">
        <v>42640</v>
      </c>
      <c r="D342" t="s">
        <v>1449</v>
      </c>
      <c r="E342" t="s">
        <v>2222</v>
      </c>
      <c r="G342" t="s">
        <v>1144</v>
      </c>
      <c r="H342" t="s">
        <v>1144</v>
      </c>
      <c r="I342" t="s">
        <v>1144</v>
      </c>
      <c r="J342" t="s">
        <v>1144</v>
      </c>
      <c r="K342" t="s">
        <v>1144</v>
      </c>
      <c r="L342">
        <v>264.79000000000002</v>
      </c>
      <c r="M342">
        <v>2</v>
      </c>
      <c r="N342">
        <v>0</v>
      </c>
      <c r="O342" s="56"/>
      <c r="P342" s="56"/>
      <c r="Q342">
        <v>13718</v>
      </c>
      <c r="R342">
        <v>9</v>
      </c>
      <c r="S342">
        <v>4</v>
      </c>
      <c r="T342">
        <v>2</v>
      </c>
      <c r="U342">
        <v>2</v>
      </c>
      <c r="V342">
        <v>1</v>
      </c>
      <c r="X342" t="s">
        <v>2385</v>
      </c>
      <c r="AA342">
        <v>0</v>
      </c>
      <c r="AB342">
        <v>0</v>
      </c>
      <c r="AC342">
        <v>0</v>
      </c>
      <c r="AD342">
        <v>0</v>
      </c>
      <c r="AE342">
        <v>0</v>
      </c>
      <c r="AF342">
        <v>0</v>
      </c>
      <c r="AG342">
        <v>0</v>
      </c>
      <c r="AJ342" s="56"/>
      <c r="AK342" s="56">
        <v>42369</v>
      </c>
      <c r="AL342" s="56"/>
      <c r="AM342">
        <v>1</v>
      </c>
      <c r="AP342" t="s">
        <v>1450</v>
      </c>
      <c r="AS342" t="s">
        <v>1152</v>
      </c>
      <c r="AT342">
        <v>1</v>
      </c>
      <c r="AV342">
        <v>1</v>
      </c>
      <c r="AW342">
        <v>1</v>
      </c>
      <c r="AX342">
        <v>0.5</v>
      </c>
      <c r="AY342" t="s">
        <v>1147</v>
      </c>
      <c r="AZ342" t="s">
        <v>1147</v>
      </c>
      <c r="BA342">
        <v>3</v>
      </c>
      <c r="BD342">
        <v>1000000000</v>
      </c>
      <c r="BE342">
        <v>2</v>
      </c>
      <c r="BF342">
        <v>-1</v>
      </c>
      <c r="BG342">
        <v>0</v>
      </c>
      <c r="BH342">
        <v>0</v>
      </c>
      <c r="BI342">
        <v>0</v>
      </c>
      <c r="BJ342">
        <v>0</v>
      </c>
      <c r="BK342">
        <v>0</v>
      </c>
      <c r="BL342">
        <v>0</v>
      </c>
      <c r="BM342">
        <v>2</v>
      </c>
      <c r="BN342">
        <v>-1</v>
      </c>
      <c r="BO342">
        <v>0</v>
      </c>
      <c r="BP342">
        <v>0</v>
      </c>
      <c r="BR342">
        <v>0</v>
      </c>
      <c r="BS342">
        <v>1</v>
      </c>
      <c r="BX342">
        <v>0</v>
      </c>
      <c r="BY342">
        <v>264.79000000000002</v>
      </c>
      <c r="BZ342">
        <v>0</v>
      </c>
      <c r="CA342">
        <v>-11.91</v>
      </c>
      <c r="CC342">
        <v>1</v>
      </c>
      <c r="CD342" s="56">
        <v>42619</v>
      </c>
      <c r="CE342" s="56">
        <v>42619</v>
      </c>
      <c r="CF342" s="56">
        <v>42619</v>
      </c>
      <c r="CG342" s="56">
        <v>42647</v>
      </c>
      <c r="CH342" s="56"/>
      <c r="CI342" s="56"/>
      <c r="CJ342">
        <v>0</v>
      </c>
      <c r="CK342">
        <v>0</v>
      </c>
      <c r="CL342">
        <v>0</v>
      </c>
      <c r="CM342">
        <v>0</v>
      </c>
      <c r="CN342">
        <v>0</v>
      </c>
      <c r="CO342">
        <v>0</v>
      </c>
      <c r="CP342">
        <v>0.65</v>
      </c>
      <c r="CQ342" t="s">
        <v>1378</v>
      </c>
      <c r="CR342" t="s">
        <v>1377</v>
      </c>
      <c r="CS342" t="s">
        <v>1451</v>
      </c>
      <c r="CT342" t="s">
        <v>1724</v>
      </c>
      <c r="CU342" t="s">
        <v>1742</v>
      </c>
      <c r="CV342" t="s">
        <v>2223</v>
      </c>
      <c r="DB342" t="s">
        <v>2161</v>
      </c>
      <c r="DE342" t="s">
        <v>1724</v>
      </c>
    </row>
    <row r="343" spans="1:109" x14ac:dyDescent="0.25">
      <c r="A343" t="s">
        <v>1378</v>
      </c>
      <c r="B343">
        <v>1</v>
      </c>
      <c r="C343" s="56">
        <v>42640</v>
      </c>
      <c r="D343" t="s">
        <v>1449</v>
      </c>
      <c r="E343" t="s">
        <v>1942</v>
      </c>
      <c r="G343" t="s">
        <v>1144</v>
      </c>
      <c r="H343" t="s">
        <v>1144</v>
      </c>
      <c r="I343" t="s">
        <v>1144</v>
      </c>
      <c r="J343" t="s">
        <v>1144</v>
      </c>
      <c r="K343" t="s">
        <v>1144</v>
      </c>
      <c r="L343">
        <v>109.94</v>
      </c>
      <c r="M343">
        <v>230.18</v>
      </c>
      <c r="N343">
        <v>0</v>
      </c>
      <c r="O343" s="56"/>
      <c r="P343" s="56"/>
      <c r="Q343">
        <v>13718</v>
      </c>
      <c r="R343">
        <v>9</v>
      </c>
      <c r="S343">
        <v>4</v>
      </c>
      <c r="T343">
        <v>2</v>
      </c>
      <c r="U343">
        <v>2</v>
      </c>
      <c r="V343">
        <v>1</v>
      </c>
      <c r="X343" t="s">
        <v>2385</v>
      </c>
      <c r="AA343">
        <v>0</v>
      </c>
      <c r="AB343">
        <v>0</v>
      </c>
      <c r="AC343">
        <v>0</v>
      </c>
      <c r="AD343">
        <v>0</v>
      </c>
      <c r="AE343">
        <v>0</v>
      </c>
      <c r="AF343">
        <v>0</v>
      </c>
      <c r="AG343">
        <v>0</v>
      </c>
      <c r="AJ343" s="56"/>
      <c r="AK343" s="56"/>
      <c r="AL343" s="56"/>
      <c r="AP343" t="s">
        <v>1450</v>
      </c>
      <c r="AS343" t="s">
        <v>1152</v>
      </c>
      <c r="AT343">
        <v>1</v>
      </c>
      <c r="AV343">
        <v>0</v>
      </c>
      <c r="AW343">
        <v>0</v>
      </c>
      <c r="AX343">
        <v>0</v>
      </c>
      <c r="AY343" t="s">
        <v>1375</v>
      </c>
      <c r="AZ343" t="s">
        <v>1375</v>
      </c>
      <c r="BA343">
        <v>2</v>
      </c>
      <c r="BD343">
        <v>1000000000</v>
      </c>
      <c r="BE343">
        <v>4</v>
      </c>
      <c r="BF343">
        <v>0</v>
      </c>
      <c r="BG343">
        <v>0</v>
      </c>
      <c r="BH343">
        <v>0</v>
      </c>
      <c r="BI343">
        <v>0</v>
      </c>
      <c r="BJ343">
        <v>0</v>
      </c>
      <c r="BK343">
        <v>0</v>
      </c>
      <c r="BL343">
        <v>0</v>
      </c>
      <c r="BM343">
        <v>4</v>
      </c>
      <c r="BN343">
        <v>0</v>
      </c>
      <c r="BO343">
        <v>0</v>
      </c>
      <c r="BP343">
        <v>0</v>
      </c>
      <c r="BR343">
        <v>0</v>
      </c>
      <c r="BS343">
        <v>0</v>
      </c>
      <c r="BX343">
        <v>0</v>
      </c>
      <c r="BY343">
        <v>0</v>
      </c>
      <c r="BZ343">
        <v>0</v>
      </c>
      <c r="CA343">
        <v>0</v>
      </c>
      <c r="CC343">
        <v>1</v>
      </c>
      <c r="CD343" s="56">
        <v>42619</v>
      </c>
      <c r="CE343" s="56">
        <v>42619</v>
      </c>
      <c r="CF343" s="56">
        <v>42619</v>
      </c>
      <c r="CG343" s="56">
        <v>42647</v>
      </c>
      <c r="CH343" s="56"/>
      <c r="CI343" s="56"/>
      <c r="CJ343">
        <v>0</v>
      </c>
      <c r="CK343">
        <v>0</v>
      </c>
      <c r="CL343">
        <v>0</v>
      </c>
      <c r="CM343">
        <v>0</v>
      </c>
      <c r="CN343">
        <v>0</v>
      </c>
      <c r="CO343">
        <v>0</v>
      </c>
      <c r="CP343">
        <v>0.65</v>
      </c>
      <c r="CQ343" t="s">
        <v>1378</v>
      </c>
      <c r="CR343" t="s">
        <v>1377</v>
      </c>
      <c r="CS343" t="s">
        <v>1451</v>
      </c>
      <c r="CT343" t="s">
        <v>1724</v>
      </c>
      <c r="CU343" t="s">
        <v>1742</v>
      </c>
      <c r="CV343" t="s">
        <v>1936</v>
      </c>
      <c r="DB343" t="s">
        <v>1869</v>
      </c>
      <c r="DE343" t="s">
        <v>1724</v>
      </c>
    </row>
    <row r="344" spans="1:109" x14ac:dyDescent="0.25">
      <c r="A344" t="s">
        <v>1378</v>
      </c>
      <c r="B344">
        <v>1</v>
      </c>
      <c r="C344" s="56">
        <v>42640</v>
      </c>
      <c r="D344" t="s">
        <v>1449</v>
      </c>
      <c r="E344" t="s">
        <v>1922</v>
      </c>
      <c r="G344" t="s">
        <v>1144</v>
      </c>
      <c r="H344" t="s">
        <v>1144</v>
      </c>
      <c r="I344" t="s">
        <v>1144</v>
      </c>
      <c r="J344" t="s">
        <v>1144</v>
      </c>
      <c r="K344" t="s">
        <v>1144</v>
      </c>
      <c r="L344">
        <v>103.17</v>
      </c>
      <c r="M344">
        <v>230.18</v>
      </c>
      <c r="N344">
        <v>0</v>
      </c>
      <c r="O344" s="56"/>
      <c r="P344" s="56"/>
      <c r="Q344">
        <v>13718</v>
      </c>
      <c r="R344">
        <v>9</v>
      </c>
      <c r="S344">
        <v>4</v>
      </c>
      <c r="T344">
        <v>2</v>
      </c>
      <c r="U344">
        <v>2</v>
      </c>
      <c r="V344">
        <v>1</v>
      </c>
      <c r="X344" t="s">
        <v>2386</v>
      </c>
      <c r="AA344">
        <v>0</v>
      </c>
      <c r="AB344">
        <v>0</v>
      </c>
      <c r="AC344">
        <v>0</v>
      </c>
      <c r="AD344">
        <v>0</v>
      </c>
      <c r="AE344">
        <v>0</v>
      </c>
      <c r="AF344">
        <v>0</v>
      </c>
      <c r="AG344">
        <v>0</v>
      </c>
      <c r="AJ344" s="56"/>
      <c r="AK344" s="56"/>
      <c r="AL344" s="56"/>
      <c r="AP344" t="s">
        <v>1450</v>
      </c>
      <c r="AS344" t="s">
        <v>1152</v>
      </c>
      <c r="AT344">
        <v>1</v>
      </c>
      <c r="AV344">
        <v>0</v>
      </c>
      <c r="AW344">
        <v>0</v>
      </c>
      <c r="AX344">
        <v>0</v>
      </c>
      <c r="AY344" t="s">
        <v>1375</v>
      </c>
      <c r="AZ344" t="s">
        <v>1375</v>
      </c>
      <c r="BA344">
        <v>0</v>
      </c>
      <c r="BD344">
        <v>1000000000</v>
      </c>
      <c r="BE344">
        <v>0</v>
      </c>
      <c r="BF344">
        <v>0</v>
      </c>
      <c r="BG344">
        <v>0</v>
      </c>
      <c r="BH344">
        <v>0</v>
      </c>
      <c r="BI344">
        <v>0</v>
      </c>
      <c r="BJ344">
        <v>0</v>
      </c>
      <c r="BK344">
        <v>0</v>
      </c>
      <c r="BL344">
        <v>0</v>
      </c>
      <c r="BM344">
        <v>0</v>
      </c>
      <c r="BN344">
        <v>0</v>
      </c>
      <c r="BO344">
        <v>0</v>
      </c>
      <c r="BP344">
        <v>0</v>
      </c>
      <c r="BR344">
        <v>0</v>
      </c>
      <c r="BS344">
        <v>0</v>
      </c>
      <c r="BX344">
        <v>0</v>
      </c>
      <c r="BY344">
        <v>0</v>
      </c>
      <c r="BZ344">
        <v>0</v>
      </c>
      <c r="CA344">
        <v>0</v>
      </c>
      <c r="CC344">
        <v>1</v>
      </c>
      <c r="CD344" s="56">
        <v>42593</v>
      </c>
      <c r="CE344" s="56">
        <v>42612</v>
      </c>
      <c r="CF344" s="56">
        <v>42612</v>
      </c>
      <c r="CG344" s="56">
        <v>42640</v>
      </c>
      <c r="CH344" s="56"/>
      <c r="CI344" s="56"/>
      <c r="CJ344">
        <v>1</v>
      </c>
      <c r="CK344">
        <v>0</v>
      </c>
      <c r="CL344">
        <v>0.71</v>
      </c>
      <c r="CM344">
        <v>0</v>
      </c>
      <c r="CN344">
        <v>0</v>
      </c>
      <c r="CO344">
        <v>0</v>
      </c>
      <c r="CP344">
        <v>0</v>
      </c>
      <c r="CQ344" t="s">
        <v>1378</v>
      </c>
      <c r="CR344" t="s">
        <v>1377</v>
      </c>
      <c r="CS344" t="s">
        <v>1451</v>
      </c>
      <c r="CT344" t="s">
        <v>1724</v>
      </c>
      <c r="CU344" t="s">
        <v>1742</v>
      </c>
      <c r="CV344" t="s">
        <v>1921</v>
      </c>
      <c r="DB344" t="s">
        <v>1869</v>
      </c>
      <c r="DE344" t="s">
        <v>1724</v>
      </c>
    </row>
    <row r="345" spans="1:109" x14ac:dyDescent="0.25">
      <c r="A345" t="s">
        <v>1378</v>
      </c>
      <c r="B345">
        <v>1</v>
      </c>
      <c r="C345" s="56">
        <v>42640</v>
      </c>
      <c r="D345" t="s">
        <v>1449</v>
      </c>
      <c r="E345" t="s">
        <v>2270</v>
      </c>
      <c r="G345" t="s">
        <v>1144</v>
      </c>
      <c r="H345" t="s">
        <v>1144</v>
      </c>
      <c r="I345" t="s">
        <v>1144</v>
      </c>
      <c r="J345" t="s">
        <v>1144</v>
      </c>
      <c r="K345" t="s">
        <v>1144</v>
      </c>
      <c r="L345">
        <v>550.92999999999995</v>
      </c>
      <c r="M345">
        <v>2</v>
      </c>
      <c r="N345">
        <v>0</v>
      </c>
      <c r="O345" s="56"/>
      <c r="P345" s="56"/>
      <c r="Q345">
        <v>13718</v>
      </c>
      <c r="R345">
        <v>9</v>
      </c>
      <c r="S345">
        <v>4</v>
      </c>
      <c r="T345">
        <v>2</v>
      </c>
      <c r="U345">
        <v>2</v>
      </c>
      <c r="V345">
        <v>1</v>
      </c>
      <c r="W345" t="s">
        <v>1376</v>
      </c>
      <c r="X345" t="s">
        <v>2385</v>
      </c>
      <c r="AA345">
        <v>0</v>
      </c>
      <c r="AB345">
        <v>0</v>
      </c>
      <c r="AC345">
        <v>0</v>
      </c>
      <c r="AD345">
        <v>0</v>
      </c>
      <c r="AE345">
        <v>0</v>
      </c>
      <c r="AF345">
        <v>0</v>
      </c>
      <c r="AG345">
        <v>0</v>
      </c>
      <c r="AJ345" s="56"/>
      <c r="AK345" s="56"/>
      <c r="AL345" s="56"/>
      <c r="AM345">
        <v>1</v>
      </c>
      <c r="AP345" t="s">
        <v>1450</v>
      </c>
      <c r="AS345" t="s">
        <v>1152</v>
      </c>
      <c r="AT345">
        <v>1</v>
      </c>
      <c r="AV345">
        <v>2</v>
      </c>
      <c r="AW345">
        <v>2</v>
      </c>
      <c r="AX345">
        <v>1</v>
      </c>
      <c r="AY345" t="s">
        <v>1145</v>
      </c>
      <c r="AZ345" t="s">
        <v>1145</v>
      </c>
      <c r="BA345">
        <v>1</v>
      </c>
      <c r="BD345">
        <v>1000000000</v>
      </c>
      <c r="BE345">
        <v>2</v>
      </c>
      <c r="BF345">
        <v>0</v>
      </c>
      <c r="BG345">
        <v>0</v>
      </c>
      <c r="BH345">
        <v>0</v>
      </c>
      <c r="BI345">
        <v>0</v>
      </c>
      <c r="BJ345">
        <v>0</v>
      </c>
      <c r="BK345">
        <v>0</v>
      </c>
      <c r="BL345">
        <v>0</v>
      </c>
      <c r="BM345">
        <v>2</v>
      </c>
      <c r="BN345">
        <v>0</v>
      </c>
      <c r="BO345">
        <v>0</v>
      </c>
      <c r="BP345">
        <v>0</v>
      </c>
      <c r="BR345">
        <v>0</v>
      </c>
      <c r="BS345">
        <v>1</v>
      </c>
      <c r="BX345">
        <v>0</v>
      </c>
      <c r="BY345">
        <v>0</v>
      </c>
      <c r="BZ345">
        <v>0</v>
      </c>
      <c r="CA345">
        <v>-11.96</v>
      </c>
      <c r="CC345">
        <v>1</v>
      </c>
      <c r="CD345" s="56">
        <v>42619</v>
      </c>
      <c r="CE345" s="56">
        <v>42619</v>
      </c>
      <c r="CF345" s="56">
        <v>42619</v>
      </c>
      <c r="CG345" s="56">
        <v>42647</v>
      </c>
      <c r="CH345" s="56"/>
      <c r="CI345" s="56"/>
      <c r="CJ345">
        <v>0</v>
      </c>
      <c r="CK345">
        <v>0</v>
      </c>
      <c r="CL345">
        <v>0</v>
      </c>
      <c r="CM345">
        <v>0</v>
      </c>
      <c r="CN345">
        <v>0.65</v>
      </c>
      <c r="CO345">
        <v>0</v>
      </c>
      <c r="CP345">
        <v>0</v>
      </c>
      <c r="CQ345" t="s">
        <v>1378</v>
      </c>
      <c r="CR345" t="s">
        <v>1377</v>
      </c>
      <c r="CS345" t="s">
        <v>1451</v>
      </c>
      <c r="CT345" t="s">
        <v>1724</v>
      </c>
      <c r="CU345" t="s">
        <v>1742</v>
      </c>
      <c r="CV345" t="s">
        <v>2271</v>
      </c>
      <c r="DB345" t="s">
        <v>2265</v>
      </c>
      <c r="DE345" t="s">
        <v>1724</v>
      </c>
    </row>
    <row r="346" spans="1:109" x14ac:dyDescent="0.25">
      <c r="A346" t="s">
        <v>1378</v>
      </c>
      <c r="B346">
        <v>1</v>
      </c>
      <c r="C346" s="56">
        <v>42640</v>
      </c>
      <c r="D346" t="s">
        <v>1449</v>
      </c>
      <c r="E346" t="s">
        <v>1417</v>
      </c>
      <c r="G346" t="s">
        <v>1144</v>
      </c>
      <c r="H346" t="s">
        <v>1144</v>
      </c>
      <c r="I346" t="s">
        <v>1144</v>
      </c>
      <c r="J346" t="s">
        <v>1144</v>
      </c>
      <c r="K346" t="s">
        <v>1144</v>
      </c>
      <c r="L346">
        <v>544.6</v>
      </c>
      <c r="M346">
        <v>1056.52</v>
      </c>
      <c r="N346">
        <v>0</v>
      </c>
      <c r="O346" s="56"/>
      <c r="P346" s="56"/>
      <c r="Q346">
        <v>13718</v>
      </c>
      <c r="R346">
        <v>9</v>
      </c>
      <c r="S346">
        <v>4</v>
      </c>
      <c r="T346">
        <v>2</v>
      </c>
      <c r="U346">
        <v>2</v>
      </c>
      <c r="V346">
        <v>1</v>
      </c>
      <c r="W346" t="s">
        <v>2379</v>
      </c>
      <c r="X346" t="s">
        <v>2386</v>
      </c>
      <c r="AA346">
        <v>0.55000000000000004</v>
      </c>
      <c r="AB346">
        <v>4</v>
      </c>
      <c r="AC346">
        <v>2.73</v>
      </c>
      <c r="AD346">
        <v>2.73</v>
      </c>
      <c r="AE346">
        <v>0</v>
      </c>
      <c r="AF346">
        <v>0</v>
      </c>
      <c r="AG346">
        <v>0</v>
      </c>
      <c r="AJ346" s="56"/>
      <c r="AK346" s="56">
        <v>42369</v>
      </c>
      <c r="AL346" s="56">
        <v>42322</v>
      </c>
      <c r="AM346">
        <v>6</v>
      </c>
      <c r="AP346" t="s">
        <v>1450</v>
      </c>
      <c r="AS346" t="s">
        <v>1152</v>
      </c>
      <c r="AT346">
        <v>1</v>
      </c>
      <c r="AV346">
        <v>6</v>
      </c>
      <c r="AW346">
        <v>4</v>
      </c>
      <c r="AX346">
        <v>2</v>
      </c>
      <c r="AY346" t="s">
        <v>1148</v>
      </c>
      <c r="AZ346" t="s">
        <v>1148</v>
      </c>
      <c r="BA346">
        <v>6</v>
      </c>
      <c r="BD346">
        <v>1000000000</v>
      </c>
      <c r="BE346">
        <v>6</v>
      </c>
      <c r="BF346">
        <v>0</v>
      </c>
      <c r="BG346">
        <v>0</v>
      </c>
      <c r="BH346">
        <v>0</v>
      </c>
      <c r="BI346">
        <v>0</v>
      </c>
      <c r="BJ346">
        <v>0</v>
      </c>
      <c r="BK346">
        <v>0</v>
      </c>
      <c r="BL346">
        <v>0</v>
      </c>
      <c r="BM346">
        <v>6</v>
      </c>
      <c r="BN346">
        <v>0</v>
      </c>
      <c r="BO346">
        <v>0</v>
      </c>
      <c r="BP346">
        <v>0</v>
      </c>
      <c r="BR346">
        <v>0</v>
      </c>
      <c r="BS346">
        <v>3</v>
      </c>
      <c r="BX346">
        <v>0</v>
      </c>
      <c r="BY346">
        <v>0</v>
      </c>
      <c r="BZ346">
        <v>0</v>
      </c>
      <c r="CA346">
        <v>11.28</v>
      </c>
      <c r="CC346">
        <v>1</v>
      </c>
      <c r="CD346" s="56">
        <v>42593</v>
      </c>
      <c r="CE346" s="56">
        <v>42612</v>
      </c>
      <c r="CF346" s="56">
        <v>42612</v>
      </c>
      <c r="CG346" s="56">
        <v>42640</v>
      </c>
      <c r="CH346" s="56"/>
      <c r="CI346" s="56"/>
      <c r="CJ346">
        <v>0.33</v>
      </c>
      <c r="CK346">
        <v>0</v>
      </c>
      <c r="CL346">
        <v>0</v>
      </c>
      <c r="CM346">
        <v>0.11</v>
      </c>
      <c r="CN346">
        <v>0</v>
      </c>
      <c r="CO346">
        <v>0.32</v>
      </c>
      <c r="CP346">
        <v>0.28999999999999998</v>
      </c>
      <c r="CQ346" t="s">
        <v>1378</v>
      </c>
      <c r="CR346" t="s">
        <v>1377</v>
      </c>
      <c r="CS346" t="s">
        <v>1451</v>
      </c>
      <c r="CT346" t="s">
        <v>1724</v>
      </c>
      <c r="CU346" t="s">
        <v>1742</v>
      </c>
      <c r="CV346" t="s">
        <v>1982</v>
      </c>
      <c r="DB346" t="s">
        <v>1978</v>
      </c>
      <c r="DE346" t="s">
        <v>1724</v>
      </c>
    </row>
    <row r="347" spans="1:109" x14ac:dyDescent="0.25">
      <c r="A347" t="s">
        <v>1378</v>
      </c>
      <c r="B347">
        <v>1</v>
      </c>
      <c r="C347" s="56">
        <v>42640</v>
      </c>
      <c r="D347" t="s">
        <v>1449</v>
      </c>
      <c r="E347" t="s">
        <v>2326</v>
      </c>
      <c r="G347" t="s">
        <v>1144</v>
      </c>
      <c r="H347" t="s">
        <v>1144</v>
      </c>
      <c r="I347" t="s">
        <v>1144</v>
      </c>
      <c r="J347" t="s">
        <v>1144</v>
      </c>
      <c r="K347" t="s">
        <v>1144</v>
      </c>
      <c r="L347">
        <v>472.27</v>
      </c>
      <c r="M347">
        <v>2</v>
      </c>
      <c r="N347">
        <v>0</v>
      </c>
      <c r="O347" s="56"/>
      <c r="P347" s="56"/>
      <c r="Q347">
        <v>13718</v>
      </c>
      <c r="R347">
        <v>9</v>
      </c>
      <c r="S347">
        <v>4</v>
      </c>
      <c r="T347">
        <v>2</v>
      </c>
      <c r="U347">
        <v>2</v>
      </c>
      <c r="V347">
        <v>1</v>
      </c>
      <c r="W347" t="s">
        <v>2379</v>
      </c>
      <c r="X347" t="s">
        <v>2386</v>
      </c>
      <c r="AA347">
        <v>0.04</v>
      </c>
      <c r="AB347">
        <v>1</v>
      </c>
      <c r="AC347">
        <v>18.75</v>
      </c>
      <c r="AD347">
        <v>18.75</v>
      </c>
      <c r="AE347">
        <v>0</v>
      </c>
      <c r="AF347">
        <v>0</v>
      </c>
      <c r="AG347">
        <v>0</v>
      </c>
      <c r="AJ347" s="56"/>
      <c r="AK347" s="56"/>
      <c r="AL347" s="56"/>
      <c r="AM347">
        <v>3</v>
      </c>
      <c r="AP347" t="s">
        <v>1450</v>
      </c>
      <c r="AS347" t="s">
        <v>1152</v>
      </c>
      <c r="AT347">
        <v>1</v>
      </c>
      <c r="AV347">
        <v>3</v>
      </c>
      <c r="AW347">
        <v>2</v>
      </c>
      <c r="AX347">
        <v>1</v>
      </c>
      <c r="AY347" t="s">
        <v>1148</v>
      </c>
      <c r="AZ347" t="s">
        <v>1148</v>
      </c>
      <c r="BA347">
        <v>3</v>
      </c>
      <c r="BD347">
        <v>1000000000</v>
      </c>
      <c r="BE347">
        <v>3</v>
      </c>
      <c r="BF347">
        <v>0</v>
      </c>
      <c r="BG347">
        <v>0</v>
      </c>
      <c r="BH347">
        <v>0</v>
      </c>
      <c r="BI347">
        <v>0</v>
      </c>
      <c r="BJ347">
        <v>0</v>
      </c>
      <c r="BK347">
        <v>0</v>
      </c>
      <c r="BL347">
        <v>0</v>
      </c>
      <c r="BM347">
        <v>3</v>
      </c>
      <c r="BN347">
        <v>0</v>
      </c>
      <c r="BO347">
        <v>0</v>
      </c>
      <c r="BP347">
        <v>0</v>
      </c>
      <c r="BR347">
        <v>0</v>
      </c>
      <c r="BS347">
        <v>2</v>
      </c>
      <c r="BX347">
        <v>0</v>
      </c>
      <c r="BY347">
        <v>0</v>
      </c>
      <c r="BZ347">
        <v>0</v>
      </c>
      <c r="CA347">
        <v>-11.95</v>
      </c>
      <c r="CC347">
        <v>1</v>
      </c>
      <c r="CD347" s="56">
        <v>42593</v>
      </c>
      <c r="CE347" s="56">
        <v>42612</v>
      </c>
      <c r="CF347" s="56">
        <v>42612</v>
      </c>
      <c r="CG347" s="56">
        <v>42640</v>
      </c>
      <c r="CH347" s="56"/>
      <c r="CI347" s="56"/>
      <c r="CJ347">
        <v>0</v>
      </c>
      <c r="CK347">
        <v>0</v>
      </c>
      <c r="CL347">
        <v>0</v>
      </c>
      <c r="CM347">
        <v>0</v>
      </c>
      <c r="CN347">
        <v>0</v>
      </c>
      <c r="CO347">
        <v>0.71</v>
      </c>
      <c r="CP347">
        <v>0</v>
      </c>
      <c r="CQ347" t="s">
        <v>1378</v>
      </c>
      <c r="CR347" t="s">
        <v>1377</v>
      </c>
      <c r="CS347" t="s">
        <v>1451</v>
      </c>
      <c r="CT347" t="s">
        <v>1724</v>
      </c>
      <c r="CU347" t="s">
        <v>1742</v>
      </c>
      <c r="CV347" t="s">
        <v>2327</v>
      </c>
      <c r="DB347" t="s">
        <v>2324</v>
      </c>
      <c r="DE347" t="s">
        <v>1724</v>
      </c>
    </row>
    <row r="348" spans="1:109" x14ac:dyDescent="0.25">
      <c r="A348" t="s">
        <v>1378</v>
      </c>
      <c r="B348">
        <v>1</v>
      </c>
      <c r="C348" s="56">
        <v>42640</v>
      </c>
      <c r="D348" t="s">
        <v>1449</v>
      </c>
      <c r="E348" t="s">
        <v>1473</v>
      </c>
      <c r="G348" t="s">
        <v>1144</v>
      </c>
      <c r="H348" t="s">
        <v>1144</v>
      </c>
      <c r="I348" t="s">
        <v>1144</v>
      </c>
      <c r="J348" t="s">
        <v>1144</v>
      </c>
      <c r="K348" t="s">
        <v>1144</v>
      </c>
      <c r="L348">
        <v>187.77</v>
      </c>
      <c r="M348">
        <v>2</v>
      </c>
      <c r="N348">
        <v>0</v>
      </c>
      <c r="O348" s="56"/>
      <c r="P348" s="56"/>
      <c r="Q348">
        <v>13718</v>
      </c>
      <c r="R348">
        <v>9</v>
      </c>
      <c r="S348">
        <v>4</v>
      </c>
      <c r="T348">
        <v>2</v>
      </c>
      <c r="U348">
        <v>2</v>
      </c>
      <c r="V348">
        <v>1</v>
      </c>
      <c r="X348" t="s">
        <v>2387</v>
      </c>
      <c r="AA348">
        <v>0.08</v>
      </c>
      <c r="AB348">
        <v>1</v>
      </c>
      <c r="AC348">
        <v>6.25</v>
      </c>
      <c r="AD348">
        <v>9.3800000000000008</v>
      </c>
      <c r="AE348">
        <v>0</v>
      </c>
      <c r="AF348">
        <v>0</v>
      </c>
      <c r="AG348">
        <v>0</v>
      </c>
      <c r="AJ348" s="56"/>
      <c r="AK348" s="56">
        <v>42369</v>
      </c>
      <c r="AL348" s="56"/>
      <c r="AM348">
        <v>1</v>
      </c>
      <c r="AP348" t="s">
        <v>1450</v>
      </c>
      <c r="AS348" t="s">
        <v>1152</v>
      </c>
      <c r="AT348">
        <v>1</v>
      </c>
      <c r="AV348">
        <v>2</v>
      </c>
      <c r="AW348">
        <v>2</v>
      </c>
      <c r="AX348">
        <v>1</v>
      </c>
      <c r="AY348" t="s">
        <v>1147</v>
      </c>
      <c r="AZ348" t="s">
        <v>1147</v>
      </c>
      <c r="BA348">
        <v>1</v>
      </c>
      <c r="BD348">
        <v>1000000000</v>
      </c>
      <c r="BE348">
        <v>3</v>
      </c>
      <c r="BF348">
        <v>-0.5</v>
      </c>
      <c r="BG348">
        <v>0</v>
      </c>
      <c r="BH348">
        <v>0</v>
      </c>
      <c r="BI348">
        <v>0</v>
      </c>
      <c r="BJ348">
        <v>0</v>
      </c>
      <c r="BK348">
        <v>0</v>
      </c>
      <c r="BL348">
        <v>0</v>
      </c>
      <c r="BM348">
        <v>3</v>
      </c>
      <c r="BN348">
        <v>-0.5</v>
      </c>
      <c r="BO348">
        <v>0</v>
      </c>
      <c r="BP348">
        <v>0</v>
      </c>
      <c r="BR348">
        <v>0</v>
      </c>
      <c r="BS348">
        <v>1</v>
      </c>
      <c r="BX348">
        <v>0</v>
      </c>
      <c r="BY348">
        <v>187.77</v>
      </c>
      <c r="BZ348">
        <v>0</v>
      </c>
      <c r="CA348">
        <v>-11.87</v>
      </c>
      <c r="CC348">
        <v>1</v>
      </c>
      <c r="CD348" s="56">
        <v>42592</v>
      </c>
      <c r="CE348" s="56">
        <v>42612</v>
      </c>
      <c r="CF348" s="56">
        <v>42612</v>
      </c>
      <c r="CG348" s="56">
        <v>42640</v>
      </c>
      <c r="CH348" s="56"/>
      <c r="CI348" s="56"/>
      <c r="CJ348">
        <v>0</v>
      </c>
      <c r="CK348">
        <v>0</v>
      </c>
      <c r="CL348">
        <v>0</v>
      </c>
      <c r="CM348">
        <v>0</v>
      </c>
      <c r="CN348">
        <v>0</v>
      </c>
      <c r="CO348">
        <v>0</v>
      </c>
      <c r="CP348">
        <v>0.71</v>
      </c>
      <c r="CQ348" t="s">
        <v>1378</v>
      </c>
      <c r="CR348" t="s">
        <v>1377</v>
      </c>
      <c r="CS348" t="s">
        <v>1451</v>
      </c>
      <c r="CT348" t="s">
        <v>1724</v>
      </c>
      <c r="CU348" t="s">
        <v>1742</v>
      </c>
      <c r="CV348" t="s">
        <v>2027</v>
      </c>
      <c r="DB348" t="s">
        <v>2014</v>
      </c>
      <c r="DE348" t="s">
        <v>1724</v>
      </c>
    </row>
    <row r="349" spans="1:109" x14ac:dyDescent="0.25">
      <c r="A349" t="s">
        <v>1378</v>
      </c>
      <c r="B349">
        <v>1</v>
      </c>
      <c r="C349" s="56">
        <v>42640</v>
      </c>
      <c r="D349" t="s">
        <v>1449</v>
      </c>
      <c r="E349" t="s">
        <v>1439</v>
      </c>
      <c r="G349" t="s">
        <v>1144</v>
      </c>
      <c r="H349" t="s">
        <v>1144</v>
      </c>
      <c r="I349" t="s">
        <v>1144</v>
      </c>
      <c r="J349" t="s">
        <v>1144</v>
      </c>
      <c r="K349" t="s">
        <v>1144</v>
      </c>
      <c r="L349">
        <v>119.44</v>
      </c>
      <c r="M349">
        <v>293.95</v>
      </c>
      <c r="N349">
        <v>0</v>
      </c>
      <c r="O349" s="56"/>
      <c r="P349" s="56"/>
      <c r="Q349">
        <v>13718</v>
      </c>
      <c r="R349">
        <v>9</v>
      </c>
      <c r="S349">
        <v>4</v>
      </c>
      <c r="T349">
        <v>2</v>
      </c>
      <c r="U349">
        <v>2</v>
      </c>
      <c r="V349">
        <v>1</v>
      </c>
      <c r="X349" t="s">
        <v>2385</v>
      </c>
      <c r="AA349">
        <v>0.55000000000000004</v>
      </c>
      <c r="AB349">
        <v>4</v>
      </c>
      <c r="AC349">
        <v>1.82</v>
      </c>
      <c r="AD349">
        <v>3.64</v>
      </c>
      <c r="AE349">
        <v>0</v>
      </c>
      <c r="AF349">
        <v>0</v>
      </c>
      <c r="AG349">
        <v>0</v>
      </c>
      <c r="AJ349" s="56"/>
      <c r="AK349" s="56"/>
      <c r="AL349" s="56">
        <v>42322</v>
      </c>
      <c r="AM349">
        <v>5</v>
      </c>
      <c r="AP349" t="s">
        <v>1450</v>
      </c>
      <c r="AS349" t="s">
        <v>1152</v>
      </c>
      <c r="AT349">
        <v>1</v>
      </c>
      <c r="AV349">
        <v>4</v>
      </c>
      <c r="AW349">
        <v>3</v>
      </c>
      <c r="AX349">
        <v>1</v>
      </c>
      <c r="AY349" t="s">
        <v>1147</v>
      </c>
      <c r="AZ349" t="s">
        <v>1147</v>
      </c>
      <c r="BA349">
        <v>5</v>
      </c>
      <c r="BD349">
        <v>1000000000</v>
      </c>
      <c r="BE349">
        <v>8</v>
      </c>
      <c r="BF349">
        <v>-1</v>
      </c>
      <c r="BG349">
        <v>0</v>
      </c>
      <c r="BH349">
        <v>0</v>
      </c>
      <c r="BI349">
        <v>0</v>
      </c>
      <c r="BJ349">
        <v>0</v>
      </c>
      <c r="BK349">
        <v>0</v>
      </c>
      <c r="BL349">
        <v>0</v>
      </c>
      <c r="BM349">
        <v>8</v>
      </c>
      <c r="BN349">
        <v>-1</v>
      </c>
      <c r="BO349">
        <v>0</v>
      </c>
      <c r="BP349">
        <v>0</v>
      </c>
      <c r="BR349">
        <v>0</v>
      </c>
      <c r="BS349">
        <v>2</v>
      </c>
      <c r="BX349">
        <v>0</v>
      </c>
      <c r="BY349">
        <v>477.76</v>
      </c>
      <c r="BZ349">
        <v>0</v>
      </c>
      <c r="CA349">
        <v>17.53</v>
      </c>
      <c r="CC349">
        <v>1</v>
      </c>
      <c r="CD349" s="56">
        <v>42619</v>
      </c>
      <c r="CE349" s="56">
        <v>42619</v>
      </c>
      <c r="CF349" s="56">
        <v>42619</v>
      </c>
      <c r="CG349" s="56">
        <v>42647</v>
      </c>
      <c r="CH349" s="56"/>
      <c r="CI349" s="56"/>
      <c r="CJ349">
        <v>0.06</v>
      </c>
      <c r="CK349">
        <v>0</v>
      </c>
      <c r="CL349">
        <v>0</v>
      </c>
      <c r="CM349">
        <v>0</v>
      </c>
      <c r="CN349">
        <v>0</v>
      </c>
      <c r="CO349">
        <v>0</v>
      </c>
      <c r="CP349">
        <v>0.65</v>
      </c>
      <c r="CQ349" t="s">
        <v>1378</v>
      </c>
      <c r="CR349" t="s">
        <v>1377</v>
      </c>
      <c r="CS349" t="s">
        <v>1451</v>
      </c>
      <c r="CT349" t="s">
        <v>1724</v>
      </c>
      <c r="CU349" t="s">
        <v>1742</v>
      </c>
      <c r="CV349" t="s">
        <v>2080</v>
      </c>
      <c r="DB349" t="s">
        <v>2059</v>
      </c>
      <c r="DE349" t="s">
        <v>1724</v>
      </c>
    </row>
    <row r="350" spans="1:109" x14ac:dyDescent="0.25">
      <c r="A350" t="s">
        <v>1378</v>
      </c>
      <c r="B350">
        <v>1</v>
      </c>
      <c r="C350" s="56">
        <v>42640</v>
      </c>
      <c r="D350" t="s">
        <v>1449</v>
      </c>
      <c r="E350" t="s">
        <v>1771</v>
      </c>
      <c r="G350" t="s">
        <v>1144</v>
      </c>
      <c r="H350" t="s">
        <v>1144</v>
      </c>
      <c r="I350" t="s">
        <v>1144</v>
      </c>
      <c r="J350" t="s">
        <v>1144</v>
      </c>
      <c r="K350" t="s">
        <v>1144</v>
      </c>
      <c r="L350">
        <v>169.07</v>
      </c>
      <c r="M350">
        <v>361.16</v>
      </c>
      <c r="N350">
        <v>0</v>
      </c>
      <c r="O350" s="56"/>
      <c r="P350" s="56"/>
      <c r="Q350">
        <v>13718</v>
      </c>
      <c r="R350">
        <v>9</v>
      </c>
      <c r="S350">
        <v>4</v>
      </c>
      <c r="T350">
        <v>2</v>
      </c>
      <c r="U350">
        <v>2</v>
      </c>
      <c r="V350">
        <v>1</v>
      </c>
      <c r="X350" t="s">
        <v>2385</v>
      </c>
      <c r="AA350">
        <v>0</v>
      </c>
      <c r="AB350">
        <v>0</v>
      </c>
      <c r="AC350">
        <v>0</v>
      </c>
      <c r="AD350">
        <v>0</v>
      </c>
      <c r="AE350">
        <v>0</v>
      </c>
      <c r="AF350">
        <v>0</v>
      </c>
      <c r="AG350">
        <v>0</v>
      </c>
      <c r="AJ350" s="56"/>
      <c r="AK350" s="56">
        <v>42369</v>
      </c>
      <c r="AL350" s="56"/>
      <c r="AM350">
        <v>5</v>
      </c>
      <c r="AP350" t="s">
        <v>1450</v>
      </c>
      <c r="AS350" t="s">
        <v>1152</v>
      </c>
      <c r="AT350">
        <v>1</v>
      </c>
      <c r="AV350">
        <v>3</v>
      </c>
      <c r="AW350">
        <v>2</v>
      </c>
      <c r="AX350">
        <v>1</v>
      </c>
      <c r="AY350" t="s">
        <v>1147</v>
      </c>
      <c r="AZ350" t="s">
        <v>1147</v>
      </c>
      <c r="BA350">
        <v>6</v>
      </c>
      <c r="BD350">
        <v>1000000000</v>
      </c>
      <c r="BE350">
        <v>5</v>
      </c>
      <c r="BF350">
        <v>-0.67</v>
      </c>
      <c r="BG350">
        <v>0</v>
      </c>
      <c r="BH350">
        <v>0</v>
      </c>
      <c r="BI350">
        <v>0</v>
      </c>
      <c r="BJ350">
        <v>0</v>
      </c>
      <c r="BK350">
        <v>0</v>
      </c>
      <c r="BL350">
        <v>0</v>
      </c>
      <c r="BM350">
        <v>5</v>
      </c>
      <c r="BN350">
        <v>-0.67</v>
      </c>
      <c r="BO350">
        <v>0</v>
      </c>
      <c r="BP350">
        <v>0</v>
      </c>
      <c r="BR350">
        <v>0</v>
      </c>
      <c r="BS350">
        <v>2</v>
      </c>
      <c r="BX350">
        <v>0</v>
      </c>
      <c r="BY350">
        <v>338.14</v>
      </c>
      <c r="BZ350">
        <v>0</v>
      </c>
      <c r="CA350">
        <v>13.63</v>
      </c>
      <c r="CC350">
        <v>1</v>
      </c>
      <c r="CD350" s="56">
        <v>42619</v>
      </c>
      <c r="CE350" s="56">
        <v>42619</v>
      </c>
      <c r="CF350" s="56">
        <v>42619</v>
      </c>
      <c r="CG350" s="56">
        <v>42647</v>
      </c>
      <c r="CH350" s="56"/>
      <c r="CI350" s="56"/>
      <c r="CJ350">
        <v>0</v>
      </c>
      <c r="CK350">
        <v>0</v>
      </c>
      <c r="CL350">
        <v>0</v>
      </c>
      <c r="CM350">
        <v>0</v>
      </c>
      <c r="CN350">
        <v>0</v>
      </c>
      <c r="CO350">
        <v>0</v>
      </c>
      <c r="CP350">
        <v>0.65</v>
      </c>
      <c r="CQ350" t="s">
        <v>1378</v>
      </c>
      <c r="CR350" t="s">
        <v>1377</v>
      </c>
      <c r="CS350" t="s">
        <v>1451</v>
      </c>
      <c r="CT350" t="s">
        <v>1724</v>
      </c>
      <c r="CU350" t="s">
        <v>1742</v>
      </c>
      <c r="CV350" t="s">
        <v>1772</v>
      </c>
      <c r="DB350" t="s">
        <v>1762</v>
      </c>
      <c r="DE350" t="s">
        <v>1724</v>
      </c>
    </row>
    <row r="351" spans="1:109" x14ac:dyDescent="0.25">
      <c r="A351" t="s">
        <v>1378</v>
      </c>
      <c r="B351">
        <v>1</v>
      </c>
      <c r="C351" s="56">
        <v>42640</v>
      </c>
      <c r="D351" t="s">
        <v>1449</v>
      </c>
      <c r="E351" t="s">
        <v>2136</v>
      </c>
      <c r="G351" t="s">
        <v>1144</v>
      </c>
      <c r="H351" t="s">
        <v>1144</v>
      </c>
      <c r="I351" t="s">
        <v>1144</v>
      </c>
      <c r="J351" t="s">
        <v>1144</v>
      </c>
      <c r="K351" t="s">
        <v>1144</v>
      </c>
      <c r="L351">
        <v>343.15</v>
      </c>
      <c r="M351">
        <v>2</v>
      </c>
      <c r="N351">
        <v>0</v>
      </c>
      <c r="O351" s="56"/>
      <c r="P351" s="56"/>
      <c r="Q351">
        <v>13718</v>
      </c>
      <c r="R351">
        <v>9</v>
      </c>
      <c r="S351">
        <v>4</v>
      </c>
      <c r="T351">
        <v>2</v>
      </c>
      <c r="U351">
        <v>2</v>
      </c>
      <c r="V351">
        <v>1</v>
      </c>
      <c r="X351" t="s">
        <v>2386</v>
      </c>
      <c r="AA351">
        <v>0</v>
      </c>
      <c r="AB351">
        <v>0</v>
      </c>
      <c r="AC351">
        <v>0</v>
      </c>
      <c r="AD351">
        <v>0</v>
      </c>
      <c r="AE351">
        <v>0</v>
      </c>
      <c r="AF351">
        <v>0</v>
      </c>
      <c r="AG351">
        <v>0</v>
      </c>
      <c r="AJ351" s="56"/>
      <c r="AK351" s="56">
        <v>42369</v>
      </c>
      <c r="AL351" s="56"/>
      <c r="AM351">
        <v>1</v>
      </c>
      <c r="AP351" t="s">
        <v>1450</v>
      </c>
      <c r="AS351" t="s">
        <v>1152</v>
      </c>
      <c r="AT351">
        <v>1</v>
      </c>
      <c r="AV351">
        <v>1</v>
      </c>
      <c r="AW351">
        <v>1</v>
      </c>
      <c r="AX351">
        <v>0.5</v>
      </c>
      <c r="AY351" t="s">
        <v>1147</v>
      </c>
      <c r="AZ351" t="s">
        <v>1147</v>
      </c>
      <c r="BA351">
        <v>1</v>
      </c>
      <c r="BD351">
        <v>1000000000</v>
      </c>
      <c r="BE351">
        <v>2</v>
      </c>
      <c r="BF351">
        <v>-1</v>
      </c>
      <c r="BG351">
        <v>0</v>
      </c>
      <c r="BH351">
        <v>0</v>
      </c>
      <c r="BI351">
        <v>0</v>
      </c>
      <c r="BJ351">
        <v>0</v>
      </c>
      <c r="BK351">
        <v>0</v>
      </c>
      <c r="BL351">
        <v>0</v>
      </c>
      <c r="BM351">
        <v>2</v>
      </c>
      <c r="BN351">
        <v>-1</v>
      </c>
      <c r="BO351">
        <v>0</v>
      </c>
      <c r="BP351">
        <v>0</v>
      </c>
      <c r="BR351">
        <v>0</v>
      </c>
      <c r="BS351">
        <v>1</v>
      </c>
      <c r="BX351">
        <v>0</v>
      </c>
      <c r="BY351">
        <v>343.15</v>
      </c>
      <c r="BZ351">
        <v>0</v>
      </c>
      <c r="CA351">
        <v>-11.93</v>
      </c>
      <c r="CC351">
        <v>1</v>
      </c>
      <c r="CD351" s="56">
        <v>42593</v>
      </c>
      <c r="CE351" s="56">
        <v>42612</v>
      </c>
      <c r="CF351" s="56">
        <v>42612</v>
      </c>
      <c r="CG351" s="56">
        <v>42640</v>
      </c>
      <c r="CH351" s="56"/>
      <c r="CI351" s="56"/>
      <c r="CJ351">
        <v>0</v>
      </c>
      <c r="CK351">
        <v>0</v>
      </c>
      <c r="CL351">
        <v>0</v>
      </c>
      <c r="CM351">
        <v>0</v>
      </c>
      <c r="CN351">
        <v>0</v>
      </c>
      <c r="CO351">
        <v>0</v>
      </c>
      <c r="CP351">
        <v>0.71</v>
      </c>
      <c r="CQ351" t="s">
        <v>1378</v>
      </c>
      <c r="CR351" t="s">
        <v>1377</v>
      </c>
      <c r="CS351" t="s">
        <v>1451</v>
      </c>
      <c r="CT351" t="s">
        <v>1724</v>
      </c>
      <c r="CU351" t="s">
        <v>1742</v>
      </c>
      <c r="CV351" t="s">
        <v>2133</v>
      </c>
      <c r="DB351" t="s">
        <v>2134</v>
      </c>
      <c r="DE351" t="s">
        <v>1724</v>
      </c>
    </row>
    <row r="352" spans="1:109" x14ac:dyDescent="0.25">
      <c r="A352" t="s">
        <v>1378</v>
      </c>
      <c r="B352">
        <v>1</v>
      </c>
      <c r="C352" s="56">
        <v>42640</v>
      </c>
      <c r="D352" t="s">
        <v>1449</v>
      </c>
      <c r="E352" t="s">
        <v>1824</v>
      </c>
      <c r="G352" t="s">
        <v>1144</v>
      </c>
      <c r="H352" t="s">
        <v>1144</v>
      </c>
      <c r="I352" t="s">
        <v>1144</v>
      </c>
      <c r="J352" t="s">
        <v>1144</v>
      </c>
      <c r="K352" t="s">
        <v>1144</v>
      </c>
      <c r="L352">
        <v>1132.22</v>
      </c>
      <c r="M352">
        <v>2032.14</v>
      </c>
      <c r="N352">
        <v>0</v>
      </c>
      <c r="O352" s="56"/>
      <c r="P352" s="56"/>
      <c r="Q352">
        <v>13718</v>
      </c>
      <c r="R352">
        <v>9</v>
      </c>
      <c r="S352">
        <v>4</v>
      </c>
      <c r="T352">
        <v>2</v>
      </c>
      <c r="U352">
        <v>2</v>
      </c>
      <c r="V352">
        <v>1</v>
      </c>
      <c r="W352" t="s">
        <v>1376</v>
      </c>
      <c r="X352" t="s">
        <v>2385</v>
      </c>
      <c r="AA352">
        <v>0</v>
      </c>
      <c r="AB352">
        <v>0</v>
      </c>
      <c r="AC352">
        <v>0</v>
      </c>
      <c r="AD352">
        <v>0</v>
      </c>
      <c r="AE352">
        <v>0</v>
      </c>
      <c r="AF352">
        <v>0</v>
      </c>
      <c r="AG352">
        <v>0</v>
      </c>
      <c r="AJ352" s="56"/>
      <c r="AK352" s="56"/>
      <c r="AL352" s="56">
        <v>42322</v>
      </c>
      <c r="AM352">
        <v>5</v>
      </c>
      <c r="AP352" t="s">
        <v>1450</v>
      </c>
      <c r="AS352" t="s">
        <v>1152</v>
      </c>
      <c r="AT352">
        <v>1</v>
      </c>
      <c r="AV352">
        <v>3</v>
      </c>
      <c r="AW352">
        <v>2</v>
      </c>
      <c r="AX352">
        <v>1</v>
      </c>
      <c r="AY352" t="s">
        <v>1148</v>
      </c>
      <c r="AZ352" t="s">
        <v>1148</v>
      </c>
      <c r="BA352">
        <v>5</v>
      </c>
      <c r="BD352">
        <v>1000000000</v>
      </c>
      <c r="BE352">
        <v>3</v>
      </c>
      <c r="BF352">
        <v>0</v>
      </c>
      <c r="BG352">
        <v>0</v>
      </c>
      <c r="BH352">
        <v>0</v>
      </c>
      <c r="BI352">
        <v>0</v>
      </c>
      <c r="BJ352">
        <v>0</v>
      </c>
      <c r="BK352">
        <v>0</v>
      </c>
      <c r="BL352">
        <v>0</v>
      </c>
      <c r="BM352">
        <v>3</v>
      </c>
      <c r="BN352">
        <v>0</v>
      </c>
      <c r="BO352">
        <v>0</v>
      </c>
      <c r="BP352">
        <v>0</v>
      </c>
      <c r="BR352">
        <v>0</v>
      </c>
      <c r="BS352">
        <v>2</v>
      </c>
      <c r="BX352">
        <v>0</v>
      </c>
      <c r="BY352">
        <v>0</v>
      </c>
      <c r="BZ352">
        <v>0</v>
      </c>
      <c r="CA352">
        <v>9.5399999999999991</v>
      </c>
      <c r="CC352">
        <v>1</v>
      </c>
      <c r="CD352" s="56">
        <v>42619</v>
      </c>
      <c r="CE352" s="56">
        <v>42619</v>
      </c>
      <c r="CF352" s="56">
        <v>42619</v>
      </c>
      <c r="CG352" s="56">
        <v>42647</v>
      </c>
      <c r="CH352" s="56"/>
      <c r="CI352" s="56"/>
      <c r="CJ352">
        <v>0</v>
      </c>
      <c r="CK352">
        <v>0</v>
      </c>
      <c r="CL352">
        <v>0</v>
      </c>
      <c r="CM352">
        <v>0</v>
      </c>
      <c r="CN352">
        <v>0</v>
      </c>
      <c r="CO352">
        <v>0.65</v>
      </c>
      <c r="CP352">
        <v>0</v>
      </c>
      <c r="CQ352" t="s">
        <v>1378</v>
      </c>
      <c r="CR352" t="s">
        <v>1377</v>
      </c>
      <c r="CS352" t="s">
        <v>1451</v>
      </c>
      <c r="CT352" t="s">
        <v>1724</v>
      </c>
      <c r="CU352" t="s">
        <v>1742</v>
      </c>
      <c r="CV352" t="s">
        <v>1823</v>
      </c>
      <c r="DB352" t="s">
        <v>1794</v>
      </c>
      <c r="DE352" t="s">
        <v>1724</v>
      </c>
    </row>
    <row r="353" spans="1:109" x14ac:dyDescent="0.25">
      <c r="A353" t="s">
        <v>1378</v>
      </c>
      <c r="B353">
        <v>1</v>
      </c>
      <c r="C353" s="56">
        <v>42640</v>
      </c>
      <c r="D353" t="s">
        <v>1449</v>
      </c>
      <c r="E353" t="s">
        <v>2174</v>
      </c>
      <c r="G353" t="s">
        <v>1144</v>
      </c>
      <c r="H353" t="s">
        <v>1144</v>
      </c>
      <c r="I353" t="s">
        <v>1144</v>
      </c>
      <c r="J353" t="s">
        <v>1144</v>
      </c>
      <c r="K353" t="s">
        <v>1144</v>
      </c>
      <c r="L353">
        <v>448.74</v>
      </c>
      <c r="M353">
        <v>2</v>
      </c>
      <c r="N353">
        <v>0</v>
      </c>
      <c r="O353" s="56"/>
      <c r="P353" s="56"/>
      <c r="Q353">
        <v>13718</v>
      </c>
      <c r="R353">
        <v>9</v>
      </c>
      <c r="S353">
        <v>4</v>
      </c>
      <c r="T353">
        <v>2</v>
      </c>
      <c r="U353">
        <v>2</v>
      </c>
      <c r="V353">
        <v>1</v>
      </c>
      <c r="X353" t="s">
        <v>2385</v>
      </c>
      <c r="AA353">
        <v>0</v>
      </c>
      <c r="AB353">
        <v>0</v>
      </c>
      <c r="AC353">
        <v>0</v>
      </c>
      <c r="AD353">
        <v>0</v>
      </c>
      <c r="AE353">
        <v>0</v>
      </c>
      <c r="AF353">
        <v>0</v>
      </c>
      <c r="AG353">
        <v>0</v>
      </c>
      <c r="AJ353" s="56"/>
      <c r="AK353" s="56"/>
      <c r="AL353" s="56">
        <v>42322</v>
      </c>
      <c r="AM353">
        <v>1</v>
      </c>
      <c r="AP353" t="s">
        <v>1450</v>
      </c>
      <c r="AS353" t="s">
        <v>1152</v>
      </c>
      <c r="AT353">
        <v>1</v>
      </c>
      <c r="AV353">
        <v>1</v>
      </c>
      <c r="AW353">
        <v>1</v>
      </c>
      <c r="AX353">
        <v>0.5</v>
      </c>
      <c r="AY353" t="s">
        <v>1147</v>
      </c>
      <c r="AZ353" t="s">
        <v>1147</v>
      </c>
      <c r="BA353">
        <v>2</v>
      </c>
      <c r="BD353">
        <v>1000000000</v>
      </c>
      <c r="BE353">
        <v>2</v>
      </c>
      <c r="BF353">
        <v>-1</v>
      </c>
      <c r="BG353">
        <v>0</v>
      </c>
      <c r="BH353">
        <v>0</v>
      </c>
      <c r="BI353">
        <v>0</v>
      </c>
      <c r="BJ353">
        <v>0</v>
      </c>
      <c r="BK353">
        <v>0</v>
      </c>
      <c r="BL353">
        <v>0</v>
      </c>
      <c r="BM353">
        <v>2</v>
      </c>
      <c r="BN353">
        <v>-1</v>
      </c>
      <c r="BO353">
        <v>0</v>
      </c>
      <c r="BP353">
        <v>0</v>
      </c>
      <c r="BR353">
        <v>0</v>
      </c>
      <c r="BS353">
        <v>1</v>
      </c>
      <c r="BX353">
        <v>0</v>
      </c>
      <c r="BY353">
        <v>448.74</v>
      </c>
      <c r="BZ353">
        <v>0</v>
      </c>
      <c r="CA353">
        <v>-11.95</v>
      </c>
      <c r="CC353">
        <v>1</v>
      </c>
      <c r="CD353" s="56">
        <v>42619</v>
      </c>
      <c r="CE353" s="56">
        <v>42619</v>
      </c>
      <c r="CF353" s="56">
        <v>42619</v>
      </c>
      <c r="CG353" s="56">
        <v>42647</v>
      </c>
      <c r="CH353" s="56"/>
      <c r="CI353" s="56"/>
      <c r="CJ353">
        <v>0</v>
      </c>
      <c r="CK353">
        <v>0</v>
      </c>
      <c r="CL353">
        <v>0</v>
      </c>
      <c r="CM353">
        <v>0</v>
      </c>
      <c r="CN353">
        <v>0</v>
      </c>
      <c r="CO353">
        <v>0</v>
      </c>
      <c r="CP353">
        <v>0.65</v>
      </c>
      <c r="CQ353" t="s">
        <v>1378</v>
      </c>
      <c r="CR353" t="s">
        <v>1377</v>
      </c>
      <c r="CS353" t="s">
        <v>1451</v>
      </c>
      <c r="CT353" t="s">
        <v>1724</v>
      </c>
      <c r="CU353" t="s">
        <v>1742</v>
      </c>
      <c r="CV353" t="s">
        <v>2175</v>
      </c>
      <c r="DB353" t="s">
        <v>2161</v>
      </c>
      <c r="DE353" t="s">
        <v>1724</v>
      </c>
    </row>
    <row r="354" spans="1:109" x14ac:dyDescent="0.25">
      <c r="A354" t="s">
        <v>1378</v>
      </c>
      <c r="B354">
        <v>1</v>
      </c>
      <c r="C354" s="56">
        <v>42640</v>
      </c>
      <c r="D354" t="s">
        <v>1449</v>
      </c>
      <c r="E354" t="s">
        <v>1870</v>
      </c>
      <c r="G354" t="s">
        <v>1144</v>
      </c>
      <c r="H354" t="s">
        <v>1144</v>
      </c>
      <c r="I354" t="s">
        <v>1144</v>
      </c>
      <c r="J354" t="s">
        <v>1144</v>
      </c>
      <c r="K354" t="s">
        <v>1144</v>
      </c>
      <c r="L354">
        <v>91.13</v>
      </c>
      <c r="M354">
        <v>230.18</v>
      </c>
      <c r="N354">
        <v>0</v>
      </c>
      <c r="O354" s="56"/>
      <c r="P354" s="56"/>
      <c r="Q354">
        <v>13718</v>
      </c>
      <c r="R354">
        <v>9</v>
      </c>
      <c r="S354">
        <v>4</v>
      </c>
      <c r="T354">
        <v>2</v>
      </c>
      <c r="U354">
        <v>2</v>
      </c>
      <c r="V354">
        <v>1</v>
      </c>
      <c r="X354" t="s">
        <v>2385</v>
      </c>
      <c r="AA354">
        <v>0</v>
      </c>
      <c r="AB354">
        <v>0</v>
      </c>
      <c r="AC354">
        <v>0</v>
      </c>
      <c r="AD354">
        <v>0</v>
      </c>
      <c r="AE354">
        <v>0</v>
      </c>
      <c r="AF354">
        <v>0</v>
      </c>
      <c r="AG354">
        <v>0</v>
      </c>
      <c r="AJ354" s="56"/>
      <c r="AK354" s="56">
        <v>42369</v>
      </c>
      <c r="AL354" s="56"/>
      <c r="AM354">
        <v>5</v>
      </c>
      <c r="AP354" t="s">
        <v>1450</v>
      </c>
      <c r="AS354" t="s">
        <v>1152</v>
      </c>
      <c r="AT354">
        <v>1</v>
      </c>
      <c r="AV354">
        <v>3</v>
      </c>
      <c r="AW354">
        <v>2</v>
      </c>
      <c r="AX354">
        <v>1</v>
      </c>
      <c r="AY354" t="s">
        <v>1147</v>
      </c>
      <c r="AZ354" t="s">
        <v>1147</v>
      </c>
      <c r="BA354">
        <v>5</v>
      </c>
      <c r="BD354">
        <v>1000000000</v>
      </c>
      <c r="BE354">
        <v>4</v>
      </c>
      <c r="BF354">
        <v>-0.33</v>
      </c>
      <c r="BG354">
        <v>0</v>
      </c>
      <c r="BH354">
        <v>0</v>
      </c>
      <c r="BI354">
        <v>0</v>
      </c>
      <c r="BJ354">
        <v>0</v>
      </c>
      <c r="BK354">
        <v>0</v>
      </c>
      <c r="BL354">
        <v>0</v>
      </c>
      <c r="BM354">
        <v>4</v>
      </c>
      <c r="BN354">
        <v>-0.33</v>
      </c>
      <c r="BO354">
        <v>0</v>
      </c>
      <c r="BP354">
        <v>0</v>
      </c>
      <c r="BR354">
        <v>0</v>
      </c>
      <c r="BS354">
        <v>2</v>
      </c>
      <c r="BX354">
        <v>0</v>
      </c>
      <c r="BY354">
        <v>91.13</v>
      </c>
      <c r="BZ354">
        <v>0</v>
      </c>
      <c r="CA354">
        <v>18.309999999999999</v>
      </c>
      <c r="CC354">
        <v>1</v>
      </c>
      <c r="CD354" s="56">
        <v>42619</v>
      </c>
      <c r="CE354" s="56">
        <v>42619</v>
      </c>
      <c r="CF354" s="56">
        <v>42619</v>
      </c>
      <c r="CG354" s="56">
        <v>42647</v>
      </c>
      <c r="CH354" s="56"/>
      <c r="CI354" s="56"/>
      <c r="CJ354">
        <v>0</v>
      </c>
      <c r="CK354">
        <v>0</v>
      </c>
      <c r="CL354">
        <v>0</v>
      </c>
      <c r="CM354">
        <v>0</v>
      </c>
      <c r="CN354">
        <v>0</v>
      </c>
      <c r="CO354">
        <v>0</v>
      </c>
      <c r="CP354">
        <v>0.65</v>
      </c>
      <c r="CQ354" t="s">
        <v>1378</v>
      </c>
      <c r="CR354" t="s">
        <v>1377</v>
      </c>
      <c r="CS354" t="s">
        <v>1451</v>
      </c>
      <c r="CT354" t="s">
        <v>1724</v>
      </c>
      <c r="CU354" t="s">
        <v>1742</v>
      </c>
      <c r="CV354" t="s">
        <v>1871</v>
      </c>
      <c r="DB354" t="s">
        <v>1869</v>
      </c>
      <c r="DE354" t="s">
        <v>1724</v>
      </c>
    </row>
    <row r="355" spans="1:109" x14ac:dyDescent="0.25">
      <c r="A355" t="s">
        <v>1378</v>
      </c>
      <c r="B355">
        <v>1</v>
      </c>
      <c r="C355" s="56">
        <v>42640</v>
      </c>
      <c r="D355" t="s">
        <v>1449</v>
      </c>
      <c r="E355" t="s">
        <v>1431</v>
      </c>
      <c r="G355" t="s">
        <v>1144</v>
      </c>
      <c r="H355" t="s">
        <v>1144</v>
      </c>
      <c r="I355" t="s">
        <v>1144</v>
      </c>
      <c r="J355" t="s">
        <v>1144</v>
      </c>
      <c r="K355" t="s">
        <v>1144</v>
      </c>
      <c r="L355">
        <v>280.05</v>
      </c>
      <c r="M355">
        <v>732.52</v>
      </c>
      <c r="N355">
        <v>0</v>
      </c>
      <c r="O355" s="56"/>
      <c r="P355" s="56"/>
      <c r="Q355">
        <v>13718</v>
      </c>
      <c r="R355">
        <v>9</v>
      </c>
      <c r="S355">
        <v>4</v>
      </c>
      <c r="T355">
        <v>2</v>
      </c>
      <c r="U355">
        <v>2</v>
      </c>
      <c r="V355">
        <v>1</v>
      </c>
      <c r="W355" t="s">
        <v>1376</v>
      </c>
      <c r="X355" t="s">
        <v>2385</v>
      </c>
      <c r="AA355">
        <v>0.43</v>
      </c>
      <c r="AB355">
        <v>3</v>
      </c>
      <c r="AC355">
        <v>2.91</v>
      </c>
      <c r="AD355">
        <v>2.91</v>
      </c>
      <c r="AE355">
        <v>0</v>
      </c>
      <c r="AF355">
        <v>0</v>
      </c>
      <c r="AG355">
        <v>0</v>
      </c>
      <c r="AJ355" s="56"/>
      <c r="AK355" s="56"/>
      <c r="AL355" s="56"/>
      <c r="AM355">
        <v>6</v>
      </c>
      <c r="AP355" t="s">
        <v>1450</v>
      </c>
      <c r="AS355" t="s">
        <v>1152</v>
      </c>
      <c r="AT355">
        <v>1</v>
      </c>
      <c r="AV355">
        <v>5</v>
      </c>
      <c r="AW355">
        <v>3</v>
      </c>
      <c r="AX355">
        <v>2</v>
      </c>
      <c r="AY355" t="s">
        <v>1148</v>
      </c>
      <c r="AZ355" t="s">
        <v>1148</v>
      </c>
      <c r="BA355">
        <v>6</v>
      </c>
      <c r="BD355">
        <v>1000000000</v>
      </c>
      <c r="BE355">
        <v>5</v>
      </c>
      <c r="BF355">
        <v>0</v>
      </c>
      <c r="BG355">
        <v>0</v>
      </c>
      <c r="BH355">
        <v>0</v>
      </c>
      <c r="BI355">
        <v>0</v>
      </c>
      <c r="BJ355">
        <v>0</v>
      </c>
      <c r="BK355">
        <v>0</v>
      </c>
      <c r="BL355">
        <v>0</v>
      </c>
      <c r="BM355">
        <v>5</v>
      </c>
      <c r="BN355">
        <v>0</v>
      </c>
      <c r="BO355">
        <v>0</v>
      </c>
      <c r="BP355">
        <v>0</v>
      </c>
      <c r="BR355">
        <v>0</v>
      </c>
      <c r="BS355">
        <v>3</v>
      </c>
      <c r="BX355">
        <v>0</v>
      </c>
      <c r="BY355">
        <v>0</v>
      </c>
      <c r="BZ355">
        <v>0</v>
      </c>
      <c r="CA355">
        <v>19.39</v>
      </c>
      <c r="CC355">
        <v>1</v>
      </c>
      <c r="CD355" s="56">
        <v>42619</v>
      </c>
      <c r="CE355" s="56">
        <v>42619</v>
      </c>
      <c r="CF355" s="56">
        <v>42619</v>
      </c>
      <c r="CG355" s="56">
        <v>42647</v>
      </c>
      <c r="CH355" s="56"/>
      <c r="CI355" s="56"/>
      <c r="CJ355">
        <v>0.08</v>
      </c>
      <c r="CK355">
        <v>0</v>
      </c>
      <c r="CL355">
        <v>0</v>
      </c>
      <c r="CM355">
        <v>0</v>
      </c>
      <c r="CN355">
        <v>0</v>
      </c>
      <c r="CO355">
        <v>0.65</v>
      </c>
      <c r="CP355">
        <v>0</v>
      </c>
      <c r="CQ355" t="s">
        <v>1378</v>
      </c>
      <c r="CR355" t="s">
        <v>1377</v>
      </c>
      <c r="CS355" t="s">
        <v>1451</v>
      </c>
      <c r="CT355" t="s">
        <v>1724</v>
      </c>
      <c r="CU355" t="s">
        <v>1742</v>
      </c>
      <c r="CV355" t="s">
        <v>2011</v>
      </c>
      <c r="DB355" t="s">
        <v>1997</v>
      </c>
      <c r="DE355" t="s">
        <v>1724</v>
      </c>
    </row>
    <row r="356" spans="1:109" x14ac:dyDescent="0.25">
      <c r="A356" t="s">
        <v>1378</v>
      </c>
      <c r="B356">
        <v>1</v>
      </c>
      <c r="C356" s="56">
        <v>42640</v>
      </c>
      <c r="D356" t="s">
        <v>1449</v>
      </c>
      <c r="E356" t="s">
        <v>2365</v>
      </c>
      <c r="G356" t="s">
        <v>1144</v>
      </c>
      <c r="H356" t="s">
        <v>1144</v>
      </c>
      <c r="I356" t="s">
        <v>1144</v>
      </c>
      <c r="J356" t="s">
        <v>1144</v>
      </c>
      <c r="K356" t="s">
        <v>1144</v>
      </c>
      <c r="L356">
        <v>215.38</v>
      </c>
      <c r="M356">
        <v>878.08</v>
      </c>
      <c r="N356">
        <v>0</v>
      </c>
      <c r="O356" s="56"/>
      <c r="P356" s="56"/>
      <c r="Q356">
        <v>13718</v>
      </c>
      <c r="R356">
        <v>9</v>
      </c>
      <c r="S356">
        <v>4</v>
      </c>
      <c r="T356">
        <v>2</v>
      </c>
      <c r="U356">
        <v>2</v>
      </c>
      <c r="V356">
        <v>1</v>
      </c>
      <c r="X356" t="s">
        <v>2385</v>
      </c>
      <c r="AA356">
        <v>0.08</v>
      </c>
      <c r="AB356">
        <v>1</v>
      </c>
      <c r="AC356">
        <v>6.25</v>
      </c>
      <c r="AD356">
        <v>9.3800000000000008</v>
      </c>
      <c r="AE356">
        <v>0</v>
      </c>
      <c r="AF356">
        <v>0</v>
      </c>
      <c r="AG356">
        <v>0</v>
      </c>
      <c r="AJ356" s="56">
        <v>42666</v>
      </c>
      <c r="AK356" s="56"/>
      <c r="AL356" s="56"/>
      <c r="AM356">
        <v>4</v>
      </c>
      <c r="AP356" t="s">
        <v>1450</v>
      </c>
      <c r="AS356" t="s">
        <v>1152</v>
      </c>
      <c r="AT356">
        <v>1</v>
      </c>
      <c r="AV356">
        <v>2</v>
      </c>
      <c r="AW356">
        <v>2</v>
      </c>
      <c r="AX356">
        <v>1</v>
      </c>
      <c r="AY356" t="s">
        <v>1147</v>
      </c>
      <c r="AZ356" t="s">
        <v>1147</v>
      </c>
      <c r="BA356">
        <v>4</v>
      </c>
      <c r="BD356">
        <v>1000000000</v>
      </c>
      <c r="BE356">
        <v>3</v>
      </c>
      <c r="BF356">
        <v>-0.5</v>
      </c>
      <c r="BG356">
        <v>0</v>
      </c>
      <c r="BH356">
        <v>0</v>
      </c>
      <c r="BI356">
        <v>0</v>
      </c>
      <c r="BJ356">
        <v>0</v>
      </c>
      <c r="BK356">
        <v>0</v>
      </c>
      <c r="BL356">
        <v>0</v>
      </c>
      <c r="BM356">
        <v>3</v>
      </c>
      <c r="BN356">
        <v>-0.5</v>
      </c>
      <c r="BO356">
        <v>0</v>
      </c>
      <c r="BP356">
        <v>0</v>
      </c>
      <c r="BR356">
        <v>0</v>
      </c>
      <c r="BS356">
        <v>1</v>
      </c>
      <c r="BX356">
        <v>0</v>
      </c>
      <c r="BY356">
        <v>215.38</v>
      </c>
      <c r="BZ356">
        <v>0</v>
      </c>
      <c r="CA356">
        <v>36.92</v>
      </c>
      <c r="CC356">
        <v>1</v>
      </c>
      <c r="CD356" s="56">
        <v>42619</v>
      </c>
      <c r="CE356" s="56">
        <v>42619</v>
      </c>
      <c r="CF356" s="56">
        <v>42619</v>
      </c>
      <c r="CG356" s="56">
        <v>42647</v>
      </c>
      <c r="CH356" s="56"/>
      <c r="CI356" s="56"/>
      <c r="CJ356">
        <v>0</v>
      </c>
      <c r="CK356">
        <v>0</v>
      </c>
      <c r="CL356">
        <v>0</v>
      </c>
      <c r="CM356">
        <v>0</v>
      </c>
      <c r="CN356">
        <v>0</v>
      </c>
      <c r="CO356">
        <v>0</v>
      </c>
      <c r="CP356">
        <v>0.65</v>
      </c>
      <c r="CQ356" t="s">
        <v>1378</v>
      </c>
      <c r="CR356" t="s">
        <v>1377</v>
      </c>
      <c r="CS356" t="s">
        <v>1451</v>
      </c>
      <c r="CT356" t="s">
        <v>1724</v>
      </c>
      <c r="CU356" t="s">
        <v>1742</v>
      </c>
      <c r="CV356" t="s">
        <v>2366</v>
      </c>
      <c r="DB356" t="s">
        <v>2351</v>
      </c>
      <c r="DE356" t="s">
        <v>1724</v>
      </c>
    </row>
    <row r="357" spans="1:109" x14ac:dyDescent="0.25">
      <c r="A357" t="s">
        <v>1378</v>
      </c>
      <c r="B357">
        <v>1</v>
      </c>
      <c r="C357" s="56">
        <v>42640</v>
      </c>
      <c r="D357" t="s">
        <v>1449</v>
      </c>
      <c r="E357" t="s">
        <v>2065</v>
      </c>
      <c r="G357" t="s">
        <v>1144</v>
      </c>
      <c r="H357" t="s">
        <v>1144</v>
      </c>
      <c r="I357" t="s">
        <v>1144</v>
      </c>
      <c r="J357" t="s">
        <v>1144</v>
      </c>
      <c r="K357" t="s">
        <v>1144</v>
      </c>
      <c r="L357">
        <v>107.99</v>
      </c>
      <c r="M357">
        <v>293.95</v>
      </c>
      <c r="N357">
        <v>0</v>
      </c>
      <c r="O357" s="56"/>
      <c r="P357" s="56"/>
      <c r="Q357">
        <v>13718</v>
      </c>
      <c r="R357">
        <v>9</v>
      </c>
      <c r="S357">
        <v>4</v>
      </c>
      <c r="T357">
        <v>2</v>
      </c>
      <c r="U357">
        <v>2</v>
      </c>
      <c r="V357">
        <v>1</v>
      </c>
      <c r="W357" t="s">
        <v>2379</v>
      </c>
      <c r="X357" t="s">
        <v>2386</v>
      </c>
      <c r="AA357">
        <v>0</v>
      </c>
      <c r="AB357">
        <v>0</v>
      </c>
      <c r="AC357">
        <v>0</v>
      </c>
      <c r="AD357">
        <v>0</v>
      </c>
      <c r="AE357">
        <v>0</v>
      </c>
      <c r="AF357">
        <v>0</v>
      </c>
      <c r="AG357">
        <v>0</v>
      </c>
      <c r="AJ357" s="56"/>
      <c r="AK357" s="56">
        <v>42369</v>
      </c>
      <c r="AL357" s="56"/>
      <c r="AM357">
        <v>2</v>
      </c>
      <c r="AP357" t="s">
        <v>1450</v>
      </c>
      <c r="AS357" t="s">
        <v>1152</v>
      </c>
      <c r="AT357">
        <v>1</v>
      </c>
      <c r="AV357">
        <v>2</v>
      </c>
      <c r="AW357">
        <v>2</v>
      </c>
      <c r="AX357">
        <v>1</v>
      </c>
      <c r="AY357" t="s">
        <v>1145</v>
      </c>
      <c r="AZ357" t="s">
        <v>1145</v>
      </c>
      <c r="BA357">
        <v>2</v>
      </c>
      <c r="BD357">
        <v>1000000000</v>
      </c>
      <c r="BE357">
        <v>2</v>
      </c>
      <c r="BF357">
        <v>0</v>
      </c>
      <c r="BG357">
        <v>0</v>
      </c>
      <c r="BH357">
        <v>0</v>
      </c>
      <c r="BI357">
        <v>0</v>
      </c>
      <c r="BJ357">
        <v>0</v>
      </c>
      <c r="BK357">
        <v>0</v>
      </c>
      <c r="BL357">
        <v>0</v>
      </c>
      <c r="BM357">
        <v>2</v>
      </c>
      <c r="BN357">
        <v>0</v>
      </c>
      <c r="BO357">
        <v>0</v>
      </c>
      <c r="BP357">
        <v>0</v>
      </c>
      <c r="BR357">
        <v>0</v>
      </c>
      <c r="BS357">
        <v>1</v>
      </c>
      <c r="BX357">
        <v>0</v>
      </c>
      <c r="BY357">
        <v>0</v>
      </c>
      <c r="BZ357">
        <v>0</v>
      </c>
      <c r="CA357">
        <v>20.66</v>
      </c>
      <c r="CC357">
        <v>1</v>
      </c>
      <c r="CD357" s="56">
        <v>42593</v>
      </c>
      <c r="CE357" s="56">
        <v>42612</v>
      </c>
      <c r="CF357" s="56">
        <v>42612</v>
      </c>
      <c r="CG357" s="56">
        <v>42640</v>
      </c>
      <c r="CH357" s="56"/>
      <c r="CI357" s="56"/>
      <c r="CJ357">
        <v>0</v>
      </c>
      <c r="CK357">
        <v>0</v>
      </c>
      <c r="CL357">
        <v>0</v>
      </c>
      <c r="CM357">
        <v>0</v>
      </c>
      <c r="CN357">
        <v>0.71</v>
      </c>
      <c r="CO357">
        <v>0</v>
      </c>
      <c r="CP357">
        <v>0</v>
      </c>
      <c r="CQ357" t="s">
        <v>1378</v>
      </c>
      <c r="CR357" t="s">
        <v>1377</v>
      </c>
      <c r="CS357" t="s">
        <v>1451</v>
      </c>
      <c r="CT357" t="s">
        <v>1724</v>
      </c>
      <c r="CU357" t="s">
        <v>1742</v>
      </c>
      <c r="CV357" t="s">
        <v>2066</v>
      </c>
      <c r="DB357" t="s">
        <v>2059</v>
      </c>
      <c r="DE357" t="s">
        <v>1724</v>
      </c>
    </row>
    <row r="358" spans="1:109" x14ac:dyDescent="0.25">
      <c r="A358" t="s">
        <v>1378</v>
      </c>
      <c r="B358">
        <v>1</v>
      </c>
      <c r="C358" s="56">
        <v>42640</v>
      </c>
      <c r="D358" t="s">
        <v>1449</v>
      </c>
      <c r="E358" t="s">
        <v>1757</v>
      </c>
      <c r="G358" t="s">
        <v>1144</v>
      </c>
      <c r="H358" t="s">
        <v>1144</v>
      </c>
      <c r="I358" t="s">
        <v>1144</v>
      </c>
      <c r="J358" t="s">
        <v>1144</v>
      </c>
      <c r="K358" t="s">
        <v>1144</v>
      </c>
      <c r="L358">
        <v>0</v>
      </c>
      <c r="M358">
        <v>71.27</v>
      </c>
      <c r="N358">
        <v>0</v>
      </c>
      <c r="O358" s="56"/>
      <c r="P358" s="56"/>
      <c r="Q358">
        <v>13718</v>
      </c>
      <c r="R358">
        <v>9</v>
      </c>
      <c r="S358">
        <v>4</v>
      </c>
      <c r="T358">
        <v>2</v>
      </c>
      <c r="U358">
        <v>2</v>
      </c>
      <c r="V358">
        <v>1</v>
      </c>
      <c r="X358" t="s">
        <v>2386</v>
      </c>
      <c r="AA358">
        <v>0</v>
      </c>
      <c r="AB358">
        <v>0</v>
      </c>
      <c r="AC358">
        <v>0</v>
      </c>
      <c r="AD358">
        <v>0</v>
      </c>
      <c r="AE358">
        <v>0</v>
      </c>
      <c r="AF358">
        <v>0</v>
      </c>
      <c r="AG358">
        <v>0</v>
      </c>
      <c r="AJ358" s="56"/>
      <c r="AK358" s="56"/>
      <c r="AL358" s="56"/>
      <c r="AP358" t="s">
        <v>1450</v>
      </c>
      <c r="AR358">
        <v>3</v>
      </c>
      <c r="AS358" t="s">
        <v>1152</v>
      </c>
      <c r="AT358">
        <v>1</v>
      </c>
      <c r="AV358">
        <v>0</v>
      </c>
      <c r="AW358">
        <v>0</v>
      </c>
      <c r="AX358">
        <v>0</v>
      </c>
      <c r="AY358" t="s">
        <v>1375</v>
      </c>
      <c r="AZ358" t="s">
        <v>1375</v>
      </c>
      <c r="BA358">
        <v>0</v>
      </c>
      <c r="BD358">
        <v>1000000000</v>
      </c>
      <c r="BE358">
        <v>0</v>
      </c>
      <c r="BF358">
        <v>0</v>
      </c>
      <c r="BG358">
        <v>0</v>
      </c>
      <c r="BH358">
        <v>0</v>
      </c>
      <c r="BI358">
        <v>0</v>
      </c>
      <c r="BJ358">
        <v>0</v>
      </c>
      <c r="BK358">
        <v>0</v>
      </c>
      <c r="BL358">
        <v>0</v>
      </c>
      <c r="BM358">
        <v>0</v>
      </c>
      <c r="BN358">
        <v>0</v>
      </c>
      <c r="BO358">
        <v>0</v>
      </c>
      <c r="BP358">
        <v>0</v>
      </c>
      <c r="BR358">
        <v>0</v>
      </c>
      <c r="BS358">
        <v>0</v>
      </c>
      <c r="BX358">
        <v>0</v>
      </c>
      <c r="BY358">
        <v>0</v>
      </c>
      <c r="BZ358">
        <v>0</v>
      </c>
      <c r="CA358">
        <v>0</v>
      </c>
      <c r="CC358">
        <v>1</v>
      </c>
      <c r="CD358" s="56">
        <v>42593</v>
      </c>
      <c r="CE358" s="56">
        <v>42612</v>
      </c>
      <c r="CF358" s="56">
        <v>42612</v>
      </c>
      <c r="CG358" s="56">
        <v>42640</v>
      </c>
      <c r="CH358" s="56"/>
      <c r="CI358" s="56"/>
      <c r="CJ358">
        <v>1</v>
      </c>
      <c r="CK358">
        <v>0</v>
      </c>
      <c r="CL358">
        <v>0.71</v>
      </c>
      <c r="CM358">
        <v>0</v>
      </c>
      <c r="CN358">
        <v>0</v>
      </c>
      <c r="CO358">
        <v>0</v>
      </c>
      <c r="CP358">
        <v>0</v>
      </c>
      <c r="CQ358" t="s">
        <v>1378</v>
      </c>
      <c r="CR358" t="s">
        <v>1377</v>
      </c>
      <c r="CS358" t="s">
        <v>1451</v>
      </c>
      <c r="CT358" t="s">
        <v>1724</v>
      </c>
      <c r="CU358" t="s">
        <v>1742</v>
      </c>
      <c r="CV358" t="s">
        <v>1758</v>
      </c>
      <c r="DB358" t="s">
        <v>1744</v>
      </c>
      <c r="DE358" t="s">
        <v>1724</v>
      </c>
    </row>
    <row r="359" spans="1:109" x14ac:dyDescent="0.25">
      <c r="A359" t="s">
        <v>1378</v>
      </c>
      <c r="B359">
        <v>1</v>
      </c>
      <c r="C359" s="56">
        <v>42640</v>
      </c>
      <c r="D359" t="s">
        <v>1449</v>
      </c>
      <c r="E359" t="s">
        <v>2120</v>
      </c>
      <c r="G359" t="s">
        <v>1144</v>
      </c>
      <c r="H359" t="s">
        <v>1144</v>
      </c>
      <c r="I359" t="s">
        <v>1144</v>
      </c>
      <c r="J359" t="s">
        <v>1144</v>
      </c>
      <c r="K359" t="s">
        <v>1144</v>
      </c>
      <c r="L359">
        <v>1224.74</v>
      </c>
      <c r="M359">
        <v>2568.5100000000002</v>
      </c>
      <c r="N359">
        <v>0</v>
      </c>
      <c r="O359" s="56"/>
      <c r="P359" s="56"/>
      <c r="Q359">
        <v>13718</v>
      </c>
      <c r="R359">
        <v>9</v>
      </c>
      <c r="S359">
        <v>4</v>
      </c>
      <c r="T359">
        <v>2</v>
      </c>
      <c r="U359">
        <v>2</v>
      </c>
      <c r="V359">
        <v>1</v>
      </c>
      <c r="X359" t="s">
        <v>2385</v>
      </c>
      <c r="AA359">
        <v>0.08</v>
      </c>
      <c r="AB359">
        <v>1</v>
      </c>
      <c r="AC359">
        <v>6.25</v>
      </c>
      <c r="AD359">
        <v>9.3800000000000008</v>
      </c>
      <c r="AE359">
        <v>0</v>
      </c>
      <c r="AF359">
        <v>0</v>
      </c>
      <c r="AG359">
        <v>0</v>
      </c>
      <c r="AJ359" s="56">
        <v>42666</v>
      </c>
      <c r="AK359" s="56">
        <v>42369</v>
      </c>
      <c r="AL359" s="56"/>
      <c r="AM359">
        <v>5</v>
      </c>
      <c r="AP359" t="s">
        <v>1450</v>
      </c>
      <c r="AS359" t="s">
        <v>1152</v>
      </c>
      <c r="AT359">
        <v>1</v>
      </c>
      <c r="AV359">
        <v>2</v>
      </c>
      <c r="AW359">
        <v>2</v>
      </c>
      <c r="AX359">
        <v>1</v>
      </c>
      <c r="AY359" t="s">
        <v>1147</v>
      </c>
      <c r="AZ359" t="s">
        <v>1147</v>
      </c>
      <c r="BA359">
        <v>5</v>
      </c>
      <c r="BD359">
        <v>1000000000</v>
      </c>
      <c r="BE359">
        <v>3</v>
      </c>
      <c r="BF359">
        <v>-0.5</v>
      </c>
      <c r="BG359">
        <v>0</v>
      </c>
      <c r="BH359">
        <v>0</v>
      </c>
      <c r="BI359">
        <v>0</v>
      </c>
      <c r="BJ359">
        <v>0</v>
      </c>
      <c r="BK359">
        <v>0</v>
      </c>
      <c r="BL359">
        <v>0</v>
      </c>
      <c r="BM359">
        <v>3</v>
      </c>
      <c r="BN359">
        <v>-0.5</v>
      </c>
      <c r="BO359">
        <v>0</v>
      </c>
      <c r="BP359">
        <v>0</v>
      </c>
      <c r="BR359">
        <v>0</v>
      </c>
      <c r="BS359">
        <v>1</v>
      </c>
      <c r="BX359">
        <v>0</v>
      </c>
      <c r="BY359">
        <v>1224.74</v>
      </c>
      <c r="BZ359">
        <v>0</v>
      </c>
      <c r="CA359">
        <v>13.17</v>
      </c>
      <c r="CC359">
        <v>1</v>
      </c>
      <c r="CD359" s="56">
        <v>42619</v>
      </c>
      <c r="CE359" s="56">
        <v>42619</v>
      </c>
      <c r="CF359" s="56">
        <v>42619</v>
      </c>
      <c r="CG359" s="56">
        <v>42647</v>
      </c>
      <c r="CH359" s="56"/>
      <c r="CI359" s="56"/>
      <c r="CJ359">
        <v>0</v>
      </c>
      <c r="CK359">
        <v>0</v>
      </c>
      <c r="CL359">
        <v>0</v>
      </c>
      <c r="CM359">
        <v>0</v>
      </c>
      <c r="CN359">
        <v>0</v>
      </c>
      <c r="CO359">
        <v>0</v>
      </c>
      <c r="CP359">
        <v>0.65</v>
      </c>
      <c r="CQ359" t="s">
        <v>1378</v>
      </c>
      <c r="CR359" t="s">
        <v>1377</v>
      </c>
      <c r="CS359" t="s">
        <v>1451</v>
      </c>
      <c r="CT359" t="s">
        <v>1724</v>
      </c>
      <c r="CU359" t="s">
        <v>1742</v>
      </c>
      <c r="CV359" t="s">
        <v>2121</v>
      </c>
      <c r="DB359" t="s">
        <v>2111</v>
      </c>
      <c r="DE359" t="s">
        <v>1724</v>
      </c>
    </row>
    <row r="360" spans="1:109" x14ac:dyDescent="0.25">
      <c r="A360" t="s">
        <v>1378</v>
      </c>
      <c r="B360">
        <v>1</v>
      </c>
      <c r="C360" s="56">
        <v>42640</v>
      </c>
      <c r="D360" t="s">
        <v>1449</v>
      </c>
      <c r="E360" t="s">
        <v>1460</v>
      </c>
      <c r="G360" t="s">
        <v>1144</v>
      </c>
      <c r="H360" t="s">
        <v>1144</v>
      </c>
      <c r="I360" t="s">
        <v>1144</v>
      </c>
      <c r="J360" t="s">
        <v>1144</v>
      </c>
      <c r="K360" t="s">
        <v>1144</v>
      </c>
      <c r="L360">
        <v>769.65</v>
      </c>
      <c r="M360">
        <v>1637.27</v>
      </c>
      <c r="N360">
        <v>0</v>
      </c>
      <c r="O360" s="56"/>
      <c r="P360" s="56"/>
      <c r="Q360">
        <v>13718</v>
      </c>
      <c r="R360">
        <v>9</v>
      </c>
      <c r="S360">
        <v>4</v>
      </c>
      <c r="T360">
        <v>2</v>
      </c>
      <c r="U360">
        <v>2</v>
      </c>
      <c r="V360">
        <v>1</v>
      </c>
      <c r="X360" t="s">
        <v>2385</v>
      </c>
      <c r="AA360">
        <v>0.04</v>
      </c>
      <c r="AB360">
        <v>1</v>
      </c>
      <c r="AC360">
        <v>18.75</v>
      </c>
      <c r="AD360">
        <v>37.5</v>
      </c>
      <c r="AE360">
        <v>0</v>
      </c>
      <c r="AF360">
        <v>0</v>
      </c>
      <c r="AG360">
        <v>0</v>
      </c>
      <c r="AJ360" s="56">
        <v>42666</v>
      </c>
      <c r="AK360" s="56"/>
      <c r="AL360" s="56">
        <v>42322</v>
      </c>
      <c r="AM360">
        <v>5</v>
      </c>
      <c r="AP360" t="s">
        <v>1450</v>
      </c>
      <c r="AS360" t="s">
        <v>1152</v>
      </c>
      <c r="AT360">
        <v>1</v>
      </c>
      <c r="AV360">
        <v>3</v>
      </c>
      <c r="AW360">
        <v>2</v>
      </c>
      <c r="AX360">
        <v>1</v>
      </c>
      <c r="AY360" t="s">
        <v>1147</v>
      </c>
      <c r="AZ360" t="s">
        <v>1147</v>
      </c>
      <c r="BA360">
        <v>5</v>
      </c>
      <c r="BD360">
        <v>1000000000</v>
      </c>
      <c r="BE360">
        <v>6</v>
      </c>
      <c r="BF360">
        <v>-1</v>
      </c>
      <c r="BG360">
        <v>0</v>
      </c>
      <c r="BH360">
        <v>0</v>
      </c>
      <c r="BI360">
        <v>0</v>
      </c>
      <c r="BJ360">
        <v>0</v>
      </c>
      <c r="BK360">
        <v>0</v>
      </c>
      <c r="BL360">
        <v>0</v>
      </c>
      <c r="BM360">
        <v>6</v>
      </c>
      <c r="BN360">
        <v>-1</v>
      </c>
      <c r="BO360">
        <v>0</v>
      </c>
      <c r="BP360">
        <v>0</v>
      </c>
      <c r="BR360">
        <v>0</v>
      </c>
      <c r="BS360">
        <v>2</v>
      </c>
      <c r="BX360">
        <v>0</v>
      </c>
      <c r="BY360">
        <v>2308.9499999999998</v>
      </c>
      <c r="BZ360">
        <v>0</v>
      </c>
      <c r="CA360">
        <v>13.53</v>
      </c>
      <c r="CC360">
        <v>1</v>
      </c>
      <c r="CD360" s="56">
        <v>42619</v>
      </c>
      <c r="CE360" s="56">
        <v>42619</v>
      </c>
      <c r="CF360" s="56">
        <v>42619</v>
      </c>
      <c r="CG360" s="56">
        <v>42647</v>
      </c>
      <c r="CH360" s="56"/>
      <c r="CI360" s="56"/>
      <c r="CJ360">
        <v>0</v>
      </c>
      <c r="CK360">
        <v>0</v>
      </c>
      <c r="CL360">
        <v>0</v>
      </c>
      <c r="CM360">
        <v>0</v>
      </c>
      <c r="CN360">
        <v>0</v>
      </c>
      <c r="CO360">
        <v>0</v>
      </c>
      <c r="CP360">
        <v>0.65</v>
      </c>
      <c r="CQ360" t="s">
        <v>1378</v>
      </c>
      <c r="CR360" t="s">
        <v>1377</v>
      </c>
      <c r="CS360" t="s">
        <v>1451</v>
      </c>
      <c r="CT360" t="s">
        <v>1724</v>
      </c>
      <c r="CU360" t="s">
        <v>1742</v>
      </c>
      <c r="CV360" t="s">
        <v>1811</v>
      </c>
      <c r="DB360" t="s">
        <v>1783</v>
      </c>
      <c r="DE360" t="s">
        <v>1724</v>
      </c>
    </row>
    <row r="361" spans="1:109" x14ac:dyDescent="0.25">
      <c r="A361" t="s">
        <v>1378</v>
      </c>
      <c r="B361">
        <v>1</v>
      </c>
      <c r="C361" s="56">
        <v>42640</v>
      </c>
      <c r="D361" t="s">
        <v>1449</v>
      </c>
      <c r="E361" t="s">
        <v>2165</v>
      </c>
      <c r="G361" t="s">
        <v>1144</v>
      </c>
      <c r="H361" t="s">
        <v>1144</v>
      </c>
      <c r="I361" t="s">
        <v>1144</v>
      </c>
      <c r="J361" t="s">
        <v>1144</v>
      </c>
      <c r="K361" t="s">
        <v>1144</v>
      </c>
      <c r="L361">
        <v>315.37</v>
      </c>
      <c r="M361">
        <v>2</v>
      </c>
      <c r="N361">
        <v>0</v>
      </c>
      <c r="O361" s="56"/>
      <c r="P361" s="56"/>
      <c r="Q361">
        <v>13718</v>
      </c>
      <c r="R361">
        <v>9</v>
      </c>
      <c r="S361">
        <v>4</v>
      </c>
      <c r="T361">
        <v>2</v>
      </c>
      <c r="U361">
        <v>2</v>
      </c>
      <c r="V361">
        <v>1</v>
      </c>
      <c r="X361" t="s">
        <v>2386</v>
      </c>
      <c r="AA361">
        <v>0</v>
      </c>
      <c r="AB361">
        <v>0</v>
      </c>
      <c r="AC361">
        <v>0</v>
      </c>
      <c r="AD361">
        <v>0</v>
      </c>
      <c r="AE361">
        <v>0</v>
      </c>
      <c r="AF361">
        <v>0</v>
      </c>
      <c r="AG361">
        <v>0</v>
      </c>
      <c r="AJ361" s="56"/>
      <c r="AK361" s="56">
        <v>42369</v>
      </c>
      <c r="AL361" s="56"/>
      <c r="AM361">
        <v>1</v>
      </c>
      <c r="AP361" t="s">
        <v>1450</v>
      </c>
      <c r="AS361" t="s">
        <v>1152</v>
      </c>
      <c r="AT361">
        <v>1</v>
      </c>
      <c r="AV361">
        <v>1</v>
      </c>
      <c r="AW361">
        <v>1</v>
      </c>
      <c r="AX361">
        <v>0.5</v>
      </c>
      <c r="AY361" t="s">
        <v>1147</v>
      </c>
      <c r="AZ361" t="s">
        <v>1147</v>
      </c>
      <c r="BA361">
        <v>1</v>
      </c>
      <c r="BD361">
        <v>1000000000</v>
      </c>
      <c r="BE361">
        <v>2</v>
      </c>
      <c r="BF361">
        <v>-1</v>
      </c>
      <c r="BG361">
        <v>0</v>
      </c>
      <c r="BH361">
        <v>0</v>
      </c>
      <c r="BI361">
        <v>0</v>
      </c>
      <c r="BJ361">
        <v>0</v>
      </c>
      <c r="BK361">
        <v>0</v>
      </c>
      <c r="BL361">
        <v>0</v>
      </c>
      <c r="BM361">
        <v>2</v>
      </c>
      <c r="BN361">
        <v>-1</v>
      </c>
      <c r="BO361">
        <v>0</v>
      </c>
      <c r="BP361">
        <v>0</v>
      </c>
      <c r="BR361">
        <v>0</v>
      </c>
      <c r="BS361">
        <v>1</v>
      </c>
      <c r="BX361">
        <v>0</v>
      </c>
      <c r="BY361">
        <v>315.37</v>
      </c>
      <c r="BZ361">
        <v>0</v>
      </c>
      <c r="CA361">
        <v>-11.92</v>
      </c>
      <c r="CC361">
        <v>1</v>
      </c>
      <c r="CD361" s="56">
        <v>42593</v>
      </c>
      <c r="CE361" s="56">
        <v>42612</v>
      </c>
      <c r="CF361" s="56">
        <v>42612</v>
      </c>
      <c r="CG361" s="56">
        <v>42640</v>
      </c>
      <c r="CH361" s="56"/>
      <c r="CI361" s="56"/>
      <c r="CJ361">
        <v>0</v>
      </c>
      <c r="CK361">
        <v>0</v>
      </c>
      <c r="CL361">
        <v>0</v>
      </c>
      <c r="CM361">
        <v>0</v>
      </c>
      <c r="CN361">
        <v>0</v>
      </c>
      <c r="CO361">
        <v>0</v>
      </c>
      <c r="CP361">
        <v>0.71</v>
      </c>
      <c r="CQ361" t="s">
        <v>1378</v>
      </c>
      <c r="CR361" t="s">
        <v>1377</v>
      </c>
      <c r="CS361" t="s">
        <v>1451</v>
      </c>
      <c r="CT361" t="s">
        <v>1724</v>
      </c>
      <c r="CU361" t="s">
        <v>1742</v>
      </c>
      <c r="CV361" t="s">
        <v>2159</v>
      </c>
      <c r="DB361" t="s">
        <v>2161</v>
      </c>
      <c r="DE361" t="s">
        <v>1724</v>
      </c>
    </row>
    <row r="362" spans="1:109" x14ac:dyDescent="0.25">
      <c r="A362" t="s">
        <v>1378</v>
      </c>
      <c r="B362">
        <v>1</v>
      </c>
      <c r="C362" s="56">
        <v>42640</v>
      </c>
      <c r="D362" t="s">
        <v>1449</v>
      </c>
      <c r="E362" t="s">
        <v>1856</v>
      </c>
      <c r="G362" t="s">
        <v>1144</v>
      </c>
      <c r="H362" t="s">
        <v>1144</v>
      </c>
      <c r="I362" t="s">
        <v>1144</v>
      </c>
      <c r="J362" t="s">
        <v>1144</v>
      </c>
      <c r="K362" t="s">
        <v>1144</v>
      </c>
      <c r="L362">
        <v>663.45</v>
      </c>
      <c r="M362">
        <v>1059.4100000000001</v>
      </c>
      <c r="N362">
        <v>0</v>
      </c>
      <c r="O362" s="56"/>
      <c r="P362" s="56"/>
      <c r="Q362">
        <v>13718</v>
      </c>
      <c r="R362">
        <v>9</v>
      </c>
      <c r="S362">
        <v>4</v>
      </c>
      <c r="T362">
        <v>2</v>
      </c>
      <c r="U362">
        <v>2</v>
      </c>
      <c r="V362">
        <v>1</v>
      </c>
      <c r="W362" t="s">
        <v>2379</v>
      </c>
      <c r="X362" t="s">
        <v>2386</v>
      </c>
      <c r="AA362">
        <v>0</v>
      </c>
      <c r="AB362">
        <v>0</v>
      </c>
      <c r="AC362">
        <v>0</v>
      </c>
      <c r="AD362">
        <v>0</v>
      </c>
      <c r="AE362">
        <v>0</v>
      </c>
      <c r="AF362">
        <v>0</v>
      </c>
      <c r="AG362">
        <v>0</v>
      </c>
      <c r="AJ362" s="56"/>
      <c r="AK362" s="56"/>
      <c r="AL362" s="56"/>
      <c r="AM362">
        <v>3</v>
      </c>
      <c r="AP362" t="s">
        <v>1450</v>
      </c>
      <c r="AS362" t="s">
        <v>1152</v>
      </c>
      <c r="AT362">
        <v>1</v>
      </c>
      <c r="AV362">
        <v>3</v>
      </c>
      <c r="AW362">
        <v>2</v>
      </c>
      <c r="AX362">
        <v>1</v>
      </c>
      <c r="AY362" t="s">
        <v>1148</v>
      </c>
      <c r="AZ362" t="s">
        <v>1148</v>
      </c>
      <c r="BA362">
        <v>3</v>
      </c>
      <c r="BD362">
        <v>1000000000</v>
      </c>
      <c r="BE362">
        <v>3</v>
      </c>
      <c r="BF362">
        <v>0</v>
      </c>
      <c r="BG362">
        <v>0</v>
      </c>
      <c r="BH362">
        <v>0</v>
      </c>
      <c r="BI362">
        <v>0</v>
      </c>
      <c r="BJ362">
        <v>0</v>
      </c>
      <c r="BK362">
        <v>0</v>
      </c>
      <c r="BL362">
        <v>0</v>
      </c>
      <c r="BM362">
        <v>3</v>
      </c>
      <c r="BN362">
        <v>0</v>
      </c>
      <c r="BO362">
        <v>0</v>
      </c>
      <c r="BP362">
        <v>0</v>
      </c>
      <c r="BR362">
        <v>0</v>
      </c>
      <c r="BS362">
        <v>2</v>
      </c>
      <c r="BX362">
        <v>0</v>
      </c>
      <c r="BY362">
        <v>0</v>
      </c>
      <c r="BZ362">
        <v>0</v>
      </c>
      <c r="CA362">
        <v>7.16</v>
      </c>
      <c r="CC362">
        <v>1</v>
      </c>
      <c r="CD362" s="56">
        <v>42593</v>
      </c>
      <c r="CE362" s="56">
        <v>42612</v>
      </c>
      <c r="CF362" s="56">
        <v>42612</v>
      </c>
      <c r="CG362" s="56">
        <v>42640</v>
      </c>
      <c r="CH362" s="56"/>
      <c r="CI362" s="56"/>
      <c r="CJ362">
        <v>0</v>
      </c>
      <c r="CK362">
        <v>0</v>
      </c>
      <c r="CL362">
        <v>0</v>
      </c>
      <c r="CM362">
        <v>0</v>
      </c>
      <c r="CN362">
        <v>0</v>
      </c>
      <c r="CO362">
        <v>0.71</v>
      </c>
      <c r="CP362">
        <v>0</v>
      </c>
      <c r="CQ362" t="s">
        <v>1378</v>
      </c>
      <c r="CR362" t="s">
        <v>1377</v>
      </c>
      <c r="CS362" t="s">
        <v>1451</v>
      </c>
      <c r="CT362" t="s">
        <v>1724</v>
      </c>
      <c r="CU362" t="s">
        <v>1742</v>
      </c>
      <c r="CV362" t="s">
        <v>1857</v>
      </c>
      <c r="DB362" t="s">
        <v>1847</v>
      </c>
      <c r="DE362" t="s">
        <v>1724</v>
      </c>
    </row>
    <row r="363" spans="1:109" x14ac:dyDescent="0.25">
      <c r="A363" t="s">
        <v>1378</v>
      </c>
      <c r="B363">
        <v>1</v>
      </c>
      <c r="C363" s="56">
        <v>42640</v>
      </c>
      <c r="D363" t="s">
        <v>1449</v>
      </c>
      <c r="E363" t="s">
        <v>2208</v>
      </c>
      <c r="G363" t="s">
        <v>1144</v>
      </c>
      <c r="H363" t="s">
        <v>1144</v>
      </c>
      <c r="I363" t="s">
        <v>1144</v>
      </c>
      <c r="J363" t="s">
        <v>1144</v>
      </c>
      <c r="K363" t="s">
        <v>1144</v>
      </c>
      <c r="L363">
        <v>447.47</v>
      </c>
      <c r="M363">
        <v>2</v>
      </c>
      <c r="N363">
        <v>0</v>
      </c>
      <c r="O363" s="56"/>
      <c r="P363" s="56"/>
      <c r="Q363">
        <v>13718</v>
      </c>
      <c r="R363">
        <v>9</v>
      </c>
      <c r="S363">
        <v>4</v>
      </c>
      <c r="T363">
        <v>2</v>
      </c>
      <c r="U363">
        <v>2</v>
      </c>
      <c r="V363">
        <v>1</v>
      </c>
      <c r="X363" t="s">
        <v>2386</v>
      </c>
      <c r="AA363">
        <v>0</v>
      </c>
      <c r="AB363">
        <v>0</v>
      </c>
      <c r="AC363">
        <v>0</v>
      </c>
      <c r="AD363">
        <v>0</v>
      </c>
      <c r="AE363">
        <v>0</v>
      </c>
      <c r="AF363">
        <v>0</v>
      </c>
      <c r="AG363">
        <v>0</v>
      </c>
      <c r="AJ363" s="56"/>
      <c r="AK363" s="56">
        <v>42369</v>
      </c>
      <c r="AL363" s="56"/>
      <c r="AM363">
        <v>1</v>
      </c>
      <c r="AP363" t="s">
        <v>1450</v>
      </c>
      <c r="AS363" t="s">
        <v>1152</v>
      </c>
      <c r="AT363">
        <v>1</v>
      </c>
      <c r="AV363">
        <v>1</v>
      </c>
      <c r="AW363">
        <v>1</v>
      </c>
      <c r="AX363">
        <v>0.5</v>
      </c>
      <c r="AY363" t="s">
        <v>1147</v>
      </c>
      <c r="AZ363" t="s">
        <v>1147</v>
      </c>
      <c r="BA363">
        <v>1</v>
      </c>
      <c r="BD363">
        <v>1000000000</v>
      </c>
      <c r="BE363">
        <v>2</v>
      </c>
      <c r="BF363">
        <v>-1</v>
      </c>
      <c r="BG363">
        <v>0</v>
      </c>
      <c r="BH363">
        <v>0</v>
      </c>
      <c r="BI363">
        <v>0</v>
      </c>
      <c r="BJ363">
        <v>0</v>
      </c>
      <c r="BK363">
        <v>0</v>
      </c>
      <c r="BL363">
        <v>0</v>
      </c>
      <c r="BM363">
        <v>2</v>
      </c>
      <c r="BN363">
        <v>-1</v>
      </c>
      <c r="BO363">
        <v>0</v>
      </c>
      <c r="BP363">
        <v>0</v>
      </c>
      <c r="BR363">
        <v>0</v>
      </c>
      <c r="BS363">
        <v>1</v>
      </c>
      <c r="BX363">
        <v>0</v>
      </c>
      <c r="BY363">
        <v>447.47</v>
      </c>
      <c r="BZ363">
        <v>0</v>
      </c>
      <c r="CA363">
        <v>-11.95</v>
      </c>
      <c r="CC363">
        <v>1</v>
      </c>
      <c r="CD363" s="56">
        <v>42593</v>
      </c>
      <c r="CE363" s="56">
        <v>42612</v>
      </c>
      <c r="CF363" s="56">
        <v>42612</v>
      </c>
      <c r="CG363" s="56">
        <v>42640</v>
      </c>
      <c r="CH363" s="56"/>
      <c r="CI363" s="56"/>
      <c r="CJ363">
        <v>0</v>
      </c>
      <c r="CK363">
        <v>0</v>
      </c>
      <c r="CL363">
        <v>0</v>
      </c>
      <c r="CM363">
        <v>0</v>
      </c>
      <c r="CN363">
        <v>0</v>
      </c>
      <c r="CO363">
        <v>0</v>
      </c>
      <c r="CP363">
        <v>0.71</v>
      </c>
      <c r="CQ363" t="s">
        <v>1378</v>
      </c>
      <c r="CR363" t="s">
        <v>1377</v>
      </c>
      <c r="CS363" t="s">
        <v>1451</v>
      </c>
      <c r="CT363" t="s">
        <v>1724</v>
      </c>
      <c r="CU363" t="s">
        <v>1742</v>
      </c>
      <c r="CV363" t="s">
        <v>2206</v>
      </c>
      <c r="DB363" t="s">
        <v>2161</v>
      </c>
      <c r="DE363" t="s">
        <v>1724</v>
      </c>
    </row>
    <row r="364" spans="1:109" x14ac:dyDescent="0.25">
      <c r="A364" t="s">
        <v>1378</v>
      </c>
      <c r="B364">
        <v>1</v>
      </c>
      <c r="C364" s="56">
        <v>42640</v>
      </c>
      <c r="D364" t="s">
        <v>1449</v>
      </c>
      <c r="E364" t="s">
        <v>1402</v>
      </c>
      <c r="G364" t="s">
        <v>1144</v>
      </c>
      <c r="H364" t="s">
        <v>1144</v>
      </c>
      <c r="I364" t="s">
        <v>1144</v>
      </c>
      <c r="J364" t="s">
        <v>1144</v>
      </c>
      <c r="K364" t="s">
        <v>1144</v>
      </c>
      <c r="L364">
        <v>94.78</v>
      </c>
      <c r="M364">
        <v>230.18</v>
      </c>
      <c r="N364">
        <v>0</v>
      </c>
      <c r="O364" s="56"/>
      <c r="P364" s="56"/>
      <c r="Q364">
        <v>13718</v>
      </c>
      <c r="R364">
        <v>9</v>
      </c>
      <c r="S364">
        <v>4</v>
      </c>
      <c r="T364">
        <v>2</v>
      </c>
      <c r="U364">
        <v>2</v>
      </c>
      <c r="V364">
        <v>1</v>
      </c>
      <c r="W364" t="s">
        <v>1376</v>
      </c>
      <c r="X364" t="s">
        <v>2385</v>
      </c>
      <c r="AA364">
        <v>0.08</v>
      </c>
      <c r="AB364">
        <v>1</v>
      </c>
      <c r="AC364">
        <v>6.25</v>
      </c>
      <c r="AD364">
        <v>0</v>
      </c>
      <c r="AE364">
        <v>0</v>
      </c>
      <c r="AF364">
        <v>20</v>
      </c>
      <c r="AG364">
        <v>0</v>
      </c>
      <c r="AJ364" s="56"/>
      <c r="AK364" s="56">
        <v>42369</v>
      </c>
      <c r="AL364" s="56"/>
      <c r="AM364">
        <v>2</v>
      </c>
      <c r="AP364" t="s">
        <v>1450</v>
      </c>
      <c r="AS364" t="s">
        <v>1152</v>
      </c>
      <c r="AT364">
        <v>1</v>
      </c>
      <c r="AV364">
        <v>2</v>
      </c>
      <c r="AW364">
        <v>2</v>
      </c>
      <c r="AX364">
        <v>1</v>
      </c>
      <c r="AY364" t="s">
        <v>838</v>
      </c>
      <c r="AZ364" t="s">
        <v>838</v>
      </c>
      <c r="BA364">
        <v>3</v>
      </c>
      <c r="BD364">
        <v>1000000000</v>
      </c>
      <c r="BE364">
        <v>0</v>
      </c>
      <c r="BF364">
        <v>1</v>
      </c>
      <c r="BG364">
        <v>0</v>
      </c>
      <c r="BH364">
        <v>0</v>
      </c>
      <c r="BI364">
        <v>0</v>
      </c>
      <c r="BJ364">
        <v>0</v>
      </c>
      <c r="BK364">
        <v>0</v>
      </c>
      <c r="BL364">
        <v>0</v>
      </c>
      <c r="BM364">
        <v>0</v>
      </c>
      <c r="BN364">
        <v>1</v>
      </c>
      <c r="BO364">
        <v>0</v>
      </c>
      <c r="BP364">
        <v>0</v>
      </c>
      <c r="BR364">
        <v>2</v>
      </c>
      <c r="BS364">
        <v>1</v>
      </c>
      <c r="BX364">
        <v>135.4</v>
      </c>
      <c r="BY364">
        <v>0</v>
      </c>
      <c r="BZ364">
        <v>0</v>
      </c>
      <c r="CA364">
        <v>17.14</v>
      </c>
      <c r="CC364">
        <v>1</v>
      </c>
      <c r="CD364" s="56">
        <v>42619</v>
      </c>
      <c r="CE364" s="56">
        <v>42619</v>
      </c>
      <c r="CF364" s="56">
        <v>42619</v>
      </c>
      <c r="CG364" s="56">
        <v>42647</v>
      </c>
      <c r="CH364" s="56"/>
      <c r="CI364" s="56"/>
      <c r="CJ364">
        <v>1</v>
      </c>
      <c r="CK364">
        <v>0</v>
      </c>
      <c r="CL364">
        <v>0.65</v>
      </c>
      <c r="CM364">
        <v>0</v>
      </c>
      <c r="CN364">
        <v>0</v>
      </c>
      <c r="CO364">
        <v>0</v>
      </c>
      <c r="CP364">
        <v>0</v>
      </c>
      <c r="CQ364" t="s">
        <v>1378</v>
      </c>
      <c r="CR364" t="s">
        <v>1377</v>
      </c>
      <c r="CS364" t="s">
        <v>1451</v>
      </c>
      <c r="CT364" t="s">
        <v>1724</v>
      </c>
      <c r="CU364" t="s">
        <v>1742</v>
      </c>
      <c r="CV364" t="s">
        <v>1907</v>
      </c>
      <c r="DB364" t="s">
        <v>1869</v>
      </c>
      <c r="DE364" t="s">
        <v>1724</v>
      </c>
    </row>
    <row r="365" spans="1:109" x14ac:dyDescent="0.25">
      <c r="A365" t="s">
        <v>1378</v>
      </c>
      <c r="B365">
        <v>1</v>
      </c>
      <c r="C365" s="56">
        <v>42640</v>
      </c>
      <c r="D365" t="s">
        <v>1449</v>
      </c>
      <c r="E365" t="s">
        <v>2254</v>
      </c>
      <c r="G365" t="s">
        <v>1144</v>
      </c>
      <c r="H365" t="s">
        <v>1144</v>
      </c>
      <c r="I365" t="s">
        <v>1144</v>
      </c>
      <c r="J365" t="s">
        <v>1144</v>
      </c>
      <c r="K365" t="s">
        <v>1144</v>
      </c>
      <c r="L365">
        <v>569.04999999999995</v>
      </c>
      <c r="M365">
        <v>2</v>
      </c>
      <c r="N365">
        <v>0</v>
      </c>
      <c r="O365" s="56"/>
      <c r="P365" s="56"/>
      <c r="Q365">
        <v>13718</v>
      </c>
      <c r="R365">
        <v>9</v>
      </c>
      <c r="S365">
        <v>4</v>
      </c>
      <c r="T365">
        <v>2</v>
      </c>
      <c r="U365">
        <v>2</v>
      </c>
      <c r="V365">
        <v>1</v>
      </c>
      <c r="W365" t="s">
        <v>2379</v>
      </c>
      <c r="X365" t="s">
        <v>2386</v>
      </c>
      <c r="AA365">
        <v>0</v>
      </c>
      <c r="AB365">
        <v>0</v>
      </c>
      <c r="AC365">
        <v>0</v>
      </c>
      <c r="AD365">
        <v>0</v>
      </c>
      <c r="AE365">
        <v>0</v>
      </c>
      <c r="AF365">
        <v>0</v>
      </c>
      <c r="AG365">
        <v>0</v>
      </c>
      <c r="AJ365" s="56"/>
      <c r="AK365" s="56">
        <v>42369</v>
      </c>
      <c r="AL365" s="56"/>
      <c r="AM365">
        <v>1</v>
      </c>
      <c r="AP365" t="s">
        <v>1450</v>
      </c>
      <c r="AS365" t="s">
        <v>1152</v>
      </c>
      <c r="AT365">
        <v>1</v>
      </c>
      <c r="AV365">
        <v>1</v>
      </c>
      <c r="AW365">
        <v>1</v>
      </c>
      <c r="AX365">
        <v>0.5</v>
      </c>
      <c r="AY365" t="s">
        <v>1145</v>
      </c>
      <c r="AZ365" t="s">
        <v>1145</v>
      </c>
      <c r="BA365">
        <v>1</v>
      </c>
      <c r="BD365">
        <v>1000000000</v>
      </c>
      <c r="BE365">
        <v>1</v>
      </c>
      <c r="BF365">
        <v>0</v>
      </c>
      <c r="BG365">
        <v>0</v>
      </c>
      <c r="BH365">
        <v>0</v>
      </c>
      <c r="BI365">
        <v>0</v>
      </c>
      <c r="BJ365">
        <v>0</v>
      </c>
      <c r="BK365">
        <v>0</v>
      </c>
      <c r="BL365">
        <v>0</v>
      </c>
      <c r="BM365">
        <v>1</v>
      </c>
      <c r="BN365">
        <v>0</v>
      </c>
      <c r="BO365">
        <v>0</v>
      </c>
      <c r="BP365">
        <v>0</v>
      </c>
      <c r="BR365">
        <v>0</v>
      </c>
      <c r="BS365">
        <v>1</v>
      </c>
      <c r="BX365">
        <v>0</v>
      </c>
      <c r="BY365">
        <v>0</v>
      </c>
      <c r="BZ365">
        <v>0</v>
      </c>
      <c r="CA365">
        <v>-11.96</v>
      </c>
      <c r="CC365">
        <v>1</v>
      </c>
      <c r="CD365" s="56">
        <v>42593</v>
      </c>
      <c r="CE365" s="56">
        <v>42612</v>
      </c>
      <c r="CF365" s="56">
        <v>42612</v>
      </c>
      <c r="CG365" s="56">
        <v>42640</v>
      </c>
      <c r="CH365" s="56"/>
      <c r="CI365" s="56"/>
      <c r="CJ365">
        <v>0</v>
      </c>
      <c r="CK365">
        <v>0</v>
      </c>
      <c r="CL365">
        <v>0</v>
      </c>
      <c r="CM365">
        <v>0</v>
      </c>
      <c r="CN365">
        <v>0.71</v>
      </c>
      <c r="CO365">
        <v>0</v>
      </c>
      <c r="CP365">
        <v>0</v>
      </c>
      <c r="CQ365" t="s">
        <v>1378</v>
      </c>
      <c r="CR365" t="s">
        <v>1377</v>
      </c>
      <c r="CS365" t="s">
        <v>1451</v>
      </c>
      <c r="CT365" t="s">
        <v>1724</v>
      </c>
      <c r="CU365" t="s">
        <v>1742</v>
      </c>
      <c r="CV365" t="s">
        <v>2255</v>
      </c>
      <c r="DB365" t="s">
        <v>2134</v>
      </c>
      <c r="DE365" t="s">
        <v>1724</v>
      </c>
    </row>
    <row r="366" spans="1:109" x14ac:dyDescent="0.25">
      <c r="A366" t="s">
        <v>1378</v>
      </c>
      <c r="B366">
        <v>1</v>
      </c>
      <c r="C366" s="56">
        <v>42640</v>
      </c>
      <c r="D366" t="s">
        <v>1449</v>
      </c>
      <c r="E366" t="s">
        <v>1413</v>
      </c>
      <c r="G366" t="s">
        <v>1144</v>
      </c>
      <c r="H366" t="s">
        <v>1144</v>
      </c>
      <c r="I366" t="s">
        <v>1144</v>
      </c>
      <c r="J366" t="s">
        <v>1144</v>
      </c>
      <c r="K366" t="s">
        <v>1144</v>
      </c>
      <c r="L366">
        <v>351.49</v>
      </c>
      <c r="M366">
        <v>1020.89</v>
      </c>
      <c r="N366">
        <v>0</v>
      </c>
      <c r="O366" s="56"/>
      <c r="P366" s="56"/>
      <c r="Q366">
        <v>13718</v>
      </c>
      <c r="R366">
        <v>9</v>
      </c>
      <c r="S366">
        <v>4</v>
      </c>
      <c r="T366">
        <v>2</v>
      </c>
      <c r="U366">
        <v>2</v>
      </c>
      <c r="V366">
        <v>1</v>
      </c>
      <c r="W366" t="s">
        <v>1376</v>
      </c>
      <c r="X366" t="s">
        <v>2385</v>
      </c>
      <c r="AA366">
        <v>0.08</v>
      </c>
      <c r="AB366">
        <v>1</v>
      </c>
      <c r="AC366">
        <v>6.25</v>
      </c>
      <c r="AD366">
        <v>6.25</v>
      </c>
      <c r="AE366">
        <v>0</v>
      </c>
      <c r="AF366">
        <v>0</v>
      </c>
      <c r="AG366">
        <v>0</v>
      </c>
      <c r="AJ366" s="56">
        <v>42666</v>
      </c>
      <c r="AK366" s="56"/>
      <c r="AL366" s="56">
        <v>42322</v>
      </c>
      <c r="AM366">
        <v>5</v>
      </c>
      <c r="AP366" t="s">
        <v>1450</v>
      </c>
      <c r="AS366" t="s">
        <v>1152</v>
      </c>
      <c r="AT366">
        <v>1</v>
      </c>
      <c r="AV366">
        <v>2</v>
      </c>
      <c r="AW366">
        <v>2</v>
      </c>
      <c r="AX366">
        <v>1</v>
      </c>
      <c r="AY366" t="s">
        <v>1145</v>
      </c>
      <c r="AZ366" t="s">
        <v>1145</v>
      </c>
      <c r="BA366">
        <v>5</v>
      </c>
      <c r="BD366">
        <v>1000000000</v>
      </c>
      <c r="BE366">
        <v>2</v>
      </c>
      <c r="BF366">
        <v>0</v>
      </c>
      <c r="BG366">
        <v>0</v>
      </c>
      <c r="BH366">
        <v>0</v>
      </c>
      <c r="BI366">
        <v>0</v>
      </c>
      <c r="BJ366">
        <v>0</v>
      </c>
      <c r="BK366">
        <v>0</v>
      </c>
      <c r="BL366">
        <v>0</v>
      </c>
      <c r="BM366">
        <v>2</v>
      </c>
      <c r="BN366">
        <v>0</v>
      </c>
      <c r="BO366">
        <v>0</v>
      </c>
      <c r="BP366">
        <v>0</v>
      </c>
      <c r="BR366">
        <v>0</v>
      </c>
      <c r="BS366">
        <v>1</v>
      </c>
      <c r="BX366">
        <v>0</v>
      </c>
      <c r="BY366">
        <v>0</v>
      </c>
      <c r="BZ366">
        <v>0</v>
      </c>
      <c r="CA366">
        <v>22.85</v>
      </c>
      <c r="CC366">
        <v>1</v>
      </c>
      <c r="CD366" s="56">
        <v>42619</v>
      </c>
      <c r="CE366" s="56">
        <v>42619</v>
      </c>
      <c r="CF366" s="56">
        <v>42619</v>
      </c>
      <c r="CG366" s="56">
        <v>42647</v>
      </c>
      <c r="CH366" s="56"/>
      <c r="CI366" s="56"/>
      <c r="CJ366">
        <v>0</v>
      </c>
      <c r="CK366">
        <v>0</v>
      </c>
      <c r="CL366">
        <v>0</v>
      </c>
      <c r="CM366">
        <v>0</v>
      </c>
      <c r="CN366">
        <v>0.65</v>
      </c>
      <c r="CO366">
        <v>0</v>
      </c>
      <c r="CP366">
        <v>0</v>
      </c>
      <c r="CQ366" t="s">
        <v>1378</v>
      </c>
      <c r="CR366" t="s">
        <v>1377</v>
      </c>
      <c r="CS366" t="s">
        <v>1451</v>
      </c>
      <c r="CT366" t="s">
        <v>1724</v>
      </c>
      <c r="CU366" t="s">
        <v>1742</v>
      </c>
      <c r="CV366" t="s">
        <v>1968</v>
      </c>
      <c r="DB366" t="s">
        <v>1962</v>
      </c>
      <c r="DE366" t="s">
        <v>1724</v>
      </c>
    </row>
    <row r="367" spans="1:109" x14ac:dyDescent="0.25">
      <c r="A367" t="s">
        <v>1378</v>
      </c>
      <c r="B367">
        <v>1</v>
      </c>
      <c r="C367" s="56">
        <v>42640</v>
      </c>
      <c r="D367" t="s">
        <v>1449</v>
      </c>
      <c r="E367" t="s">
        <v>2310</v>
      </c>
      <c r="G367" t="s">
        <v>1144</v>
      </c>
      <c r="H367" t="s">
        <v>1144</v>
      </c>
      <c r="I367" t="s">
        <v>1144</v>
      </c>
      <c r="J367" t="s">
        <v>1144</v>
      </c>
      <c r="K367" t="s">
        <v>1144</v>
      </c>
      <c r="L367">
        <v>415.33</v>
      </c>
      <c r="M367">
        <v>2</v>
      </c>
      <c r="N367">
        <v>0</v>
      </c>
      <c r="O367" s="56"/>
      <c r="P367" s="56"/>
      <c r="Q367">
        <v>13718</v>
      </c>
      <c r="R367">
        <v>9</v>
      </c>
      <c r="S367">
        <v>4</v>
      </c>
      <c r="T367">
        <v>2</v>
      </c>
      <c r="U367">
        <v>2</v>
      </c>
      <c r="V367">
        <v>1</v>
      </c>
      <c r="W367" t="s">
        <v>1376</v>
      </c>
      <c r="X367" t="s">
        <v>2385</v>
      </c>
      <c r="AA367">
        <v>0</v>
      </c>
      <c r="AB367">
        <v>0</v>
      </c>
      <c r="AC367">
        <v>0</v>
      </c>
      <c r="AD367">
        <v>0</v>
      </c>
      <c r="AE367">
        <v>0</v>
      </c>
      <c r="AF367">
        <v>0</v>
      </c>
      <c r="AG367">
        <v>0</v>
      </c>
      <c r="AJ367" s="56"/>
      <c r="AK367" s="56"/>
      <c r="AL367" s="56"/>
      <c r="AM367">
        <v>1</v>
      </c>
      <c r="AP367" t="s">
        <v>1450</v>
      </c>
      <c r="AS367" t="s">
        <v>1152</v>
      </c>
      <c r="AT367">
        <v>1</v>
      </c>
      <c r="AV367">
        <v>2</v>
      </c>
      <c r="AW367">
        <v>2</v>
      </c>
      <c r="AX367">
        <v>1</v>
      </c>
      <c r="AY367" t="s">
        <v>1145</v>
      </c>
      <c r="AZ367" t="s">
        <v>1145</v>
      </c>
      <c r="BA367">
        <v>1</v>
      </c>
      <c r="BD367">
        <v>1000000000</v>
      </c>
      <c r="BE367">
        <v>2</v>
      </c>
      <c r="BF367">
        <v>0</v>
      </c>
      <c r="BG367">
        <v>0</v>
      </c>
      <c r="BH367">
        <v>0</v>
      </c>
      <c r="BI367">
        <v>0</v>
      </c>
      <c r="BJ367">
        <v>0</v>
      </c>
      <c r="BK367">
        <v>0</v>
      </c>
      <c r="BL367">
        <v>0</v>
      </c>
      <c r="BM367">
        <v>2</v>
      </c>
      <c r="BN367">
        <v>0</v>
      </c>
      <c r="BO367">
        <v>0</v>
      </c>
      <c r="BP367">
        <v>0</v>
      </c>
      <c r="BR367">
        <v>0</v>
      </c>
      <c r="BS367">
        <v>1</v>
      </c>
      <c r="BX367">
        <v>0</v>
      </c>
      <c r="BY367">
        <v>0</v>
      </c>
      <c r="BZ367">
        <v>0</v>
      </c>
      <c r="CA367">
        <v>-11.94</v>
      </c>
      <c r="CC367">
        <v>1</v>
      </c>
      <c r="CD367" s="56">
        <v>42619</v>
      </c>
      <c r="CE367" s="56">
        <v>42619</v>
      </c>
      <c r="CF367" s="56">
        <v>42619</v>
      </c>
      <c r="CG367" s="56">
        <v>42647</v>
      </c>
      <c r="CH367" s="56"/>
      <c r="CI367" s="56"/>
      <c r="CJ367">
        <v>0</v>
      </c>
      <c r="CK367">
        <v>0</v>
      </c>
      <c r="CL367">
        <v>0</v>
      </c>
      <c r="CM367">
        <v>0</v>
      </c>
      <c r="CN367">
        <v>0.65</v>
      </c>
      <c r="CO367">
        <v>0</v>
      </c>
      <c r="CP367">
        <v>0</v>
      </c>
      <c r="CQ367" t="s">
        <v>1378</v>
      </c>
      <c r="CR367" t="s">
        <v>1377</v>
      </c>
      <c r="CS367" t="s">
        <v>1451</v>
      </c>
      <c r="CT367" t="s">
        <v>1724</v>
      </c>
      <c r="CU367" t="s">
        <v>1742</v>
      </c>
      <c r="CV367" t="s">
        <v>2311</v>
      </c>
      <c r="DB367" t="s">
        <v>2309</v>
      </c>
      <c r="DE367" t="s">
        <v>1724</v>
      </c>
    </row>
    <row r="368" spans="1:109" x14ac:dyDescent="0.25">
      <c r="A368" t="s">
        <v>1378</v>
      </c>
      <c r="B368">
        <v>1</v>
      </c>
      <c r="C368" s="56">
        <v>42640</v>
      </c>
      <c r="D368" t="s">
        <v>1449</v>
      </c>
      <c r="E368" t="s">
        <v>2102</v>
      </c>
      <c r="G368" t="s">
        <v>1144</v>
      </c>
      <c r="H368" t="s">
        <v>1144</v>
      </c>
      <c r="I368" t="s">
        <v>1144</v>
      </c>
      <c r="J368" t="s">
        <v>1144</v>
      </c>
      <c r="K368" t="s">
        <v>1144</v>
      </c>
      <c r="L368">
        <v>170.87</v>
      </c>
      <c r="M368">
        <v>2</v>
      </c>
      <c r="N368">
        <v>0</v>
      </c>
      <c r="O368" s="56"/>
      <c r="P368" s="56"/>
      <c r="Q368">
        <v>13718</v>
      </c>
      <c r="R368">
        <v>9</v>
      </c>
      <c r="S368">
        <v>4</v>
      </c>
      <c r="T368">
        <v>2</v>
      </c>
      <c r="U368">
        <v>2</v>
      </c>
      <c r="V368">
        <v>1</v>
      </c>
      <c r="W368" t="s">
        <v>1376</v>
      </c>
      <c r="X368" t="s">
        <v>2385</v>
      </c>
      <c r="AA368">
        <v>0</v>
      </c>
      <c r="AB368">
        <v>0</v>
      </c>
      <c r="AC368">
        <v>0</v>
      </c>
      <c r="AD368">
        <v>0</v>
      </c>
      <c r="AE368">
        <v>0</v>
      </c>
      <c r="AF368">
        <v>0</v>
      </c>
      <c r="AG368">
        <v>0</v>
      </c>
      <c r="AJ368" s="56"/>
      <c r="AK368" s="56">
        <v>42369</v>
      </c>
      <c r="AL368" s="56"/>
      <c r="AM368">
        <v>1</v>
      </c>
      <c r="AP368" t="s">
        <v>1450</v>
      </c>
      <c r="AS368" t="s">
        <v>1152</v>
      </c>
      <c r="AT368">
        <v>1</v>
      </c>
      <c r="AV368">
        <v>2</v>
      </c>
      <c r="AW368">
        <v>2</v>
      </c>
      <c r="AX368">
        <v>1</v>
      </c>
      <c r="AY368" t="s">
        <v>1145</v>
      </c>
      <c r="AZ368" t="s">
        <v>1145</v>
      </c>
      <c r="BA368">
        <v>1</v>
      </c>
      <c r="BD368">
        <v>1000000000</v>
      </c>
      <c r="BE368">
        <v>2</v>
      </c>
      <c r="BF368">
        <v>0</v>
      </c>
      <c r="BG368">
        <v>0</v>
      </c>
      <c r="BH368">
        <v>0</v>
      </c>
      <c r="BI368">
        <v>0</v>
      </c>
      <c r="BJ368">
        <v>0</v>
      </c>
      <c r="BK368">
        <v>0</v>
      </c>
      <c r="BL368">
        <v>0</v>
      </c>
      <c r="BM368">
        <v>2</v>
      </c>
      <c r="BN368">
        <v>0</v>
      </c>
      <c r="BO368">
        <v>0</v>
      </c>
      <c r="BP368">
        <v>0</v>
      </c>
      <c r="BR368">
        <v>0</v>
      </c>
      <c r="BS368">
        <v>1</v>
      </c>
      <c r="BX368">
        <v>0</v>
      </c>
      <c r="BY368">
        <v>0</v>
      </c>
      <c r="BZ368">
        <v>0</v>
      </c>
      <c r="CA368">
        <v>-11.86</v>
      </c>
      <c r="CC368">
        <v>1</v>
      </c>
      <c r="CD368" s="56">
        <v>42619</v>
      </c>
      <c r="CE368" s="56">
        <v>42619</v>
      </c>
      <c r="CF368" s="56">
        <v>42619</v>
      </c>
      <c r="CG368" s="56">
        <v>42647</v>
      </c>
      <c r="CH368" s="56"/>
      <c r="CI368" s="56"/>
      <c r="CJ368">
        <v>0</v>
      </c>
      <c r="CK368">
        <v>0</v>
      </c>
      <c r="CL368">
        <v>0</v>
      </c>
      <c r="CM368">
        <v>0</v>
      </c>
      <c r="CN368">
        <v>0.65</v>
      </c>
      <c r="CO368">
        <v>0</v>
      </c>
      <c r="CP368">
        <v>0</v>
      </c>
      <c r="CQ368" t="s">
        <v>1378</v>
      </c>
      <c r="CR368" t="s">
        <v>1377</v>
      </c>
      <c r="CS368" t="s">
        <v>1451</v>
      </c>
      <c r="CT368" t="s">
        <v>1724</v>
      </c>
      <c r="CU368" t="s">
        <v>1742</v>
      </c>
      <c r="CV368" t="s">
        <v>2103</v>
      </c>
      <c r="DB368" t="s">
        <v>2014</v>
      </c>
      <c r="DE368" t="s">
        <v>1724</v>
      </c>
    </row>
    <row r="369" spans="1:109" x14ac:dyDescent="0.25">
      <c r="A369" t="s">
        <v>1378</v>
      </c>
      <c r="B369">
        <v>1</v>
      </c>
      <c r="C369" s="56">
        <v>42640</v>
      </c>
      <c r="D369" t="s">
        <v>1449</v>
      </c>
      <c r="E369" t="s">
        <v>1792</v>
      </c>
      <c r="G369" t="s">
        <v>1144</v>
      </c>
      <c r="H369" t="s">
        <v>1144</v>
      </c>
      <c r="I369" t="s">
        <v>1144</v>
      </c>
      <c r="J369" t="s">
        <v>1144</v>
      </c>
      <c r="K369" t="s">
        <v>1144</v>
      </c>
      <c r="L369">
        <v>917.94</v>
      </c>
      <c r="M369">
        <v>2032.14</v>
      </c>
      <c r="N369">
        <v>0</v>
      </c>
      <c r="O369" s="56"/>
      <c r="P369" s="56"/>
      <c r="Q369">
        <v>13718</v>
      </c>
      <c r="R369">
        <v>9</v>
      </c>
      <c r="S369">
        <v>4</v>
      </c>
      <c r="T369">
        <v>2</v>
      </c>
      <c r="U369">
        <v>2</v>
      </c>
      <c r="V369">
        <v>1</v>
      </c>
      <c r="X369" t="s">
        <v>2385</v>
      </c>
      <c r="AA369">
        <v>0</v>
      </c>
      <c r="AB369">
        <v>0</v>
      </c>
      <c r="AC369">
        <v>0</v>
      </c>
      <c r="AD369">
        <v>0</v>
      </c>
      <c r="AE369">
        <v>0</v>
      </c>
      <c r="AF369">
        <v>0</v>
      </c>
      <c r="AG369">
        <v>0</v>
      </c>
      <c r="AJ369" s="56"/>
      <c r="AK369" s="56"/>
      <c r="AL369" s="56">
        <v>42322</v>
      </c>
      <c r="AM369">
        <v>1</v>
      </c>
      <c r="AP369" t="s">
        <v>1450</v>
      </c>
      <c r="AS369" t="s">
        <v>1152</v>
      </c>
      <c r="AT369">
        <v>1</v>
      </c>
      <c r="AV369">
        <v>0</v>
      </c>
      <c r="AW369">
        <v>0</v>
      </c>
      <c r="AX369">
        <v>0</v>
      </c>
      <c r="AY369" t="s">
        <v>1375</v>
      </c>
      <c r="AZ369" t="s">
        <v>1375</v>
      </c>
      <c r="BA369">
        <v>2</v>
      </c>
      <c r="BD369">
        <v>1000000000</v>
      </c>
      <c r="BE369">
        <v>0</v>
      </c>
      <c r="BF369">
        <v>0</v>
      </c>
      <c r="BG369">
        <v>0</v>
      </c>
      <c r="BH369">
        <v>0</v>
      </c>
      <c r="BI369">
        <v>0</v>
      </c>
      <c r="BJ369">
        <v>0</v>
      </c>
      <c r="BK369">
        <v>0</v>
      </c>
      <c r="BL369">
        <v>0</v>
      </c>
      <c r="BM369">
        <v>0</v>
      </c>
      <c r="BN369">
        <v>0</v>
      </c>
      <c r="BO369">
        <v>0</v>
      </c>
      <c r="BP369">
        <v>0</v>
      </c>
      <c r="BR369">
        <v>0</v>
      </c>
      <c r="BS369">
        <v>0</v>
      </c>
      <c r="BX369">
        <v>0</v>
      </c>
      <c r="BY369">
        <v>0</v>
      </c>
      <c r="BZ369">
        <v>0</v>
      </c>
      <c r="CA369">
        <v>0</v>
      </c>
      <c r="CC369">
        <v>1</v>
      </c>
      <c r="CD369" s="56">
        <v>42619</v>
      </c>
      <c r="CE369" s="56">
        <v>42619</v>
      </c>
      <c r="CF369" s="56">
        <v>42619</v>
      </c>
      <c r="CG369" s="56">
        <v>42647</v>
      </c>
      <c r="CH369" s="56"/>
      <c r="CI369" s="56"/>
      <c r="CJ369">
        <v>1</v>
      </c>
      <c r="CK369">
        <v>0</v>
      </c>
      <c r="CL369">
        <v>0.65</v>
      </c>
      <c r="CM369">
        <v>0</v>
      </c>
      <c r="CN369">
        <v>0</v>
      </c>
      <c r="CO369">
        <v>0</v>
      </c>
      <c r="CP369">
        <v>0</v>
      </c>
      <c r="CQ369" t="s">
        <v>1378</v>
      </c>
      <c r="CR369" t="s">
        <v>1377</v>
      </c>
      <c r="CS369" t="s">
        <v>1451</v>
      </c>
      <c r="CT369" t="s">
        <v>1724</v>
      </c>
      <c r="CU369" t="s">
        <v>1742</v>
      </c>
      <c r="CV369" t="s">
        <v>1793</v>
      </c>
      <c r="DB369" t="s">
        <v>1794</v>
      </c>
      <c r="DE369" t="s">
        <v>1724</v>
      </c>
    </row>
    <row r="370" spans="1:109" x14ac:dyDescent="0.25">
      <c r="A370" t="s">
        <v>1378</v>
      </c>
      <c r="B370">
        <v>1</v>
      </c>
      <c r="C370" s="56">
        <v>42640</v>
      </c>
      <c r="D370" t="s">
        <v>1449</v>
      </c>
      <c r="E370" t="s">
        <v>2154</v>
      </c>
      <c r="G370" t="s">
        <v>1144</v>
      </c>
      <c r="H370" t="s">
        <v>1144</v>
      </c>
      <c r="I370" t="s">
        <v>1144</v>
      </c>
      <c r="J370" t="s">
        <v>1144</v>
      </c>
      <c r="K370" t="s">
        <v>1144</v>
      </c>
      <c r="L370">
        <v>2093.9699999999998</v>
      </c>
      <c r="M370">
        <v>2</v>
      </c>
      <c r="N370">
        <v>0</v>
      </c>
      <c r="O370" s="56"/>
      <c r="P370" s="56"/>
      <c r="Q370">
        <v>13718</v>
      </c>
      <c r="R370">
        <v>9</v>
      </c>
      <c r="S370">
        <v>4</v>
      </c>
      <c r="T370">
        <v>2</v>
      </c>
      <c r="U370">
        <v>2</v>
      </c>
      <c r="V370">
        <v>1</v>
      </c>
      <c r="X370" t="s">
        <v>2385</v>
      </c>
      <c r="AA370">
        <v>0</v>
      </c>
      <c r="AB370">
        <v>0</v>
      </c>
      <c r="AC370">
        <v>0</v>
      </c>
      <c r="AD370">
        <v>0</v>
      </c>
      <c r="AE370">
        <v>0</v>
      </c>
      <c r="AF370">
        <v>0</v>
      </c>
      <c r="AG370">
        <v>0</v>
      </c>
      <c r="AJ370" s="56"/>
      <c r="AK370" s="56"/>
      <c r="AL370" s="56"/>
      <c r="AP370" t="s">
        <v>1450</v>
      </c>
      <c r="AS370" t="s">
        <v>1152</v>
      </c>
      <c r="AT370">
        <v>1</v>
      </c>
      <c r="AV370">
        <v>0</v>
      </c>
      <c r="AW370">
        <v>0</v>
      </c>
      <c r="AX370">
        <v>0</v>
      </c>
      <c r="AY370" t="s">
        <v>1375</v>
      </c>
      <c r="AZ370" t="s">
        <v>1375</v>
      </c>
      <c r="BA370">
        <v>2</v>
      </c>
      <c r="BD370">
        <v>1000000000</v>
      </c>
      <c r="BE370">
        <v>2</v>
      </c>
      <c r="BF370">
        <v>0</v>
      </c>
      <c r="BG370">
        <v>0</v>
      </c>
      <c r="BH370">
        <v>0</v>
      </c>
      <c r="BI370">
        <v>0</v>
      </c>
      <c r="BJ370">
        <v>0</v>
      </c>
      <c r="BK370">
        <v>0</v>
      </c>
      <c r="BL370">
        <v>0</v>
      </c>
      <c r="BM370">
        <v>2</v>
      </c>
      <c r="BN370">
        <v>0</v>
      </c>
      <c r="BO370">
        <v>0</v>
      </c>
      <c r="BP370">
        <v>0</v>
      </c>
      <c r="BR370">
        <v>0</v>
      </c>
      <c r="BS370">
        <v>0</v>
      </c>
      <c r="BX370">
        <v>0</v>
      </c>
      <c r="BY370">
        <v>0</v>
      </c>
      <c r="BZ370">
        <v>0</v>
      </c>
      <c r="CA370">
        <v>0</v>
      </c>
      <c r="CC370">
        <v>1</v>
      </c>
      <c r="CD370" s="56">
        <v>42619</v>
      </c>
      <c r="CE370" s="56">
        <v>42619</v>
      </c>
      <c r="CF370" s="56">
        <v>42619</v>
      </c>
      <c r="CG370" s="56">
        <v>42647</v>
      </c>
      <c r="CH370" s="56"/>
      <c r="CI370" s="56"/>
      <c r="CJ370">
        <v>0</v>
      </c>
      <c r="CK370">
        <v>0</v>
      </c>
      <c r="CL370">
        <v>0</v>
      </c>
      <c r="CM370">
        <v>0</v>
      </c>
      <c r="CN370">
        <v>0</v>
      </c>
      <c r="CO370">
        <v>0</v>
      </c>
      <c r="CP370">
        <v>0.65</v>
      </c>
      <c r="CQ370" t="s">
        <v>1378</v>
      </c>
      <c r="CR370" t="s">
        <v>1377</v>
      </c>
      <c r="CS370" t="s">
        <v>1451</v>
      </c>
      <c r="CT370" t="s">
        <v>1724</v>
      </c>
      <c r="CU370" t="s">
        <v>1742</v>
      </c>
      <c r="CV370" t="s">
        <v>2147</v>
      </c>
      <c r="DB370" t="s">
        <v>2145</v>
      </c>
      <c r="DE370" t="s">
        <v>1724</v>
      </c>
    </row>
    <row r="371" spans="1:109" x14ac:dyDescent="0.25">
      <c r="A371" t="s">
        <v>1378</v>
      </c>
      <c r="B371">
        <v>1</v>
      </c>
      <c r="C371" s="56">
        <v>42640</v>
      </c>
      <c r="D371" t="s">
        <v>1449</v>
      </c>
      <c r="E371" t="s">
        <v>1841</v>
      </c>
      <c r="G371" t="s">
        <v>1144</v>
      </c>
      <c r="H371" t="s">
        <v>1144</v>
      </c>
      <c r="I371" t="s">
        <v>1144</v>
      </c>
      <c r="J371" t="s">
        <v>1144</v>
      </c>
      <c r="K371" t="s">
        <v>1144</v>
      </c>
      <c r="L371">
        <v>33.56</v>
      </c>
      <c r="M371">
        <v>91.5</v>
      </c>
      <c r="N371">
        <v>0</v>
      </c>
      <c r="O371" s="56"/>
      <c r="P371" s="56"/>
      <c r="Q371">
        <v>13718</v>
      </c>
      <c r="R371">
        <v>9</v>
      </c>
      <c r="S371">
        <v>4</v>
      </c>
      <c r="T371">
        <v>2</v>
      </c>
      <c r="U371">
        <v>2</v>
      </c>
      <c r="V371">
        <v>1</v>
      </c>
      <c r="W371" t="s">
        <v>1376</v>
      </c>
      <c r="X371" t="s">
        <v>2385</v>
      </c>
      <c r="AA371">
        <v>0</v>
      </c>
      <c r="AB371">
        <v>0</v>
      </c>
      <c r="AC371">
        <v>0</v>
      </c>
      <c r="AD371">
        <v>0</v>
      </c>
      <c r="AE371">
        <v>0</v>
      </c>
      <c r="AF371">
        <v>0</v>
      </c>
      <c r="AG371">
        <v>0</v>
      </c>
      <c r="AJ371" s="56"/>
      <c r="AK371" s="56"/>
      <c r="AL371" s="56"/>
      <c r="AM371">
        <v>3</v>
      </c>
      <c r="AP371" t="s">
        <v>1450</v>
      </c>
      <c r="AS371" t="s">
        <v>1152</v>
      </c>
      <c r="AT371">
        <v>1</v>
      </c>
      <c r="AV371">
        <v>2</v>
      </c>
      <c r="AW371">
        <v>2</v>
      </c>
      <c r="AX371">
        <v>1</v>
      </c>
      <c r="AY371" t="s">
        <v>1145</v>
      </c>
      <c r="AZ371" t="s">
        <v>1145</v>
      </c>
      <c r="BA371">
        <v>3</v>
      </c>
      <c r="BD371">
        <v>1000000000</v>
      </c>
      <c r="BE371">
        <v>2</v>
      </c>
      <c r="BF371">
        <v>0</v>
      </c>
      <c r="BG371">
        <v>0</v>
      </c>
      <c r="BH371">
        <v>0</v>
      </c>
      <c r="BI371">
        <v>0</v>
      </c>
      <c r="BJ371">
        <v>0</v>
      </c>
      <c r="BK371">
        <v>0</v>
      </c>
      <c r="BL371">
        <v>0</v>
      </c>
      <c r="BM371">
        <v>2</v>
      </c>
      <c r="BN371">
        <v>0</v>
      </c>
      <c r="BO371">
        <v>0</v>
      </c>
      <c r="BP371">
        <v>0</v>
      </c>
      <c r="BR371">
        <v>0</v>
      </c>
      <c r="BS371">
        <v>1</v>
      </c>
      <c r="BX371">
        <v>0</v>
      </c>
      <c r="BY371">
        <v>0</v>
      </c>
      <c r="BZ371">
        <v>0</v>
      </c>
      <c r="CA371">
        <v>20.72</v>
      </c>
      <c r="CC371">
        <v>1</v>
      </c>
      <c r="CD371" s="56">
        <v>42619</v>
      </c>
      <c r="CE371" s="56">
        <v>42619</v>
      </c>
      <c r="CF371" s="56">
        <v>42619</v>
      </c>
      <c r="CG371" s="56">
        <v>42647</v>
      </c>
      <c r="CH371" s="56"/>
      <c r="CI371" s="56"/>
      <c r="CJ371">
        <v>0</v>
      </c>
      <c r="CK371">
        <v>0</v>
      </c>
      <c r="CL371">
        <v>0</v>
      </c>
      <c r="CM371">
        <v>0</v>
      </c>
      <c r="CN371">
        <v>0.65</v>
      </c>
      <c r="CO371">
        <v>0</v>
      </c>
      <c r="CP371">
        <v>0</v>
      </c>
      <c r="CQ371" t="s">
        <v>1378</v>
      </c>
      <c r="CR371" t="s">
        <v>1377</v>
      </c>
      <c r="CS371" t="s">
        <v>1451</v>
      </c>
      <c r="CT371" t="s">
        <v>1724</v>
      </c>
      <c r="CU371" t="s">
        <v>1742</v>
      </c>
      <c r="CV371" t="s">
        <v>1842</v>
      </c>
      <c r="DB371" t="s">
        <v>1830</v>
      </c>
      <c r="DE371" t="s">
        <v>1724</v>
      </c>
    </row>
    <row r="372" spans="1:109" x14ac:dyDescent="0.25">
      <c r="A372" t="s">
        <v>1378</v>
      </c>
      <c r="B372">
        <v>1</v>
      </c>
      <c r="C372" s="56">
        <v>42640</v>
      </c>
      <c r="D372" t="s">
        <v>1449</v>
      </c>
      <c r="E372" t="s">
        <v>1484</v>
      </c>
      <c r="G372" t="s">
        <v>1144</v>
      </c>
      <c r="H372" t="s">
        <v>1144</v>
      </c>
      <c r="I372" t="s">
        <v>1144</v>
      </c>
      <c r="J372" t="s">
        <v>1144</v>
      </c>
      <c r="K372" t="s">
        <v>1144</v>
      </c>
      <c r="L372">
        <v>447.47</v>
      </c>
      <c r="M372">
        <v>2</v>
      </c>
      <c r="N372">
        <v>0</v>
      </c>
      <c r="O372" s="56"/>
      <c r="P372" s="56"/>
      <c r="Q372">
        <v>13718</v>
      </c>
      <c r="R372">
        <v>9</v>
      </c>
      <c r="S372">
        <v>4</v>
      </c>
      <c r="T372">
        <v>2</v>
      </c>
      <c r="U372">
        <v>2</v>
      </c>
      <c r="V372">
        <v>1</v>
      </c>
      <c r="X372" t="s">
        <v>2386</v>
      </c>
      <c r="AA372">
        <v>0.04</v>
      </c>
      <c r="AB372">
        <v>1</v>
      </c>
      <c r="AC372">
        <v>6.25</v>
      </c>
      <c r="AD372">
        <v>12.5</v>
      </c>
      <c r="AE372">
        <v>0</v>
      </c>
      <c r="AF372">
        <v>0</v>
      </c>
      <c r="AG372">
        <v>0</v>
      </c>
      <c r="AJ372" s="56"/>
      <c r="AK372" s="56"/>
      <c r="AL372" s="56"/>
      <c r="AM372">
        <v>1</v>
      </c>
      <c r="AP372" t="s">
        <v>1450</v>
      </c>
      <c r="AS372" t="s">
        <v>1152</v>
      </c>
      <c r="AT372">
        <v>1</v>
      </c>
      <c r="AV372">
        <v>1</v>
      </c>
      <c r="AW372">
        <v>1</v>
      </c>
      <c r="AX372">
        <v>0.5</v>
      </c>
      <c r="AY372" t="s">
        <v>1147</v>
      </c>
      <c r="AZ372" t="s">
        <v>1147</v>
      </c>
      <c r="BA372">
        <v>1</v>
      </c>
      <c r="BD372">
        <v>1000000000</v>
      </c>
      <c r="BE372">
        <v>2</v>
      </c>
      <c r="BF372">
        <v>-1</v>
      </c>
      <c r="BG372">
        <v>0</v>
      </c>
      <c r="BH372">
        <v>0</v>
      </c>
      <c r="BI372">
        <v>0</v>
      </c>
      <c r="BJ372">
        <v>0</v>
      </c>
      <c r="BK372">
        <v>0</v>
      </c>
      <c r="BL372">
        <v>0</v>
      </c>
      <c r="BM372">
        <v>2</v>
      </c>
      <c r="BN372">
        <v>-1</v>
      </c>
      <c r="BO372">
        <v>0</v>
      </c>
      <c r="BP372">
        <v>0</v>
      </c>
      <c r="BR372">
        <v>0</v>
      </c>
      <c r="BS372">
        <v>1</v>
      </c>
      <c r="BX372">
        <v>0</v>
      </c>
      <c r="BY372">
        <v>447.47</v>
      </c>
      <c r="BZ372">
        <v>0</v>
      </c>
      <c r="CA372">
        <v>-11.95</v>
      </c>
      <c r="CC372">
        <v>1</v>
      </c>
      <c r="CD372" s="56">
        <v>42593</v>
      </c>
      <c r="CE372" s="56">
        <v>42612</v>
      </c>
      <c r="CF372" s="56">
        <v>42612</v>
      </c>
      <c r="CG372" s="56">
        <v>42640</v>
      </c>
      <c r="CH372" s="56"/>
      <c r="CI372" s="56"/>
      <c r="CJ372">
        <v>0</v>
      </c>
      <c r="CK372">
        <v>0</v>
      </c>
      <c r="CL372">
        <v>0</v>
      </c>
      <c r="CM372">
        <v>0</v>
      </c>
      <c r="CN372">
        <v>0</v>
      </c>
      <c r="CO372">
        <v>0</v>
      </c>
      <c r="CP372">
        <v>0.71</v>
      </c>
      <c r="CQ372" t="s">
        <v>1378</v>
      </c>
      <c r="CR372" t="s">
        <v>1377</v>
      </c>
      <c r="CS372" t="s">
        <v>1451</v>
      </c>
      <c r="CT372" t="s">
        <v>1724</v>
      </c>
      <c r="CU372" t="s">
        <v>1742</v>
      </c>
      <c r="CV372" t="s">
        <v>2196</v>
      </c>
      <c r="DB372" t="s">
        <v>2161</v>
      </c>
      <c r="DE372" t="s">
        <v>1724</v>
      </c>
    </row>
    <row r="373" spans="1:109" x14ac:dyDescent="0.25">
      <c r="A373" t="s">
        <v>1378</v>
      </c>
      <c r="B373">
        <v>1</v>
      </c>
      <c r="C373" s="56">
        <v>42640</v>
      </c>
      <c r="D373" t="s">
        <v>1449</v>
      </c>
      <c r="E373" t="s">
        <v>1399</v>
      </c>
      <c r="G373" t="s">
        <v>1144</v>
      </c>
      <c r="H373" t="s">
        <v>1144</v>
      </c>
      <c r="I373" t="s">
        <v>1144</v>
      </c>
      <c r="J373" t="s">
        <v>1144</v>
      </c>
      <c r="K373" t="s">
        <v>1144</v>
      </c>
      <c r="L373">
        <v>372.37</v>
      </c>
      <c r="M373">
        <v>717.51</v>
      </c>
      <c r="N373">
        <v>0</v>
      </c>
      <c r="O373" s="56"/>
      <c r="P373" s="56"/>
      <c r="Q373">
        <v>13718</v>
      </c>
      <c r="R373">
        <v>9</v>
      </c>
      <c r="S373">
        <v>4</v>
      </c>
      <c r="T373">
        <v>2</v>
      </c>
      <c r="U373">
        <v>2</v>
      </c>
      <c r="V373">
        <v>1</v>
      </c>
      <c r="X373" t="s">
        <v>2385</v>
      </c>
      <c r="AA373">
        <v>0.23</v>
      </c>
      <c r="AB373">
        <v>2</v>
      </c>
      <c r="AC373">
        <v>5.43</v>
      </c>
      <c r="AD373">
        <v>11.96</v>
      </c>
      <c r="AE373">
        <v>0</v>
      </c>
      <c r="AF373">
        <v>0</v>
      </c>
      <c r="AG373">
        <v>0</v>
      </c>
      <c r="AJ373" s="56"/>
      <c r="AK373" s="56"/>
      <c r="AL373" s="56"/>
      <c r="AM373">
        <v>7</v>
      </c>
      <c r="AP373" t="s">
        <v>1450</v>
      </c>
      <c r="AS373" t="s">
        <v>1152</v>
      </c>
      <c r="AT373">
        <v>1</v>
      </c>
      <c r="AV373">
        <v>5</v>
      </c>
      <c r="AW373">
        <v>3</v>
      </c>
      <c r="AX373">
        <v>2</v>
      </c>
      <c r="AY373" t="s">
        <v>1147</v>
      </c>
      <c r="AZ373" t="s">
        <v>1147</v>
      </c>
      <c r="BA373">
        <v>7</v>
      </c>
      <c r="BD373">
        <v>1000000000</v>
      </c>
      <c r="BE373">
        <v>11</v>
      </c>
      <c r="BF373">
        <v>-1.2</v>
      </c>
      <c r="BG373">
        <v>0</v>
      </c>
      <c r="BH373">
        <v>0</v>
      </c>
      <c r="BI373">
        <v>0</v>
      </c>
      <c r="BJ373">
        <v>0</v>
      </c>
      <c r="BK373">
        <v>0</v>
      </c>
      <c r="BL373">
        <v>0</v>
      </c>
      <c r="BM373">
        <v>11</v>
      </c>
      <c r="BN373">
        <v>-1.2</v>
      </c>
      <c r="BO373">
        <v>0</v>
      </c>
      <c r="BP373">
        <v>0</v>
      </c>
      <c r="BR373">
        <v>0</v>
      </c>
      <c r="BS373">
        <v>3</v>
      </c>
      <c r="BX373">
        <v>0</v>
      </c>
      <c r="BY373">
        <v>2234.2199999999998</v>
      </c>
      <c r="BZ373">
        <v>0</v>
      </c>
      <c r="CA373">
        <v>11.12</v>
      </c>
      <c r="CC373">
        <v>1</v>
      </c>
      <c r="CD373" s="56">
        <v>42619</v>
      </c>
      <c r="CE373" s="56">
        <v>42619</v>
      </c>
      <c r="CF373" s="56">
        <v>42619</v>
      </c>
      <c r="CG373" s="56">
        <v>42647</v>
      </c>
      <c r="CH373" s="56"/>
      <c r="CI373" s="56"/>
      <c r="CJ373">
        <v>0.04</v>
      </c>
      <c r="CK373">
        <v>0</v>
      </c>
      <c r="CL373">
        <v>0</v>
      </c>
      <c r="CM373">
        <v>0</v>
      </c>
      <c r="CN373">
        <v>0</v>
      </c>
      <c r="CO373">
        <v>0</v>
      </c>
      <c r="CP373">
        <v>0.65</v>
      </c>
      <c r="CQ373" t="s">
        <v>1378</v>
      </c>
      <c r="CR373" t="s">
        <v>1377</v>
      </c>
      <c r="CS373" t="s">
        <v>1451</v>
      </c>
      <c r="CT373" t="s">
        <v>1724</v>
      </c>
      <c r="CU373" t="s">
        <v>1742</v>
      </c>
      <c r="CV373" t="s">
        <v>1893</v>
      </c>
      <c r="DB373" t="s">
        <v>1888</v>
      </c>
      <c r="DE373" t="s">
        <v>1724</v>
      </c>
    </row>
    <row r="374" spans="1:109" x14ac:dyDescent="0.25">
      <c r="A374" t="s">
        <v>1378</v>
      </c>
      <c r="B374">
        <v>1</v>
      </c>
      <c r="C374" s="56">
        <v>42640</v>
      </c>
      <c r="D374" t="s">
        <v>1449</v>
      </c>
      <c r="E374" t="s">
        <v>2242</v>
      </c>
      <c r="G374" t="s">
        <v>1144</v>
      </c>
      <c r="H374" t="s">
        <v>1144</v>
      </c>
      <c r="I374" t="s">
        <v>1144</v>
      </c>
      <c r="J374" t="s">
        <v>1144</v>
      </c>
      <c r="K374" t="s">
        <v>1144</v>
      </c>
      <c r="L374">
        <v>427.27</v>
      </c>
      <c r="M374">
        <v>2</v>
      </c>
      <c r="N374">
        <v>0</v>
      </c>
      <c r="O374" s="56"/>
      <c r="P374" s="56"/>
      <c r="Q374">
        <v>13718</v>
      </c>
      <c r="R374">
        <v>9</v>
      </c>
      <c r="S374">
        <v>4</v>
      </c>
      <c r="T374">
        <v>2</v>
      </c>
      <c r="U374">
        <v>2</v>
      </c>
      <c r="V374">
        <v>1</v>
      </c>
      <c r="W374" t="s">
        <v>2379</v>
      </c>
      <c r="X374" t="s">
        <v>2386</v>
      </c>
      <c r="AA374">
        <v>0</v>
      </c>
      <c r="AB374">
        <v>0</v>
      </c>
      <c r="AC374">
        <v>0</v>
      </c>
      <c r="AD374">
        <v>0</v>
      </c>
      <c r="AE374">
        <v>0</v>
      </c>
      <c r="AF374">
        <v>0</v>
      </c>
      <c r="AG374">
        <v>0</v>
      </c>
      <c r="AJ374" s="56"/>
      <c r="AK374" s="56">
        <v>42369</v>
      </c>
      <c r="AL374" s="56"/>
      <c r="AM374">
        <v>1</v>
      </c>
      <c r="AP374" t="s">
        <v>1450</v>
      </c>
      <c r="AS374" t="s">
        <v>1152</v>
      </c>
      <c r="AT374">
        <v>1</v>
      </c>
      <c r="AV374">
        <v>1</v>
      </c>
      <c r="AW374">
        <v>1</v>
      </c>
      <c r="AX374">
        <v>0.5</v>
      </c>
      <c r="AY374" t="s">
        <v>1145</v>
      </c>
      <c r="AZ374" t="s">
        <v>1145</v>
      </c>
      <c r="BA374">
        <v>1</v>
      </c>
      <c r="BD374">
        <v>1000000000</v>
      </c>
      <c r="BE374">
        <v>1</v>
      </c>
      <c r="BF374">
        <v>0</v>
      </c>
      <c r="BG374">
        <v>0</v>
      </c>
      <c r="BH374">
        <v>0</v>
      </c>
      <c r="BI374">
        <v>0</v>
      </c>
      <c r="BJ374">
        <v>0</v>
      </c>
      <c r="BK374">
        <v>0</v>
      </c>
      <c r="BL374">
        <v>0</v>
      </c>
      <c r="BM374">
        <v>1</v>
      </c>
      <c r="BN374">
        <v>0</v>
      </c>
      <c r="BO374">
        <v>0</v>
      </c>
      <c r="BP374">
        <v>0</v>
      </c>
      <c r="BR374">
        <v>0</v>
      </c>
      <c r="BS374">
        <v>1</v>
      </c>
      <c r="BX374">
        <v>0</v>
      </c>
      <c r="BY374">
        <v>0</v>
      </c>
      <c r="BZ374">
        <v>0</v>
      </c>
      <c r="CA374">
        <v>-11.94</v>
      </c>
      <c r="CC374">
        <v>1</v>
      </c>
      <c r="CD374" s="56">
        <v>42593</v>
      </c>
      <c r="CE374" s="56">
        <v>42612</v>
      </c>
      <c r="CF374" s="56">
        <v>42612</v>
      </c>
      <c r="CG374" s="56">
        <v>42640</v>
      </c>
      <c r="CH374" s="56"/>
      <c r="CI374" s="56"/>
      <c r="CJ374">
        <v>0</v>
      </c>
      <c r="CK374">
        <v>0</v>
      </c>
      <c r="CL374">
        <v>0</v>
      </c>
      <c r="CM374">
        <v>0</v>
      </c>
      <c r="CN374">
        <v>0.71</v>
      </c>
      <c r="CO374">
        <v>0</v>
      </c>
      <c r="CP374">
        <v>0</v>
      </c>
      <c r="CQ374" t="s">
        <v>1378</v>
      </c>
      <c r="CR374" t="s">
        <v>1377</v>
      </c>
      <c r="CS374" t="s">
        <v>1451</v>
      </c>
      <c r="CT374" t="s">
        <v>1724</v>
      </c>
      <c r="CU374" t="s">
        <v>1742</v>
      </c>
      <c r="CV374" t="s">
        <v>2231</v>
      </c>
      <c r="DB374" t="s">
        <v>2134</v>
      </c>
      <c r="DE374" t="s">
        <v>1724</v>
      </c>
    </row>
    <row r="375" spans="1:109" x14ac:dyDescent="0.25">
      <c r="A375" t="s">
        <v>1378</v>
      </c>
      <c r="B375">
        <v>1</v>
      </c>
      <c r="C375" s="56">
        <v>42640</v>
      </c>
      <c r="D375" t="s">
        <v>1449</v>
      </c>
      <c r="E375" t="s">
        <v>1958</v>
      </c>
      <c r="G375" t="s">
        <v>1144</v>
      </c>
      <c r="H375" t="s">
        <v>1144</v>
      </c>
      <c r="I375" t="s">
        <v>1144</v>
      </c>
      <c r="J375" t="s">
        <v>1144</v>
      </c>
      <c r="K375" t="s">
        <v>1144</v>
      </c>
      <c r="L375">
        <v>0</v>
      </c>
      <c r="M375">
        <v>230.18</v>
      </c>
      <c r="N375">
        <v>0</v>
      </c>
      <c r="O375" s="56"/>
      <c r="P375" s="56"/>
      <c r="Q375">
        <v>13718</v>
      </c>
      <c r="R375">
        <v>9</v>
      </c>
      <c r="S375">
        <v>4</v>
      </c>
      <c r="T375">
        <v>2</v>
      </c>
      <c r="U375">
        <v>2</v>
      </c>
      <c r="V375">
        <v>1</v>
      </c>
      <c r="X375" t="s">
        <v>2386</v>
      </c>
      <c r="AA375">
        <v>0</v>
      </c>
      <c r="AB375">
        <v>0</v>
      </c>
      <c r="AC375">
        <v>0</v>
      </c>
      <c r="AD375">
        <v>0</v>
      </c>
      <c r="AE375">
        <v>0</v>
      </c>
      <c r="AF375">
        <v>0</v>
      </c>
      <c r="AG375">
        <v>0</v>
      </c>
      <c r="AJ375" s="56"/>
      <c r="AK375" s="56"/>
      <c r="AL375" s="56"/>
      <c r="AP375" t="s">
        <v>1450</v>
      </c>
      <c r="AS375" t="s">
        <v>1152</v>
      </c>
      <c r="AT375">
        <v>1</v>
      </c>
      <c r="AV375">
        <v>0</v>
      </c>
      <c r="AW375">
        <v>0</v>
      </c>
      <c r="AX375">
        <v>0</v>
      </c>
      <c r="AY375" t="s">
        <v>1375</v>
      </c>
      <c r="AZ375" t="s">
        <v>1375</v>
      </c>
      <c r="BA375">
        <v>0</v>
      </c>
      <c r="BD375">
        <v>1000000000</v>
      </c>
      <c r="BE375">
        <v>0</v>
      </c>
      <c r="BF375">
        <v>0</v>
      </c>
      <c r="BG375">
        <v>0</v>
      </c>
      <c r="BH375">
        <v>0</v>
      </c>
      <c r="BI375">
        <v>0</v>
      </c>
      <c r="BJ375">
        <v>0</v>
      </c>
      <c r="BK375">
        <v>0</v>
      </c>
      <c r="BL375">
        <v>0</v>
      </c>
      <c r="BM375">
        <v>0</v>
      </c>
      <c r="BN375">
        <v>0</v>
      </c>
      <c r="BO375">
        <v>0</v>
      </c>
      <c r="BP375">
        <v>0</v>
      </c>
      <c r="BR375">
        <v>0</v>
      </c>
      <c r="BS375">
        <v>0</v>
      </c>
      <c r="BX375">
        <v>0</v>
      </c>
      <c r="BY375">
        <v>0</v>
      </c>
      <c r="BZ375">
        <v>0</v>
      </c>
      <c r="CA375">
        <v>0</v>
      </c>
      <c r="CC375">
        <v>1</v>
      </c>
      <c r="CD375" s="56">
        <v>42593</v>
      </c>
      <c r="CE375" s="56">
        <v>42612</v>
      </c>
      <c r="CF375" s="56">
        <v>42612</v>
      </c>
      <c r="CG375" s="56">
        <v>42640</v>
      </c>
      <c r="CH375" s="56"/>
      <c r="CI375" s="56"/>
      <c r="CJ375">
        <v>1</v>
      </c>
      <c r="CK375">
        <v>0</v>
      </c>
      <c r="CL375">
        <v>0.71</v>
      </c>
      <c r="CM375">
        <v>0</v>
      </c>
      <c r="CN375">
        <v>0</v>
      </c>
      <c r="CO375">
        <v>0</v>
      </c>
      <c r="CP375">
        <v>0</v>
      </c>
      <c r="CQ375" t="s">
        <v>1378</v>
      </c>
      <c r="CR375" t="s">
        <v>1377</v>
      </c>
      <c r="CS375" t="s">
        <v>1451</v>
      </c>
      <c r="CT375" t="s">
        <v>1724</v>
      </c>
      <c r="CU375" t="s">
        <v>1742</v>
      </c>
      <c r="CV375" t="s">
        <v>1954</v>
      </c>
      <c r="DB375" t="s">
        <v>1869</v>
      </c>
      <c r="DE375" t="s">
        <v>1724</v>
      </c>
    </row>
    <row r="376" spans="1:109" x14ac:dyDescent="0.25">
      <c r="A376" t="s">
        <v>1378</v>
      </c>
      <c r="B376">
        <v>1</v>
      </c>
      <c r="C376" s="56">
        <v>42640</v>
      </c>
      <c r="D376" t="s">
        <v>1449</v>
      </c>
      <c r="E376" t="s">
        <v>1738</v>
      </c>
      <c r="G376" t="s">
        <v>1144</v>
      </c>
      <c r="H376" t="s">
        <v>1144</v>
      </c>
      <c r="I376" t="s">
        <v>1144</v>
      </c>
      <c r="J376" t="s">
        <v>1144</v>
      </c>
      <c r="K376" t="s">
        <v>1144</v>
      </c>
      <c r="L376">
        <v>586.12</v>
      </c>
      <c r="M376">
        <v>2</v>
      </c>
      <c r="N376">
        <v>0</v>
      </c>
      <c r="O376" s="56"/>
      <c r="P376" s="56"/>
      <c r="Q376">
        <v>13718</v>
      </c>
      <c r="R376">
        <v>9</v>
      </c>
      <c r="S376">
        <v>4</v>
      </c>
      <c r="T376">
        <v>2</v>
      </c>
      <c r="U376">
        <v>2</v>
      </c>
      <c r="V376">
        <v>1</v>
      </c>
      <c r="W376" t="s">
        <v>2379</v>
      </c>
      <c r="X376" t="s">
        <v>2387</v>
      </c>
      <c r="AA376">
        <v>0.04</v>
      </c>
      <c r="AB376">
        <v>1</v>
      </c>
      <c r="AC376">
        <v>12.5</v>
      </c>
      <c r="AD376">
        <v>12.5</v>
      </c>
      <c r="AE376">
        <v>0</v>
      </c>
      <c r="AF376">
        <v>0</v>
      </c>
      <c r="AG376">
        <v>0</v>
      </c>
      <c r="AJ376" s="56"/>
      <c r="AK376" s="56"/>
      <c r="AL376" s="56"/>
      <c r="AM376">
        <v>1</v>
      </c>
      <c r="AP376" t="s">
        <v>1450</v>
      </c>
      <c r="AS376" t="s">
        <v>1152</v>
      </c>
      <c r="AT376">
        <v>1</v>
      </c>
      <c r="AV376">
        <v>2</v>
      </c>
      <c r="AW376">
        <v>2</v>
      </c>
      <c r="AX376">
        <v>1</v>
      </c>
      <c r="AY376" t="s">
        <v>1145</v>
      </c>
      <c r="AZ376" t="s">
        <v>1145</v>
      </c>
      <c r="BA376">
        <v>1</v>
      </c>
      <c r="BD376">
        <v>1000000000</v>
      </c>
      <c r="BE376">
        <v>2</v>
      </c>
      <c r="BF376">
        <v>0</v>
      </c>
      <c r="BG376">
        <v>0</v>
      </c>
      <c r="BH376">
        <v>0</v>
      </c>
      <c r="BI376">
        <v>0</v>
      </c>
      <c r="BJ376">
        <v>0</v>
      </c>
      <c r="BK376">
        <v>0</v>
      </c>
      <c r="BL376">
        <v>0</v>
      </c>
      <c r="BM376">
        <v>2</v>
      </c>
      <c r="BN376">
        <v>0</v>
      </c>
      <c r="BO376">
        <v>0</v>
      </c>
      <c r="BP376">
        <v>0</v>
      </c>
      <c r="BR376">
        <v>0</v>
      </c>
      <c r="BS376">
        <v>1</v>
      </c>
      <c r="BX376">
        <v>0</v>
      </c>
      <c r="BY376">
        <v>0</v>
      </c>
      <c r="BZ376">
        <v>0</v>
      </c>
      <c r="CA376">
        <v>-11.96</v>
      </c>
      <c r="CC376">
        <v>1</v>
      </c>
      <c r="CD376" s="56">
        <v>42592</v>
      </c>
      <c r="CE376" s="56">
        <v>42612</v>
      </c>
      <c r="CF376" s="56">
        <v>42612</v>
      </c>
      <c r="CG376" s="56">
        <v>42640</v>
      </c>
      <c r="CH376" s="56"/>
      <c r="CI376" s="56"/>
      <c r="CJ376">
        <v>0</v>
      </c>
      <c r="CK376">
        <v>0</v>
      </c>
      <c r="CL376">
        <v>0</v>
      </c>
      <c r="CM376">
        <v>0</v>
      </c>
      <c r="CN376">
        <v>0.71</v>
      </c>
      <c r="CO376">
        <v>0</v>
      </c>
      <c r="CP376">
        <v>0</v>
      </c>
      <c r="CQ376" t="s">
        <v>1378</v>
      </c>
      <c r="CR376" t="s">
        <v>1377</v>
      </c>
      <c r="CS376" t="s">
        <v>1451</v>
      </c>
      <c r="CT376" t="s">
        <v>1724</v>
      </c>
      <c r="CU376" t="s">
        <v>1742</v>
      </c>
      <c r="CV376" t="s">
        <v>2295</v>
      </c>
      <c r="DB376" t="s">
        <v>2286</v>
      </c>
      <c r="DE376" t="s">
        <v>1724</v>
      </c>
    </row>
    <row r="377" spans="1:109" x14ac:dyDescent="0.25">
      <c r="A377" t="s">
        <v>1378</v>
      </c>
      <c r="B377">
        <v>1</v>
      </c>
      <c r="C377" s="56">
        <v>42640</v>
      </c>
      <c r="D377" t="s">
        <v>1449</v>
      </c>
      <c r="E377" t="s">
        <v>1426</v>
      </c>
      <c r="G377" t="s">
        <v>1144</v>
      </c>
      <c r="H377" t="s">
        <v>1144</v>
      </c>
      <c r="I377" t="s">
        <v>1144</v>
      </c>
      <c r="J377" t="s">
        <v>1144</v>
      </c>
      <c r="K377" t="s">
        <v>1144</v>
      </c>
      <c r="L377">
        <v>280.3</v>
      </c>
      <c r="M377">
        <v>732.52</v>
      </c>
      <c r="N377">
        <v>0</v>
      </c>
      <c r="O377" s="56"/>
      <c r="P377" s="56"/>
      <c r="Q377">
        <v>13718</v>
      </c>
      <c r="R377">
        <v>9</v>
      </c>
      <c r="S377">
        <v>4</v>
      </c>
      <c r="T377">
        <v>2</v>
      </c>
      <c r="U377">
        <v>2</v>
      </c>
      <c r="V377">
        <v>1</v>
      </c>
      <c r="X377" t="s">
        <v>2385</v>
      </c>
      <c r="AA377">
        <v>0.59</v>
      </c>
      <c r="AB377">
        <v>4</v>
      </c>
      <c r="AC377">
        <v>2.54</v>
      </c>
      <c r="AD377">
        <v>3.39</v>
      </c>
      <c r="AE377">
        <v>0</v>
      </c>
      <c r="AF377">
        <v>0</v>
      </c>
      <c r="AG377">
        <v>0</v>
      </c>
      <c r="AJ377" s="56"/>
      <c r="AK377" s="56"/>
      <c r="AL377" s="56"/>
      <c r="AM377">
        <v>7</v>
      </c>
      <c r="AP377" t="s">
        <v>1450</v>
      </c>
      <c r="AS377" t="s">
        <v>1152</v>
      </c>
      <c r="AT377">
        <v>1</v>
      </c>
      <c r="AV377">
        <v>6</v>
      </c>
      <c r="AW377">
        <v>4</v>
      </c>
      <c r="AX377">
        <v>2</v>
      </c>
      <c r="AY377" t="s">
        <v>1147</v>
      </c>
      <c r="AZ377" t="s">
        <v>1147</v>
      </c>
      <c r="BA377">
        <v>7</v>
      </c>
      <c r="BD377">
        <v>1000000000</v>
      </c>
      <c r="BE377">
        <v>8</v>
      </c>
      <c r="BF377">
        <v>-0.33</v>
      </c>
      <c r="BG377">
        <v>0</v>
      </c>
      <c r="BH377">
        <v>0</v>
      </c>
      <c r="BI377">
        <v>0</v>
      </c>
      <c r="BJ377">
        <v>0</v>
      </c>
      <c r="BK377">
        <v>0</v>
      </c>
      <c r="BL377">
        <v>0</v>
      </c>
      <c r="BM377">
        <v>8</v>
      </c>
      <c r="BN377">
        <v>-0.33</v>
      </c>
      <c r="BO377">
        <v>0</v>
      </c>
      <c r="BP377">
        <v>0</v>
      </c>
      <c r="BR377">
        <v>0</v>
      </c>
      <c r="BS377">
        <v>3</v>
      </c>
      <c r="BX377">
        <v>0</v>
      </c>
      <c r="BY377">
        <v>560.6</v>
      </c>
      <c r="BZ377">
        <v>0</v>
      </c>
      <c r="CA377">
        <v>19.36</v>
      </c>
      <c r="CC377">
        <v>1</v>
      </c>
      <c r="CD377" s="56">
        <v>42619</v>
      </c>
      <c r="CE377" s="56">
        <v>42619</v>
      </c>
      <c r="CF377" s="56">
        <v>42619</v>
      </c>
      <c r="CG377" s="56">
        <v>42647</v>
      </c>
      <c r="CH377" s="56"/>
      <c r="CI377" s="56"/>
      <c r="CJ377">
        <v>0</v>
      </c>
      <c r="CK377">
        <v>0</v>
      </c>
      <c r="CL377">
        <v>0</v>
      </c>
      <c r="CM377">
        <v>0</v>
      </c>
      <c r="CN377">
        <v>0</v>
      </c>
      <c r="CO377">
        <v>0</v>
      </c>
      <c r="CP377">
        <v>0.65</v>
      </c>
      <c r="CQ377" t="s">
        <v>1378</v>
      </c>
      <c r="CR377" t="s">
        <v>1377</v>
      </c>
      <c r="CS377" t="s">
        <v>1451</v>
      </c>
      <c r="CT377" t="s">
        <v>1724</v>
      </c>
      <c r="CU377" t="s">
        <v>1742</v>
      </c>
      <c r="CV377" t="s">
        <v>2000</v>
      </c>
      <c r="DB377" t="s">
        <v>1997</v>
      </c>
      <c r="DE377" t="s">
        <v>1724</v>
      </c>
    </row>
    <row r="378" spans="1:109" x14ac:dyDescent="0.25">
      <c r="A378" t="s">
        <v>1378</v>
      </c>
      <c r="B378">
        <v>1</v>
      </c>
      <c r="C378" s="56">
        <v>42640</v>
      </c>
      <c r="D378" t="s">
        <v>1449</v>
      </c>
      <c r="E378" t="s">
        <v>1497</v>
      </c>
      <c r="G378" t="s">
        <v>1144</v>
      </c>
      <c r="H378" t="s">
        <v>1144</v>
      </c>
      <c r="I378" t="s">
        <v>1144</v>
      </c>
      <c r="J378" t="s">
        <v>1144</v>
      </c>
      <c r="K378" t="s">
        <v>1144</v>
      </c>
      <c r="L378">
        <v>185.35</v>
      </c>
      <c r="M378">
        <v>878.08</v>
      </c>
      <c r="N378">
        <v>0</v>
      </c>
      <c r="O378" s="56"/>
      <c r="P378" s="56"/>
      <c r="Q378">
        <v>13718</v>
      </c>
      <c r="R378">
        <v>9</v>
      </c>
      <c r="S378">
        <v>4</v>
      </c>
      <c r="T378">
        <v>2</v>
      </c>
      <c r="U378">
        <v>2</v>
      </c>
      <c r="V378">
        <v>1</v>
      </c>
      <c r="W378" t="s">
        <v>1376</v>
      </c>
      <c r="X378" t="s">
        <v>2385</v>
      </c>
      <c r="AA378">
        <v>0.2</v>
      </c>
      <c r="AB378">
        <v>2</v>
      </c>
      <c r="AC378">
        <v>2.5</v>
      </c>
      <c r="AD378">
        <v>2.5</v>
      </c>
      <c r="AE378">
        <v>0</v>
      </c>
      <c r="AF378">
        <v>0</v>
      </c>
      <c r="AG378">
        <v>0</v>
      </c>
      <c r="AJ378" s="56"/>
      <c r="AK378" s="56"/>
      <c r="AL378" s="56"/>
      <c r="AM378">
        <v>4</v>
      </c>
      <c r="AP378" t="s">
        <v>1450</v>
      </c>
      <c r="AS378" t="s">
        <v>1152</v>
      </c>
      <c r="AT378">
        <v>1</v>
      </c>
      <c r="AV378">
        <v>2</v>
      </c>
      <c r="AW378">
        <v>2</v>
      </c>
      <c r="AX378">
        <v>1</v>
      </c>
      <c r="AY378" t="s">
        <v>1145</v>
      </c>
      <c r="AZ378" t="s">
        <v>1145</v>
      </c>
      <c r="BA378">
        <v>4</v>
      </c>
      <c r="BD378">
        <v>1000000000</v>
      </c>
      <c r="BE378">
        <v>2</v>
      </c>
      <c r="BF378">
        <v>0</v>
      </c>
      <c r="BG378">
        <v>0</v>
      </c>
      <c r="BH378">
        <v>0</v>
      </c>
      <c r="BI378">
        <v>0</v>
      </c>
      <c r="BJ378">
        <v>0</v>
      </c>
      <c r="BK378">
        <v>0</v>
      </c>
      <c r="BL378">
        <v>0</v>
      </c>
      <c r="BM378">
        <v>2</v>
      </c>
      <c r="BN378">
        <v>0</v>
      </c>
      <c r="BO378">
        <v>0</v>
      </c>
      <c r="BP378">
        <v>0</v>
      </c>
      <c r="BR378">
        <v>0</v>
      </c>
      <c r="BS378">
        <v>1</v>
      </c>
      <c r="BX378">
        <v>0</v>
      </c>
      <c r="BY378">
        <v>0</v>
      </c>
      <c r="BZ378">
        <v>0</v>
      </c>
      <c r="CA378">
        <v>44.85</v>
      </c>
      <c r="CC378">
        <v>1</v>
      </c>
      <c r="CD378" s="56">
        <v>42619</v>
      </c>
      <c r="CE378" s="56">
        <v>42619</v>
      </c>
      <c r="CF378" s="56">
        <v>42619</v>
      </c>
      <c r="CG378" s="56">
        <v>42647</v>
      </c>
      <c r="CH378" s="56"/>
      <c r="CI378" s="56"/>
      <c r="CJ378">
        <v>0</v>
      </c>
      <c r="CK378">
        <v>0</v>
      </c>
      <c r="CL378">
        <v>0</v>
      </c>
      <c r="CM378">
        <v>0</v>
      </c>
      <c r="CN378">
        <v>0.65</v>
      </c>
      <c r="CO378">
        <v>0</v>
      </c>
      <c r="CP378">
        <v>0</v>
      </c>
      <c r="CQ378" t="s">
        <v>1378</v>
      </c>
      <c r="CR378" t="s">
        <v>1377</v>
      </c>
      <c r="CS378" t="s">
        <v>1451</v>
      </c>
      <c r="CT378" t="s">
        <v>1724</v>
      </c>
      <c r="CU378" t="s">
        <v>1742</v>
      </c>
      <c r="CV378" t="s">
        <v>2352</v>
      </c>
      <c r="DB378" t="s">
        <v>2351</v>
      </c>
      <c r="DE378" t="s">
        <v>1724</v>
      </c>
    </row>
    <row r="379" spans="1:109" x14ac:dyDescent="0.25">
      <c r="A379" t="s">
        <v>1378</v>
      </c>
      <c r="B379">
        <v>1</v>
      </c>
      <c r="C379" s="56">
        <v>42640</v>
      </c>
      <c r="D379" t="s">
        <v>1449</v>
      </c>
      <c r="E379" t="s">
        <v>1475</v>
      </c>
      <c r="G379" t="s">
        <v>1144</v>
      </c>
      <c r="H379" t="s">
        <v>1144</v>
      </c>
      <c r="I379" t="s">
        <v>1144</v>
      </c>
      <c r="J379" t="s">
        <v>1144</v>
      </c>
      <c r="K379" t="s">
        <v>1144</v>
      </c>
      <c r="L379">
        <v>57.95</v>
      </c>
      <c r="M379">
        <v>99.55</v>
      </c>
      <c r="N379">
        <v>0</v>
      </c>
      <c r="O379" s="56"/>
      <c r="P379" s="56"/>
      <c r="Q379">
        <v>13718</v>
      </c>
      <c r="R379">
        <v>9</v>
      </c>
      <c r="S379">
        <v>4</v>
      </c>
      <c r="T379">
        <v>2</v>
      </c>
      <c r="U379">
        <v>2</v>
      </c>
      <c r="V379">
        <v>1</v>
      </c>
      <c r="X379" t="s">
        <v>2386</v>
      </c>
      <c r="AA379">
        <v>1.17</v>
      </c>
      <c r="AB379">
        <v>8</v>
      </c>
      <c r="AC379">
        <v>0.85</v>
      </c>
      <c r="AD379">
        <v>1.28</v>
      </c>
      <c r="AE379">
        <v>0</v>
      </c>
      <c r="AF379">
        <v>0</v>
      </c>
      <c r="AG379">
        <v>0</v>
      </c>
      <c r="AJ379" s="56">
        <v>42666</v>
      </c>
      <c r="AK379" s="56">
        <v>42369</v>
      </c>
      <c r="AL379" s="56"/>
      <c r="AM379">
        <v>4</v>
      </c>
      <c r="AP379" t="s">
        <v>1450</v>
      </c>
      <c r="AS379" t="s">
        <v>1152</v>
      </c>
      <c r="AT379">
        <v>1</v>
      </c>
      <c r="AV379">
        <v>4</v>
      </c>
      <c r="AW379">
        <v>3</v>
      </c>
      <c r="AX379">
        <v>1</v>
      </c>
      <c r="AY379" t="s">
        <v>1147</v>
      </c>
      <c r="AZ379" t="s">
        <v>1147</v>
      </c>
      <c r="BA379">
        <v>4</v>
      </c>
      <c r="BD379">
        <v>1000000000</v>
      </c>
      <c r="BE379">
        <v>6</v>
      </c>
      <c r="BF379">
        <v>-0.5</v>
      </c>
      <c r="BG379">
        <v>0</v>
      </c>
      <c r="BH379">
        <v>0</v>
      </c>
      <c r="BI379">
        <v>0</v>
      </c>
      <c r="BJ379">
        <v>0</v>
      </c>
      <c r="BK379">
        <v>0</v>
      </c>
      <c r="BL379">
        <v>0</v>
      </c>
      <c r="BM379">
        <v>6</v>
      </c>
      <c r="BN379">
        <v>-0.5</v>
      </c>
      <c r="BO379">
        <v>0</v>
      </c>
      <c r="BP379">
        <v>0</v>
      </c>
      <c r="BR379">
        <v>0</v>
      </c>
      <c r="BS379">
        <v>2</v>
      </c>
      <c r="BX379">
        <v>0</v>
      </c>
      <c r="BY379">
        <v>115.9</v>
      </c>
      <c r="BZ379">
        <v>0</v>
      </c>
      <c r="CA379">
        <v>8.61</v>
      </c>
      <c r="CC379">
        <v>1</v>
      </c>
      <c r="CD379" s="56">
        <v>42593</v>
      </c>
      <c r="CE379" s="56">
        <v>42612</v>
      </c>
      <c r="CF379" s="56">
        <v>42612</v>
      </c>
      <c r="CG379" s="56">
        <v>42640</v>
      </c>
      <c r="CH379" s="56"/>
      <c r="CI379" s="56"/>
      <c r="CJ379">
        <v>0</v>
      </c>
      <c r="CK379">
        <v>0</v>
      </c>
      <c r="CL379">
        <v>0</v>
      </c>
      <c r="CM379">
        <v>0</v>
      </c>
      <c r="CN379">
        <v>0</v>
      </c>
      <c r="CO379">
        <v>0</v>
      </c>
      <c r="CP379">
        <v>0.71</v>
      </c>
      <c r="CQ379" t="s">
        <v>1378</v>
      </c>
      <c r="CR379" t="s">
        <v>1377</v>
      </c>
      <c r="CS379" t="s">
        <v>1451</v>
      </c>
      <c r="CT379" t="s">
        <v>1724</v>
      </c>
      <c r="CU379" t="s">
        <v>1742</v>
      </c>
      <c r="CV379" t="s">
        <v>2053</v>
      </c>
      <c r="DB379" t="s">
        <v>2054</v>
      </c>
      <c r="DE379" t="s">
        <v>1724</v>
      </c>
    </row>
    <row r="380" spans="1:109" x14ac:dyDescent="0.25">
      <c r="A380" t="s">
        <v>1378</v>
      </c>
      <c r="B380">
        <v>1</v>
      </c>
      <c r="C380" s="56">
        <v>42640</v>
      </c>
      <c r="D380" t="s">
        <v>1449</v>
      </c>
      <c r="E380" t="s">
        <v>2182</v>
      </c>
      <c r="G380" t="s">
        <v>1144</v>
      </c>
      <c r="H380" t="s">
        <v>1144</v>
      </c>
      <c r="I380" t="s">
        <v>1144</v>
      </c>
      <c r="J380" t="s">
        <v>1144</v>
      </c>
      <c r="K380" t="s">
        <v>1144</v>
      </c>
      <c r="L380">
        <v>458.57</v>
      </c>
      <c r="M380">
        <v>2</v>
      </c>
      <c r="N380">
        <v>0</v>
      </c>
      <c r="O380" s="56"/>
      <c r="P380" s="56"/>
      <c r="Q380">
        <v>13718</v>
      </c>
      <c r="R380">
        <v>9</v>
      </c>
      <c r="S380">
        <v>4</v>
      </c>
      <c r="T380">
        <v>2</v>
      </c>
      <c r="U380">
        <v>2</v>
      </c>
      <c r="V380">
        <v>1</v>
      </c>
      <c r="X380" t="s">
        <v>2386</v>
      </c>
      <c r="AA380">
        <v>0</v>
      </c>
      <c r="AB380">
        <v>0</v>
      </c>
      <c r="AC380">
        <v>0</v>
      </c>
      <c r="AD380">
        <v>0</v>
      </c>
      <c r="AE380">
        <v>0</v>
      </c>
      <c r="AF380">
        <v>0</v>
      </c>
      <c r="AG380">
        <v>0</v>
      </c>
      <c r="AJ380" s="56"/>
      <c r="AK380" s="56">
        <v>42369</v>
      </c>
      <c r="AL380" s="56"/>
      <c r="AM380">
        <v>1</v>
      </c>
      <c r="AP380" t="s">
        <v>1450</v>
      </c>
      <c r="AS380" t="s">
        <v>1152</v>
      </c>
      <c r="AT380">
        <v>1</v>
      </c>
      <c r="AV380">
        <v>1</v>
      </c>
      <c r="AW380">
        <v>1</v>
      </c>
      <c r="AX380">
        <v>0.5</v>
      </c>
      <c r="AY380" t="s">
        <v>1147</v>
      </c>
      <c r="AZ380" t="s">
        <v>1147</v>
      </c>
      <c r="BA380">
        <v>1</v>
      </c>
      <c r="BD380">
        <v>1000000000</v>
      </c>
      <c r="BE380">
        <v>2</v>
      </c>
      <c r="BF380">
        <v>-1</v>
      </c>
      <c r="BG380">
        <v>0</v>
      </c>
      <c r="BH380">
        <v>0</v>
      </c>
      <c r="BI380">
        <v>0</v>
      </c>
      <c r="BJ380">
        <v>0</v>
      </c>
      <c r="BK380">
        <v>0</v>
      </c>
      <c r="BL380">
        <v>0</v>
      </c>
      <c r="BM380">
        <v>2</v>
      </c>
      <c r="BN380">
        <v>-1</v>
      </c>
      <c r="BO380">
        <v>0</v>
      </c>
      <c r="BP380">
        <v>0</v>
      </c>
      <c r="BR380">
        <v>0</v>
      </c>
      <c r="BS380">
        <v>1</v>
      </c>
      <c r="BX380">
        <v>0</v>
      </c>
      <c r="BY380">
        <v>458.57</v>
      </c>
      <c r="BZ380">
        <v>0</v>
      </c>
      <c r="CA380">
        <v>-11.95</v>
      </c>
      <c r="CC380">
        <v>1</v>
      </c>
      <c r="CD380" s="56">
        <v>42593</v>
      </c>
      <c r="CE380" s="56">
        <v>42612</v>
      </c>
      <c r="CF380" s="56">
        <v>42612</v>
      </c>
      <c r="CG380" s="56">
        <v>42640</v>
      </c>
      <c r="CH380" s="56"/>
      <c r="CI380" s="56"/>
      <c r="CJ380">
        <v>0</v>
      </c>
      <c r="CK380">
        <v>0</v>
      </c>
      <c r="CL380">
        <v>0</v>
      </c>
      <c r="CM380">
        <v>0</v>
      </c>
      <c r="CN380">
        <v>0</v>
      </c>
      <c r="CO380">
        <v>0</v>
      </c>
      <c r="CP380">
        <v>0.71</v>
      </c>
      <c r="CQ380" t="s">
        <v>1378</v>
      </c>
      <c r="CR380" t="s">
        <v>1377</v>
      </c>
      <c r="CS380" t="s">
        <v>1451</v>
      </c>
      <c r="CT380" t="s">
        <v>1724</v>
      </c>
      <c r="CU380" t="s">
        <v>1742</v>
      </c>
      <c r="CV380" t="s">
        <v>2183</v>
      </c>
      <c r="DB380" t="s">
        <v>2161</v>
      </c>
      <c r="DE380" t="s">
        <v>1724</v>
      </c>
    </row>
    <row r="381" spans="1:109" x14ac:dyDescent="0.25">
      <c r="A381" t="s">
        <v>1378</v>
      </c>
      <c r="B381">
        <v>1</v>
      </c>
      <c r="C381" s="56">
        <v>42640</v>
      </c>
      <c r="D381" t="s">
        <v>1449</v>
      </c>
      <c r="E381" t="s">
        <v>1877</v>
      </c>
      <c r="G381" t="s">
        <v>1144</v>
      </c>
      <c r="H381" t="s">
        <v>1144</v>
      </c>
      <c r="I381" t="s">
        <v>1144</v>
      </c>
      <c r="J381" t="s">
        <v>1144</v>
      </c>
      <c r="K381" t="s">
        <v>1144</v>
      </c>
      <c r="L381">
        <v>91.99</v>
      </c>
      <c r="M381">
        <v>230.18</v>
      </c>
      <c r="N381">
        <v>0</v>
      </c>
      <c r="O381" s="56"/>
      <c r="P381" s="56"/>
      <c r="Q381">
        <v>13718</v>
      </c>
      <c r="R381">
        <v>9</v>
      </c>
      <c r="S381">
        <v>4</v>
      </c>
      <c r="T381">
        <v>2</v>
      </c>
      <c r="U381">
        <v>2</v>
      </c>
      <c r="V381">
        <v>1</v>
      </c>
      <c r="X381" t="s">
        <v>2385</v>
      </c>
      <c r="AA381">
        <v>0</v>
      </c>
      <c r="AB381">
        <v>0</v>
      </c>
      <c r="AC381">
        <v>0</v>
      </c>
      <c r="AD381">
        <v>0</v>
      </c>
      <c r="AE381">
        <v>0</v>
      </c>
      <c r="AF381">
        <v>0</v>
      </c>
      <c r="AG381">
        <v>0</v>
      </c>
      <c r="AJ381" s="56"/>
      <c r="AK381" s="56"/>
      <c r="AL381" s="56"/>
      <c r="AM381">
        <v>5</v>
      </c>
      <c r="AP381" t="s">
        <v>1450</v>
      </c>
      <c r="AS381" t="s">
        <v>1152</v>
      </c>
      <c r="AT381">
        <v>1</v>
      </c>
      <c r="AV381">
        <v>3</v>
      </c>
      <c r="AW381">
        <v>2</v>
      </c>
      <c r="AX381">
        <v>1</v>
      </c>
      <c r="AY381" t="s">
        <v>1147</v>
      </c>
      <c r="AZ381" t="s">
        <v>1147</v>
      </c>
      <c r="BA381">
        <v>5</v>
      </c>
      <c r="BD381">
        <v>1000000000</v>
      </c>
      <c r="BE381">
        <v>4</v>
      </c>
      <c r="BF381">
        <v>-0.33</v>
      </c>
      <c r="BG381">
        <v>0</v>
      </c>
      <c r="BH381">
        <v>0</v>
      </c>
      <c r="BI381">
        <v>0</v>
      </c>
      <c r="BJ381">
        <v>0</v>
      </c>
      <c r="BK381">
        <v>0</v>
      </c>
      <c r="BL381">
        <v>0</v>
      </c>
      <c r="BM381">
        <v>4</v>
      </c>
      <c r="BN381">
        <v>-0.33</v>
      </c>
      <c r="BO381">
        <v>0</v>
      </c>
      <c r="BP381">
        <v>0</v>
      </c>
      <c r="BR381">
        <v>0</v>
      </c>
      <c r="BS381">
        <v>2</v>
      </c>
      <c r="BX381">
        <v>0</v>
      </c>
      <c r="BY381">
        <v>91.99</v>
      </c>
      <c r="BZ381">
        <v>0</v>
      </c>
      <c r="CA381">
        <v>18.03</v>
      </c>
      <c r="CC381">
        <v>1</v>
      </c>
      <c r="CD381" s="56">
        <v>42619</v>
      </c>
      <c r="CE381" s="56">
        <v>42619</v>
      </c>
      <c r="CF381" s="56">
        <v>42619</v>
      </c>
      <c r="CG381" s="56">
        <v>42647</v>
      </c>
      <c r="CH381" s="56"/>
      <c r="CI381" s="56"/>
      <c r="CJ381">
        <v>0</v>
      </c>
      <c r="CK381">
        <v>0</v>
      </c>
      <c r="CL381">
        <v>0</v>
      </c>
      <c r="CM381">
        <v>0</v>
      </c>
      <c r="CN381">
        <v>0</v>
      </c>
      <c r="CO381">
        <v>0</v>
      </c>
      <c r="CP381">
        <v>0.65</v>
      </c>
      <c r="CQ381" t="s">
        <v>1378</v>
      </c>
      <c r="CR381" t="s">
        <v>1377</v>
      </c>
      <c r="CS381" t="s">
        <v>1451</v>
      </c>
      <c r="CT381" t="s">
        <v>1724</v>
      </c>
      <c r="CU381" t="s">
        <v>1742</v>
      </c>
      <c r="CV381" t="s">
        <v>1878</v>
      </c>
      <c r="DB381" t="s">
        <v>1869</v>
      </c>
      <c r="DE381" t="s">
        <v>1724</v>
      </c>
    </row>
    <row r="382" spans="1:109" x14ac:dyDescent="0.25">
      <c r="A382" t="s">
        <v>1378</v>
      </c>
      <c r="B382">
        <v>1</v>
      </c>
      <c r="C382" s="56">
        <v>42640</v>
      </c>
      <c r="D382" t="s">
        <v>1449</v>
      </c>
      <c r="E382" t="s">
        <v>2232</v>
      </c>
      <c r="G382" t="s">
        <v>1144</v>
      </c>
      <c r="H382" t="s">
        <v>1144</v>
      </c>
      <c r="I382" t="s">
        <v>1144</v>
      </c>
      <c r="J382" t="s">
        <v>1144</v>
      </c>
      <c r="K382" t="s">
        <v>1144</v>
      </c>
      <c r="L382">
        <v>433.96</v>
      </c>
      <c r="M382">
        <v>2</v>
      </c>
      <c r="N382">
        <v>0</v>
      </c>
      <c r="O382" s="56"/>
      <c r="P382" s="56"/>
      <c r="Q382">
        <v>13718</v>
      </c>
      <c r="R382">
        <v>9</v>
      </c>
      <c r="S382">
        <v>4</v>
      </c>
      <c r="T382">
        <v>2</v>
      </c>
      <c r="U382">
        <v>2</v>
      </c>
      <c r="V382">
        <v>1</v>
      </c>
      <c r="X382" t="s">
        <v>2386</v>
      </c>
      <c r="AA382">
        <v>0</v>
      </c>
      <c r="AB382">
        <v>0</v>
      </c>
      <c r="AC382">
        <v>0</v>
      </c>
      <c r="AD382">
        <v>0</v>
      </c>
      <c r="AE382">
        <v>0</v>
      </c>
      <c r="AF382">
        <v>0</v>
      </c>
      <c r="AG382">
        <v>0</v>
      </c>
      <c r="AJ382" s="56"/>
      <c r="AK382" s="56">
        <v>42369</v>
      </c>
      <c r="AL382" s="56"/>
      <c r="AM382">
        <v>1</v>
      </c>
      <c r="AP382" t="s">
        <v>1450</v>
      </c>
      <c r="AS382" t="s">
        <v>1152</v>
      </c>
      <c r="AT382">
        <v>1</v>
      </c>
      <c r="AV382">
        <v>1</v>
      </c>
      <c r="AW382">
        <v>1</v>
      </c>
      <c r="AX382">
        <v>0.5</v>
      </c>
      <c r="AY382" t="s">
        <v>1147</v>
      </c>
      <c r="AZ382" t="s">
        <v>1147</v>
      </c>
      <c r="BA382">
        <v>1</v>
      </c>
      <c r="BD382">
        <v>1000000000</v>
      </c>
      <c r="BE382">
        <v>2</v>
      </c>
      <c r="BF382">
        <v>-1</v>
      </c>
      <c r="BG382">
        <v>0</v>
      </c>
      <c r="BH382">
        <v>0</v>
      </c>
      <c r="BI382">
        <v>0</v>
      </c>
      <c r="BJ382">
        <v>0</v>
      </c>
      <c r="BK382">
        <v>0</v>
      </c>
      <c r="BL382">
        <v>0</v>
      </c>
      <c r="BM382">
        <v>2</v>
      </c>
      <c r="BN382">
        <v>-1</v>
      </c>
      <c r="BO382">
        <v>0</v>
      </c>
      <c r="BP382">
        <v>0</v>
      </c>
      <c r="BR382">
        <v>0</v>
      </c>
      <c r="BS382">
        <v>1</v>
      </c>
      <c r="BX382">
        <v>0</v>
      </c>
      <c r="BY382">
        <v>433.96</v>
      </c>
      <c r="BZ382">
        <v>0</v>
      </c>
      <c r="CA382">
        <v>-11.94</v>
      </c>
      <c r="CC382">
        <v>1</v>
      </c>
      <c r="CD382" s="56">
        <v>42593</v>
      </c>
      <c r="CE382" s="56">
        <v>42612</v>
      </c>
      <c r="CF382" s="56">
        <v>42612</v>
      </c>
      <c r="CG382" s="56">
        <v>42640</v>
      </c>
      <c r="CH382" s="56"/>
      <c r="CI382" s="56"/>
      <c r="CJ382">
        <v>0</v>
      </c>
      <c r="CK382">
        <v>0</v>
      </c>
      <c r="CL382">
        <v>0</v>
      </c>
      <c r="CM382">
        <v>0</v>
      </c>
      <c r="CN382">
        <v>0</v>
      </c>
      <c r="CO382">
        <v>0</v>
      </c>
      <c r="CP382">
        <v>0.71</v>
      </c>
      <c r="CQ382" t="s">
        <v>1378</v>
      </c>
      <c r="CR382" t="s">
        <v>1377</v>
      </c>
      <c r="CS382" t="s">
        <v>1451</v>
      </c>
      <c r="CT382" t="s">
        <v>1724</v>
      </c>
      <c r="CU382" t="s">
        <v>1742</v>
      </c>
      <c r="CV382" t="s">
        <v>2231</v>
      </c>
      <c r="DB382" t="s">
        <v>2134</v>
      </c>
      <c r="DE382" t="s">
        <v>1724</v>
      </c>
    </row>
    <row r="383" spans="1:109" x14ac:dyDescent="0.25">
      <c r="A383" t="s">
        <v>1378</v>
      </c>
      <c r="B383">
        <v>1</v>
      </c>
      <c r="C383" s="56">
        <v>42640</v>
      </c>
      <c r="D383" t="s">
        <v>1449</v>
      </c>
      <c r="E383" t="s">
        <v>1948</v>
      </c>
      <c r="G383" t="s">
        <v>1144</v>
      </c>
      <c r="H383" t="s">
        <v>1144</v>
      </c>
      <c r="I383" t="s">
        <v>1144</v>
      </c>
      <c r="J383" t="s">
        <v>1144</v>
      </c>
      <c r="K383" t="s">
        <v>1144</v>
      </c>
      <c r="L383">
        <v>112.48</v>
      </c>
      <c r="M383">
        <v>230.18</v>
      </c>
      <c r="N383">
        <v>0</v>
      </c>
      <c r="O383" s="56"/>
      <c r="P383" s="56"/>
      <c r="Q383">
        <v>13718</v>
      </c>
      <c r="R383">
        <v>9</v>
      </c>
      <c r="S383">
        <v>4</v>
      </c>
      <c r="T383">
        <v>2</v>
      </c>
      <c r="U383">
        <v>2</v>
      </c>
      <c r="V383">
        <v>1</v>
      </c>
      <c r="X383" t="s">
        <v>2385</v>
      </c>
      <c r="AA383">
        <v>0.04</v>
      </c>
      <c r="AB383">
        <v>1</v>
      </c>
      <c r="AC383">
        <v>0</v>
      </c>
      <c r="AD383">
        <v>6.25</v>
      </c>
      <c r="AE383">
        <v>0</v>
      </c>
      <c r="AF383">
        <v>0</v>
      </c>
      <c r="AG383">
        <v>0</v>
      </c>
      <c r="AJ383" s="56"/>
      <c r="AK383" s="56"/>
      <c r="AL383" s="56"/>
      <c r="AM383">
        <v>2</v>
      </c>
      <c r="AP383" t="s">
        <v>1450</v>
      </c>
      <c r="AS383" t="s">
        <v>1152</v>
      </c>
      <c r="AT383">
        <v>1</v>
      </c>
      <c r="AV383">
        <v>0</v>
      </c>
      <c r="AW383">
        <v>0</v>
      </c>
      <c r="AX383">
        <v>0</v>
      </c>
      <c r="AY383" t="s">
        <v>1375</v>
      </c>
      <c r="AZ383" t="s">
        <v>1375</v>
      </c>
      <c r="BA383">
        <v>2</v>
      </c>
      <c r="BD383">
        <v>1000000000</v>
      </c>
      <c r="BE383">
        <v>1</v>
      </c>
      <c r="BF383">
        <v>0</v>
      </c>
      <c r="BG383">
        <v>0</v>
      </c>
      <c r="BH383">
        <v>0</v>
      </c>
      <c r="BI383">
        <v>0</v>
      </c>
      <c r="BJ383">
        <v>0</v>
      </c>
      <c r="BK383">
        <v>0</v>
      </c>
      <c r="BL383">
        <v>0</v>
      </c>
      <c r="BM383">
        <v>1</v>
      </c>
      <c r="BN383">
        <v>0</v>
      </c>
      <c r="BO383">
        <v>0</v>
      </c>
      <c r="BP383">
        <v>0</v>
      </c>
      <c r="BR383">
        <v>0</v>
      </c>
      <c r="BS383">
        <v>0</v>
      </c>
      <c r="BX383">
        <v>0</v>
      </c>
      <c r="BY383">
        <v>0</v>
      </c>
      <c r="BZ383">
        <v>0</v>
      </c>
      <c r="CA383">
        <v>0</v>
      </c>
      <c r="CC383">
        <v>1</v>
      </c>
      <c r="CD383" s="56">
        <v>42619</v>
      </c>
      <c r="CE383" s="56">
        <v>42619</v>
      </c>
      <c r="CF383" s="56">
        <v>42619</v>
      </c>
      <c r="CG383" s="56">
        <v>42647</v>
      </c>
      <c r="CH383" s="56"/>
      <c r="CI383" s="56"/>
      <c r="CJ383">
        <v>0</v>
      </c>
      <c r="CK383">
        <v>0</v>
      </c>
      <c r="CL383">
        <v>0</v>
      </c>
      <c r="CM383">
        <v>0</v>
      </c>
      <c r="CN383">
        <v>0</v>
      </c>
      <c r="CO383">
        <v>0</v>
      </c>
      <c r="CP383">
        <v>0.65</v>
      </c>
      <c r="CQ383" t="s">
        <v>1378</v>
      </c>
      <c r="CR383" t="s">
        <v>1377</v>
      </c>
      <c r="CS383" t="s">
        <v>1451</v>
      </c>
      <c r="CT383" t="s">
        <v>1724</v>
      </c>
      <c r="CU383" t="s">
        <v>1742</v>
      </c>
      <c r="CV383" t="s">
        <v>1945</v>
      </c>
      <c r="DB383" t="s">
        <v>1869</v>
      </c>
      <c r="DE383" t="s">
        <v>1724</v>
      </c>
    </row>
    <row r="384" spans="1:109" x14ac:dyDescent="0.25">
      <c r="A384" t="s">
        <v>1378</v>
      </c>
      <c r="B384">
        <v>1</v>
      </c>
      <c r="C384" s="56">
        <v>42640</v>
      </c>
      <c r="D384" t="s">
        <v>1449</v>
      </c>
      <c r="E384" t="s">
        <v>1927</v>
      </c>
      <c r="G384" t="s">
        <v>1144</v>
      </c>
      <c r="H384" t="s">
        <v>1144</v>
      </c>
      <c r="I384" t="s">
        <v>1144</v>
      </c>
      <c r="J384" t="s">
        <v>1144</v>
      </c>
      <c r="K384" t="s">
        <v>1144</v>
      </c>
      <c r="L384">
        <v>98.34</v>
      </c>
      <c r="M384">
        <v>230.18</v>
      </c>
      <c r="N384">
        <v>0</v>
      </c>
      <c r="O384" s="56"/>
      <c r="P384" s="56"/>
      <c r="Q384">
        <v>13718</v>
      </c>
      <c r="R384">
        <v>9</v>
      </c>
      <c r="S384">
        <v>4</v>
      </c>
      <c r="T384">
        <v>2</v>
      </c>
      <c r="U384">
        <v>2</v>
      </c>
      <c r="V384">
        <v>1</v>
      </c>
      <c r="X384" t="s">
        <v>2385</v>
      </c>
      <c r="AA384">
        <v>0</v>
      </c>
      <c r="AB384">
        <v>0</v>
      </c>
      <c r="AC384">
        <v>0</v>
      </c>
      <c r="AD384">
        <v>0</v>
      </c>
      <c r="AE384">
        <v>0</v>
      </c>
      <c r="AF384">
        <v>0</v>
      </c>
      <c r="AG384">
        <v>0</v>
      </c>
      <c r="AJ384" s="56">
        <v>42666</v>
      </c>
      <c r="AK384" s="56"/>
      <c r="AL384" s="56"/>
      <c r="AM384">
        <v>5</v>
      </c>
      <c r="AP384" t="s">
        <v>1450</v>
      </c>
      <c r="AS384" t="s">
        <v>1152</v>
      </c>
      <c r="AT384">
        <v>1</v>
      </c>
      <c r="AV384">
        <v>3</v>
      </c>
      <c r="AW384">
        <v>2</v>
      </c>
      <c r="AX384">
        <v>1</v>
      </c>
      <c r="AY384" t="s">
        <v>1147</v>
      </c>
      <c r="AZ384" t="s">
        <v>1147</v>
      </c>
      <c r="BA384">
        <v>5</v>
      </c>
      <c r="BD384">
        <v>1000000000</v>
      </c>
      <c r="BE384">
        <v>5</v>
      </c>
      <c r="BF384">
        <v>-0.67</v>
      </c>
      <c r="BG384">
        <v>0</v>
      </c>
      <c r="BH384">
        <v>0</v>
      </c>
      <c r="BI384">
        <v>0</v>
      </c>
      <c r="BJ384">
        <v>0</v>
      </c>
      <c r="BK384">
        <v>0</v>
      </c>
      <c r="BL384">
        <v>0</v>
      </c>
      <c r="BM384">
        <v>5</v>
      </c>
      <c r="BN384">
        <v>-0.67</v>
      </c>
      <c r="BO384">
        <v>0</v>
      </c>
      <c r="BP384">
        <v>0</v>
      </c>
      <c r="BR384">
        <v>0</v>
      </c>
      <c r="BS384">
        <v>2</v>
      </c>
      <c r="BX384">
        <v>0</v>
      </c>
      <c r="BY384">
        <v>196.68</v>
      </c>
      <c r="BZ384">
        <v>0</v>
      </c>
      <c r="CA384">
        <v>16.09</v>
      </c>
      <c r="CC384">
        <v>1</v>
      </c>
      <c r="CD384" s="56">
        <v>42619</v>
      </c>
      <c r="CE384" s="56">
        <v>42619</v>
      </c>
      <c r="CF384" s="56">
        <v>42619</v>
      </c>
      <c r="CG384" s="56">
        <v>42647</v>
      </c>
      <c r="CH384" s="56"/>
      <c r="CI384" s="56"/>
      <c r="CJ384">
        <v>0</v>
      </c>
      <c r="CK384">
        <v>0</v>
      </c>
      <c r="CL384">
        <v>0</v>
      </c>
      <c r="CM384">
        <v>0</v>
      </c>
      <c r="CN384">
        <v>0</v>
      </c>
      <c r="CO384">
        <v>0</v>
      </c>
      <c r="CP384">
        <v>0.65</v>
      </c>
      <c r="CQ384" t="s">
        <v>1378</v>
      </c>
      <c r="CR384" t="s">
        <v>1377</v>
      </c>
      <c r="CS384" t="s">
        <v>1451</v>
      </c>
      <c r="CT384" t="s">
        <v>1724</v>
      </c>
      <c r="CU384" t="s">
        <v>1742</v>
      </c>
      <c r="CV384" t="s">
        <v>1928</v>
      </c>
      <c r="DB384" t="s">
        <v>1869</v>
      </c>
      <c r="DE384" t="s">
        <v>1724</v>
      </c>
    </row>
    <row r="385" spans="1:109" x14ac:dyDescent="0.25">
      <c r="A385" t="s">
        <v>1378</v>
      </c>
      <c r="B385">
        <v>1</v>
      </c>
      <c r="C385" s="56">
        <v>42640</v>
      </c>
      <c r="D385" t="s">
        <v>1449</v>
      </c>
      <c r="E385" t="s">
        <v>2279</v>
      </c>
      <c r="G385" t="s">
        <v>1144</v>
      </c>
      <c r="H385" t="s">
        <v>1144</v>
      </c>
      <c r="I385" t="s">
        <v>1144</v>
      </c>
      <c r="J385" t="s">
        <v>1144</v>
      </c>
      <c r="K385" t="s">
        <v>1144</v>
      </c>
      <c r="L385">
        <v>550.92999999999995</v>
      </c>
      <c r="M385">
        <v>2</v>
      </c>
      <c r="N385">
        <v>0</v>
      </c>
      <c r="O385" s="56"/>
      <c r="P385" s="56"/>
      <c r="Q385">
        <v>13718</v>
      </c>
      <c r="R385">
        <v>9</v>
      </c>
      <c r="S385">
        <v>4</v>
      </c>
      <c r="T385">
        <v>2</v>
      </c>
      <c r="U385">
        <v>2</v>
      </c>
      <c r="V385">
        <v>1</v>
      </c>
      <c r="W385" t="s">
        <v>1376</v>
      </c>
      <c r="X385" t="s">
        <v>2385</v>
      </c>
      <c r="AA385">
        <v>0</v>
      </c>
      <c r="AB385">
        <v>0</v>
      </c>
      <c r="AC385">
        <v>0</v>
      </c>
      <c r="AD385">
        <v>0</v>
      </c>
      <c r="AE385">
        <v>0</v>
      </c>
      <c r="AF385">
        <v>0</v>
      </c>
      <c r="AG385">
        <v>0</v>
      </c>
      <c r="AJ385" s="56"/>
      <c r="AK385" s="56"/>
      <c r="AL385" s="56"/>
      <c r="AM385">
        <v>1</v>
      </c>
      <c r="AP385" t="s">
        <v>1450</v>
      </c>
      <c r="AS385" t="s">
        <v>1152</v>
      </c>
      <c r="AT385">
        <v>1</v>
      </c>
      <c r="AV385">
        <v>2</v>
      </c>
      <c r="AW385">
        <v>2</v>
      </c>
      <c r="AX385">
        <v>1</v>
      </c>
      <c r="AY385" t="s">
        <v>1145</v>
      </c>
      <c r="AZ385" t="s">
        <v>1145</v>
      </c>
      <c r="BA385">
        <v>1</v>
      </c>
      <c r="BD385">
        <v>1000000000</v>
      </c>
      <c r="BE385">
        <v>2</v>
      </c>
      <c r="BF385">
        <v>0</v>
      </c>
      <c r="BG385">
        <v>0</v>
      </c>
      <c r="BH385">
        <v>0</v>
      </c>
      <c r="BI385">
        <v>0</v>
      </c>
      <c r="BJ385">
        <v>0</v>
      </c>
      <c r="BK385">
        <v>0</v>
      </c>
      <c r="BL385">
        <v>0</v>
      </c>
      <c r="BM385">
        <v>2</v>
      </c>
      <c r="BN385">
        <v>0</v>
      </c>
      <c r="BO385">
        <v>0</v>
      </c>
      <c r="BP385">
        <v>0</v>
      </c>
      <c r="BR385">
        <v>0</v>
      </c>
      <c r="BS385">
        <v>1</v>
      </c>
      <c r="BX385">
        <v>0</v>
      </c>
      <c r="BY385">
        <v>0</v>
      </c>
      <c r="BZ385">
        <v>0</v>
      </c>
      <c r="CA385">
        <v>-11.96</v>
      </c>
      <c r="CC385">
        <v>1</v>
      </c>
      <c r="CD385" s="56">
        <v>42619</v>
      </c>
      <c r="CE385" s="56">
        <v>42619</v>
      </c>
      <c r="CF385" s="56">
        <v>42619</v>
      </c>
      <c r="CG385" s="56">
        <v>42647</v>
      </c>
      <c r="CH385" s="56"/>
      <c r="CI385" s="56"/>
      <c r="CJ385">
        <v>0</v>
      </c>
      <c r="CK385">
        <v>0</v>
      </c>
      <c r="CL385">
        <v>0</v>
      </c>
      <c r="CM385">
        <v>0</v>
      </c>
      <c r="CN385">
        <v>0.65</v>
      </c>
      <c r="CO385">
        <v>0</v>
      </c>
      <c r="CP385">
        <v>0</v>
      </c>
      <c r="CQ385" t="s">
        <v>1378</v>
      </c>
      <c r="CR385" t="s">
        <v>1377</v>
      </c>
      <c r="CS385" t="s">
        <v>1451</v>
      </c>
      <c r="CT385" t="s">
        <v>1724</v>
      </c>
      <c r="CU385" t="s">
        <v>1742</v>
      </c>
      <c r="CV385" t="s">
        <v>2280</v>
      </c>
      <c r="DB385" t="s">
        <v>2265</v>
      </c>
      <c r="DE385" t="s">
        <v>1724</v>
      </c>
    </row>
    <row r="386" spans="1:109" x14ac:dyDescent="0.25">
      <c r="A386" t="s">
        <v>1378</v>
      </c>
      <c r="B386">
        <v>1</v>
      </c>
      <c r="C386" s="56">
        <v>42640</v>
      </c>
      <c r="D386" t="s">
        <v>1449</v>
      </c>
      <c r="E386" t="s">
        <v>1988</v>
      </c>
      <c r="G386" t="s">
        <v>1144</v>
      </c>
      <c r="H386" t="s">
        <v>1144</v>
      </c>
      <c r="I386" t="s">
        <v>1144</v>
      </c>
      <c r="J386" t="s">
        <v>1144</v>
      </c>
      <c r="K386" t="s">
        <v>1144</v>
      </c>
      <c r="L386">
        <v>542.45000000000005</v>
      </c>
      <c r="M386">
        <v>1056.52</v>
      </c>
      <c r="N386">
        <v>0</v>
      </c>
      <c r="O386" s="56"/>
      <c r="P386" s="56"/>
      <c r="Q386">
        <v>13718</v>
      </c>
      <c r="R386">
        <v>9</v>
      </c>
      <c r="S386">
        <v>4</v>
      </c>
      <c r="T386">
        <v>2</v>
      </c>
      <c r="U386">
        <v>2</v>
      </c>
      <c r="V386">
        <v>1</v>
      </c>
      <c r="W386" t="s">
        <v>2379</v>
      </c>
      <c r="X386" t="s">
        <v>2386</v>
      </c>
      <c r="AA386">
        <v>0.31</v>
      </c>
      <c r="AB386">
        <v>2</v>
      </c>
      <c r="AC386">
        <v>4.03</v>
      </c>
      <c r="AD386">
        <v>4.03</v>
      </c>
      <c r="AE386">
        <v>0</v>
      </c>
      <c r="AF386">
        <v>0</v>
      </c>
      <c r="AG386">
        <v>0</v>
      </c>
      <c r="AJ386" s="56"/>
      <c r="AK386" s="56"/>
      <c r="AL386" s="56"/>
      <c r="AM386">
        <v>5</v>
      </c>
      <c r="AP386" t="s">
        <v>1450</v>
      </c>
      <c r="AS386" t="s">
        <v>1152</v>
      </c>
      <c r="AT386">
        <v>1</v>
      </c>
      <c r="AV386">
        <v>5</v>
      </c>
      <c r="AW386">
        <v>3</v>
      </c>
      <c r="AX386">
        <v>2</v>
      </c>
      <c r="AY386" t="s">
        <v>1148</v>
      </c>
      <c r="AZ386" t="s">
        <v>1148</v>
      </c>
      <c r="BA386">
        <v>5</v>
      </c>
      <c r="BD386">
        <v>1000000000</v>
      </c>
      <c r="BE386">
        <v>5</v>
      </c>
      <c r="BF386">
        <v>0</v>
      </c>
      <c r="BG386">
        <v>0</v>
      </c>
      <c r="BH386">
        <v>0</v>
      </c>
      <c r="BI386">
        <v>0</v>
      </c>
      <c r="BJ386">
        <v>0</v>
      </c>
      <c r="BK386">
        <v>0</v>
      </c>
      <c r="BL386">
        <v>0</v>
      </c>
      <c r="BM386">
        <v>5</v>
      </c>
      <c r="BN386">
        <v>0</v>
      </c>
      <c r="BO386">
        <v>0</v>
      </c>
      <c r="BP386">
        <v>0</v>
      </c>
      <c r="BR386">
        <v>0</v>
      </c>
      <c r="BS386">
        <v>3</v>
      </c>
      <c r="BX386">
        <v>0</v>
      </c>
      <c r="BY386">
        <v>0</v>
      </c>
      <c r="BZ386">
        <v>0</v>
      </c>
      <c r="CA386">
        <v>11.37</v>
      </c>
      <c r="CC386">
        <v>1</v>
      </c>
      <c r="CD386" s="56">
        <v>42593</v>
      </c>
      <c r="CE386" s="56">
        <v>42612</v>
      </c>
      <c r="CF386" s="56">
        <v>42612</v>
      </c>
      <c r="CG386" s="56">
        <v>42640</v>
      </c>
      <c r="CH386" s="56"/>
      <c r="CI386" s="56"/>
      <c r="CJ386">
        <v>0</v>
      </c>
      <c r="CK386">
        <v>0</v>
      </c>
      <c r="CL386">
        <v>0</v>
      </c>
      <c r="CM386">
        <v>0</v>
      </c>
      <c r="CN386">
        <v>0</v>
      </c>
      <c r="CO386">
        <v>0.71</v>
      </c>
      <c r="CP386">
        <v>0</v>
      </c>
      <c r="CQ386" t="s">
        <v>1378</v>
      </c>
      <c r="CR386" t="s">
        <v>1377</v>
      </c>
      <c r="CS386" t="s">
        <v>1451</v>
      </c>
      <c r="CT386" t="s">
        <v>1724</v>
      </c>
      <c r="CU386" t="s">
        <v>1742</v>
      </c>
      <c r="CV386" t="s">
        <v>1989</v>
      </c>
      <c r="DB386" t="s">
        <v>1978</v>
      </c>
      <c r="DE386" t="s">
        <v>1724</v>
      </c>
    </row>
    <row r="387" spans="1:109" x14ac:dyDescent="0.25">
      <c r="A387" t="s">
        <v>1378</v>
      </c>
      <c r="B387">
        <v>1</v>
      </c>
      <c r="C387" s="56">
        <v>42640</v>
      </c>
      <c r="D387" t="s">
        <v>1449</v>
      </c>
      <c r="E387" t="s">
        <v>2335</v>
      </c>
      <c r="G387" t="s">
        <v>1144</v>
      </c>
      <c r="H387" t="s">
        <v>1144</v>
      </c>
      <c r="I387" t="s">
        <v>1144</v>
      </c>
      <c r="J387" t="s">
        <v>1144</v>
      </c>
      <c r="K387" t="s">
        <v>1144</v>
      </c>
      <c r="L387">
        <v>1111.3499999999999</v>
      </c>
      <c r="M387">
        <v>2</v>
      </c>
      <c r="N387">
        <v>0</v>
      </c>
      <c r="O387" s="56"/>
      <c r="P387" s="56"/>
      <c r="Q387">
        <v>13718</v>
      </c>
      <c r="R387">
        <v>9</v>
      </c>
      <c r="S387">
        <v>4</v>
      </c>
      <c r="T387">
        <v>2</v>
      </c>
      <c r="U387">
        <v>2</v>
      </c>
      <c r="V387">
        <v>1</v>
      </c>
      <c r="W387" t="s">
        <v>2379</v>
      </c>
      <c r="X387" t="s">
        <v>2387</v>
      </c>
      <c r="AA387">
        <v>0</v>
      </c>
      <c r="AB387">
        <v>0</v>
      </c>
      <c r="AC387">
        <v>0</v>
      </c>
      <c r="AD387">
        <v>0</v>
      </c>
      <c r="AE387">
        <v>0</v>
      </c>
      <c r="AF387">
        <v>0</v>
      </c>
      <c r="AG387">
        <v>0</v>
      </c>
      <c r="AJ387" s="56"/>
      <c r="AK387" s="56">
        <v>42369</v>
      </c>
      <c r="AL387" s="56"/>
      <c r="AM387">
        <v>1</v>
      </c>
      <c r="AP387" t="s">
        <v>1450</v>
      </c>
      <c r="AS387" t="s">
        <v>1152</v>
      </c>
      <c r="AT387">
        <v>1</v>
      </c>
      <c r="AV387">
        <v>2</v>
      </c>
      <c r="AW387">
        <v>2</v>
      </c>
      <c r="AX387">
        <v>1</v>
      </c>
      <c r="AY387" t="s">
        <v>1145</v>
      </c>
      <c r="AZ387" t="s">
        <v>1145</v>
      </c>
      <c r="BA387">
        <v>1</v>
      </c>
      <c r="BD387">
        <v>1000000000</v>
      </c>
      <c r="BE387">
        <v>2</v>
      </c>
      <c r="BF387">
        <v>0</v>
      </c>
      <c r="BG387">
        <v>0</v>
      </c>
      <c r="BH387">
        <v>0</v>
      </c>
      <c r="BI387">
        <v>0</v>
      </c>
      <c r="BJ387">
        <v>0</v>
      </c>
      <c r="BK387">
        <v>0</v>
      </c>
      <c r="BL387">
        <v>0</v>
      </c>
      <c r="BM387">
        <v>2</v>
      </c>
      <c r="BN387">
        <v>0</v>
      </c>
      <c r="BO387">
        <v>0</v>
      </c>
      <c r="BP387">
        <v>0</v>
      </c>
      <c r="BR387">
        <v>0</v>
      </c>
      <c r="BS387">
        <v>1</v>
      </c>
      <c r="BX387">
        <v>0</v>
      </c>
      <c r="BY387">
        <v>0</v>
      </c>
      <c r="BZ387">
        <v>0</v>
      </c>
      <c r="CA387">
        <v>-11.98</v>
      </c>
      <c r="CC387">
        <v>1</v>
      </c>
      <c r="CD387" s="56">
        <v>42592</v>
      </c>
      <c r="CE387" s="56">
        <v>42612</v>
      </c>
      <c r="CF387" s="56">
        <v>42612</v>
      </c>
      <c r="CG387" s="56">
        <v>42640</v>
      </c>
      <c r="CH387" s="56"/>
      <c r="CI387" s="56"/>
      <c r="CJ387">
        <v>0</v>
      </c>
      <c r="CK387">
        <v>0</v>
      </c>
      <c r="CL387">
        <v>0</v>
      </c>
      <c r="CM387">
        <v>0</v>
      </c>
      <c r="CN387">
        <v>0.71</v>
      </c>
      <c r="CO387">
        <v>0</v>
      </c>
      <c r="CP387">
        <v>0</v>
      </c>
      <c r="CQ387" t="s">
        <v>1378</v>
      </c>
      <c r="CR387" t="s">
        <v>1377</v>
      </c>
      <c r="CS387" t="s">
        <v>1451</v>
      </c>
      <c r="CT387" t="s">
        <v>1724</v>
      </c>
      <c r="CU387" t="s">
        <v>1742</v>
      </c>
      <c r="CV387" t="s">
        <v>2336</v>
      </c>
      <c r="DB387" t="s">
        <v>2145</v>
      </c>
      <c r="DE387" t="s">
        <v>1724</v>
      </c>
    </row>
    <row r="388" spans="1:109" x14ac:dyDescent="0.25">
      <c r="A388" t="s">
        <v>1378</v>
      </c>
      <c r="B388">
        <v>1</v>
      </c>
      <c r="C388" s="56">
        <v>42640</v>
      </c>
      <c r="D388" t="s">
        <v>1449</v>
      </c>
      <c r="E388" t="s">
        <v>2035</v>
      </c>
      <c r="G388" t="s">
        <v>1144</v>
      </c>
      <c r="H388" t="s">
        <v>1144</v>
      </c>
      <c r="I388" t="s">
        <v>1144</v>
      </c>
      <c r="J388" t="s">
        <v>1144</v>
      </c>
      <c r="K388" t="s">
        <v>1144</v>
      </c>
      <c r="L388">
        <v>191.91</v>
      </c>
      <c r="M388">
        <v>2</v>
      </c>
      <c r="N388">
        <v>0</v>
      </c>
      <c r="O388" s="56"/>
      <c r="P388" s="56"/>
      <c r="Q388">
        <v>13718</v>
      </c>
      <c r="R388">
        <v>9</v>
      </c>
      <c r="S388">
        <v>4</v>
      </c>
      <c r="T388">
        <v>2</v>
      </c>
      <c r="U388">
        <v>2</v>
      </c>
      <c r="V388">
        <v>1</v>
      </c>
      <c r="W388" t="s">
        <v>2379</v>
      </c>
      <c r="X388" t="s">
        <v>2386</v>
      </c>
      <c r="AA388">
        <v>0</v>
      </c>
      <c r="AB388">
        <v>0</v>
      </c>
      <c r="AC388">
        <v>0</v>
      </c>
      <c r="AD388">
        <v>0</v>
      </c>
      <c r="AE388">
        <v>0</v>
      </c>
      <c r="AF388">
        <v>0</v>
      </c>
      <c r="AG388">
        <v>0</v>
      </c>
      <c r="AJ388" s="56"/>
      <c r="AK388" s="56">
        <v>42369</v>
      </c>
      <c r="AL388" s="56"/>
      <c r="AM388">
        <v>1</v>
      </c>
      <c r="AP388" t="s">
        <v>1450</v>
      </c>
      <c r="AS388" t="s">
        <v>1152</v>
      </c>
      <c r="AT388">
        <v>1</v>
      </c>
      <c r="AV388">
        <v>1</v>
      </c>
      <c r="AW388">
        <v>1</v>
      </c>
      <c r="AX388">
        <v>0.5</v>
      </c>
      <c r="AY388" t="s">
        <v>1145</v>
      </c>
      <c r="AZ388" t="s">
        <v>1145</v>
      </c>
      <c r="BA388">
        <v>1</v>
      </c>
      <c r="BD388">
        <v>1000000000</v>
      </c>
      <c r="BE388">
        <v>1</v>
      </c>
      <c r="BF388">
        <v>0</v>
      </c>
      <c r="BG388">
        <v>0</v>
      </c>
      <c r="BH388">
        <v>0</v>
      </c>
      <c r="BI388">
        <v>0</v>
      </c>
      <c r="BJ388">
        <v>0</v>
      </c>
      <c r="BK388">
        <v>0</v>
      </c>
      <c r="BL388">
        <v>0</v>
      </c>
      <c r="BM388">
        <v>1</v>
      </c>
      <c r="BN388">
        <v>0</v>
      </c>
      <c r="BO388">
        <v>0</v>
      </c>
      <c r="BP388">
        <v>0</v>
      </c>
      <c r="BR388">
        <v>0</v>
      </c>
      <c r="BS388">
        <v>1</v>
      </c>
      <c r="BX388">
        <v>0</v>
      </c>
      <c r="BY388">
        <v>0</v>
      </c>
      <c r="BZ388">
        <v>0</v>
      </c>
      <c r="CA388">
        <v>-11.87</v>
      </c>
      <c r="CC388">
        <v>1</v>
      </c>
      <c r="CD388" s="56">
        <v>42593</v>
      </c>
      <c r="CE388" s="56">
        <v>42612</v>
      </c>
      <c r="CF388" s="56">
        <v>42612</v>
      </c>
      <c r="CG388" s="56">
        <v>42640</v>
      </c>
      <c r="CH388" s="56"/>
      <c r="CI388" s="56"/>
      <c r="CJ388">
        <v>0</v>
      </c>
      <c r="CK388">
        <v>0</v>
      </c>
      <c r="CL388">
        <v>0</v>
      </c>
      <c r="CM388">
        <v>0</v>
      </c>
      <c r="CN388">
        <v>0.71</v>
      </c>
      <c r="CO388">
        <v>0</v>
      </c>
      <c r="CP388">
        <v>0</v>
      </c>
      <c r="CQ388" t="s">
        <v>1378</v>
      </c>
      <c r="CR388" t="s">
        <v>1377</v>
      </c>
      <c r="CS388" t="s">
        <v>1451</v>
      </c>
      <c r="CT388" t="s">
        <v>1724</v>
      </c>
      <c r="CU388" t="s">
        <v>1742</v>
      </c>
      <c r="CV388" t="s">
        <v>2036</v>
      </c>
      <c r="DB388" t="s">
        <v>2014</v>
      </c>
      <c r="DE388" t="s">
        <v>1724</v>
      </c>
    </row>
    <row r="389" spans="1:109" x14ac:dyDescent="0.25">
      <c r="A389" t="s">
        <v>1378</v>
      </c>
      <c r="B389">
        <v>1</v>
      </c>
      <c r="C389" s="56">
        <v>42640</v>
      </c>
      <c r="D389" t="s">
        <v>1449</v>
      </c>
      <c r="E389" t="s">
        <v>2088</v>
      </c>
      <c r="G389" t="s">
        <v>1144</v>
      </c>
      <c r="H389" t="s">
        <v>1144</v>
      </c>
      <c r="I389" t="s">
        <v>1144</v>
      </c>
      <c r="J389" t="s">
        <v>1144</v>
      </c>
      <c r="K389" t="s">
        <v>1144</v>
      </c>
      <c r="L389">
        <v>118.19</v>
      </c>
      <c r="M389">
        <v>293.95</v>
      </c>
      <c r="N389">
        <v>0</v>
      </c>
      <c r="O389" s="56"/>
      <c r="P389" s="56"/>
      <c r="Q389">
        <v>13718</v>
      </c>
      <c r="R389">
        <v>9</v>
      </c>
      <c r="S389">
        <v>4</v>
      </c>
      <c r="T389">
        <v>2</v>
      </c>
      <c r="U389">
        <v>2</v>
      </c>
      <c r="V389">
        <v>1</v>
      </c>
      <c r="W389" t="s">
        <v>2379</v>
      </c>
      <c r="X389" t="s">
        <v>2386</v>
      </c>
      <c r="AA389">
        <v>0</v>
      </c>
      <c r="AB389">
        <v>0</v>
      </c>
      <c r="AC389">
        <v>0</v>
      </c>
      <c r="AD389">
        <v>0</v>
      </c>
      <c r="AE389">
        <v>0</v>
      </c>
      <c r="AF389">
        <v>0</v>
      </c>
      <c r="AG389">
        <v>0</v>
      </c>
      <c r="AJ389" s="56"/>
      <c r="AK389" s="56">
        <v>42369</v>
      </c>
      <c r="AL389" s="56"/>
      <c r="AM389">
        <v>2</v>
      </c>
      <c r="AP389" t="s">
        <v>1450</v>
      </c>
      <c r="AS389" t="s">
        <v>1152</v>
      </c>
      <c r="AT389">
        <v>1</v>
      </c>
      <c r="AV389">
        <v>2</v>
      </c>
      <c r="AW389">
        <v>2</v>
      </c>
      <c r="AX389">
        <v>1</v>
      </c>
      <c r="AY389" t="s">
        <v>1145</v>
      </c>
      <c r="AZ389" t="s">
        <v>1145</v>
      </c>
      <c r="BA389">
        <v>2</v>
      </c>
      <c r="BD389">
        <v>1000000000</v>
      </c>
      <c r="BE389">
        <v>2</v>
      </c>
      <c r="BF389">
        <v>0</v>
      </c>
      <c r="BG389">
        <v>0</v>
      </c>
      <c r="BH389">
        <v>0</v>
      </c>
      <c r="BI389">
        <v>0</v>
      </c>
      <c r="BJ389">
        <v>0</v>
      </c>
      <c r="BK389">
        <v>0</v>
      </c>
      <c r="BL389">
        <v>0</v>
      </c>
      <c r="BM389">
        <v>2</v>
      </c>
      <c r="BN389">
        <v>0</v>
      </c>
      <c r="BO389">
        <v>0</v>
      </c>
      <c r="BP389">
        <v>0</v>
      </c>
      <c r="BR389">
        <v>0</v>
      </c>
      <c r="BS389">
        <v>1</v>
      </c>
      <c r="BX389">
        <v>0</v>
      </c>
      <c r="BY389">
        <v>0</v>
      </c>
      <c r="BZ389">
        <v>0</v>
      </c>
      <c r="CA389">
        <v>17.850000000000001</v>
      </c>
      <c r="CC389">
        <v>1</v>
      </c>
      <c r="CD389" s="56">
        <v>42593</v>
      </c>
      <c r="CE389" s="56">
        <v>42612</v>
      </c>
      <c r="CF389" s="56">
        <v>42612</v>
      </c>
      <c r="CG389" s="56">
        <v>42640</v>
      </c>
      <c r="CH389" s="56"/>
      <c r="CI389" s="56"/>
      <c r="CJ389">
        <v>0</v>
      </c>
      <c r="CK389">
        <v>0</v>
      </c>
      <c r="CL389">
        <v>0</v>
      </c>
      <c r="CM389">
        <v>0</v>
      </c>
      <c r="CN389">
        <v>0.71</v>
      </c>
      <c r="CO389">
        <v>0</v>
      </c>
      <c r="CP389">
        <v>0</v>
      </c>
      <c r="CQ389" t="s">
        <v>1378</v>
      </c>
      <c r="CR389" t="s">
        <v>1377</v>
      </c>
      <c r="CS389" t="s">
        <v>1451</v>
      </c>
      <c r="CT389" t="s">
        <v>1724</v>
      </c>
      <c r="CU389" t="s">
        <v>1742</v>
      </c>
      <c r="CV389" t="s">
        <v>2089</v>
      </c>
      <c r="DB389" t="s">
        <v>2059</v>
      </c>
      <c r="DE389" t="s">
        <v>1724</v>
      </c>
    </row>
    <row r="390" spans="1:109" x14ac:dyDescent="0.25">
      <c r="A390" t="s">
        <v>1378</v>
      </c>
      <c r="B390">
        <v>1</v>
      </c>
      <c r="C390" s="56">
        <v>42640</v>
      </c>
      <c r="D390" t="s">
        <v>1449</v>
      </c>
      <c r="E390" t="s">
        <v>1382</v>
      </c>
      <c r="G390" t="s">
        <v>1144</v>
      </c>
      <c r="H390" t="s">
        <v>1144</v>
      </c>
      <c r="I390" t="s">
        <v>1144</v>
      </c>
      <c r="J390" t="s">
        <v>1144</v>
      </c>
      <c r="K390" t="s">
        <v>1144</v>
      </c>
      <c r="L390">
        <v>201.32</v>
      </c>
      <c r="M390">
        <v>361.16</v>
      </c>
      <c r="N390">
        <v>0</v>
      </c>
      <c r="O390" s="56"/>
      <c r="P390" s="56"/>
      <c r="Q390">
        <v>13718</v>
      </c>
      <c r="R390">
        <v>9</v>
      </c>
      <c r="S390">
        <v>4</v>
      </c>
      <c r="T390">
        <v>2</v>
      </c>
      <c r="U390">
        <v>2</v>
      </c>
      <c r="V390">
        <v>1</v>
      </c>
      <c r="X390" t="s">
        <v>2385</v>
      </c>
      <c r="AA390">
        <v>0.04</v>
      </c>
      <c r="AB390">
        <v>1</v>
      </c>
      <c r="AC390">
        <v>18.75</v>
      </c>
      <c r="AD390">
        <v>31.25</v>
      </c>
      <c r="AE390">
        <v>0</v>
      </c>
      <c r="AF390">
        <v>0</v>
      </c>
      <c r="AG390">
        <v>0</v>
      </c>
      <c r="AJ390" s="56">
        <v>42666</v>
      </c>
      <c r="AK390" s="56">
        <v>42369</v>
      </c>
      <c r="AL390" s="56"/>
      <c r="AM390">
        <v>5</v>
      </c>
      <c r="AP390" t="s">
        <v>1450</v>
      </c>
      <c r="AS390" t="s">
        <v>1152</v>
      </c>
      <c r="AT390">
        <v>1</v>
      </c>
      <c r="AV390">
        <v>3</v>
      </c>
      <c r="AW390">
        <v>2</v>
      </c>
      <c r="AX390">
        <v>1</v>
      </c>
      <c r="AY390" t="s">
        <v>1147</v>
      </c>
      <c r="AZ390" t="s">
        <v>1147</v>
      </c>
      <c r="BA390">
        <v>5</v>
      </c>
      <c r="BD390">
        <v>1000000000</v>
      </c>
      <c r="BE390">
        <v>5</v>
      </c>
      <c r="BF390">
        <v>-0.67</v>
      </c>
      <c r="BG390">
        <v>0</v>
      </c>
      <c r="BH390">
        <v>0</v>
      </c>
      <c r="BI390">
        <v>0</v>
      </c>
      <c r="BJ390">
        <v>0</v>
      </c>
      <c r="BK390">
        <v>0</v>
      </c>
      <c r="BL390">
        <v>0</v>
      </c>
      <c r="BM390">
        <v>5</v>
      </c>
      <c r="BN390">
        <v>-0.67</v>
      </c>
      <c r="BO390">
        <v>0</v>
      </c>
      <c r="BP390">
        <v>0</v>
      </c>
      <c r="BR390">
        <v>0</v>
      </c>
      <c r="BS390">
        <v>2</v>
      </c>
      <c r="BX390">
        <v>0</v>
      </c>
      <c r="BY390">
        <v>402.64</v>
      </c>
      <c r="BZ390">
        <v>0</v>
      </c>
      <c r="CA390">
        <v>9.5299999999999994</v>
      </c>
      <c r="CC390">
        <v>1</v>
      </c>
      <c r="CD390" s="56">
        <v>42619</v>
      </c>
      <c r="CE390" s="56">
        <v>42619</v>
      </c>
      <c r="CF390" s="56">
        <v>42619</v>
      </c>
      <c r="CG390" s="56">
        <v>42647</v>
      </c>
      <c r="CH390" s="56"/>
      <c r="CI390" s="56"/>
      <c r="CJ390">
        <v>0</v>
      </c>
      <c r="CK390">
        <v>0</v>
      </c>
      <c r="CL390">
        <v>0</v>
      </c>
      <c r="CM390">
        <v>0</v>
      </c>
      <c r="CN390">
        <v>0</v>
      </c>
      <c r="CO390">
        <v>0</v>
      </c>
      <c r="CP390">
        <v>0.65</v>
      </c>
      <c r="CQ390" t="s">
        <v>1378</v>
      </c>
      <c r="CR390" t="s">
        <v>1377</v>
      </c>
      <c r="CS390" t="s">
        <v>1451</v>
      </c>
      <c r="CT390" t="s">
        <v>1724</v>
      </c>
      <c r="CU390" t="s">
        <v>1742</v>
      </c>
      <c r="CV390" t="s">
        <v>1779</v>
      </c>
      <c r="DB390" t="s">
        <v>1762</v>
      </c>
      <c r="DE390" t="s">
        <v>1724</v>
      </c>
    </row>
    <row r="391" spans="1:109" x14ac:dyDescent="0.25">
      <c r="A391" t="s">
        <v>1378</v>
      </c>
      <c r="B391">
        <v>1</v>
      </c>
      <c r="C391" s="56">
        <v>42640</v>
      </c>
      <c r="D391" t="s">
        <v>1449</v>
      </c>
      <c r="E391" t="s">
        <v>2142</v>
      </c>
      <c r="G391" t="s">
        <v>1144</v>
      </c>
      <c r="H391" t="s">
        <v>1144</v>
      </c>
      <c r="I391" t="s">
        <v>1144</v>
      </c>
      <c r="J391" t="s">
        <v>1144</v>
      </c>
      <c r="K391" t="s">
        <v>1144</v>
      </c>
      <c r="L391">
        <v>358.79</v>
      </c>
      <c r="M391">
        <v>2</v>
      </c>
      <c r="N391">
        <v>0</v>
      </c>
      <c r="O391" s="56"/>
      <c r="P391" s="56"/>
      <c r="Q391">
        <v>13718</v>
      </c>
      <c r="R391">
        <v>9</v>
      </c>
      <c r="S391">
        <v>4</v>
      </c>
      <c r="T391">
        <v>2</v>
      </c>
      <c r="U391">
        <v>2</v>
      </c>
      <c r="V391">
        <v>1</v>
      </c>
      <c r="X391" t="s">
        <v>2386</v>
      </c>
      <c r="AA391">
        <v>0</v>
      </c>
      <c r="AB391">
        <v>0</v>
      </c>
      <c r="AC391">
        <v>0</v>
      </c>
      <c r="AD391">
        <v>0</v>
      </c>
      <c r="AE391">
        <v>0</v>
      </c>
      <c r="AF391">
        <v>0</v>
      </c>
      <c r="AG391">
        <v>0</v>
      </c>
      <c r="AJ391" s="56"/>
      <c r="AK391" s="56">
        <v>42369</v>
      </c>
      <c r="AL391" s="56"/>
      <c r="AM391">
        <v>1</v>
      </c>
      <c r="AP391" t="s">
        <v>1450</v>
      </c>
      <c r="AS391" t="s">
        <v>1152</v>
      </c>
      <c r="AT391">
        <v>1</v>
      </c>
      <c r="AV391">
        <v>1</v>
      </c>
      <c r="AW391">
        <v>1</v>
      </c>
      <c r="AX391">
        <v>0.5</v>
      </c>
      <c r="AY391" t="s">
        <v>1147</v>
      </c>
      <c r="AZ391" t="s">
        <v>1147</v>
      </c>
      <c r="BA391">
        <v>1</v>
      </c>
      <c r="BD391">
        <v>1000000000</v>
      </c>
      <c r="BE391">
        <v>2</v>
      </c>
      <c r="BF391">
        <v>-1</v>
      </c>
      <c r="BG391">
        <v>0</v>
      </c>
      <c r="BH391">
        <v>0</v>
      </c>
      <c r="BI391">
        <v>0</v>
      </c>
      <c r="BJ391">
        <v>0</v>
      </c>
      <c r="BK391">
        <v>0</v>
      </c>
      <c r="BL391">
        <v>0</v>
      </c>
      <c r="BM391">
        <v>2</v>
      </c>
      <c r="BN391">
        <v>-1</v>
      </c>
      <c r="BO391">
        <v>0</v>
      </c>
      <c r="BP391">
        <v>0</v>
      </c>
      <c r="BR391">
        <v>0</v>
      </c>
      <c r="BS391">
        <v>1</v>
      </c>
      <c r="BX391">
        <v>0</v>
      </c>
      <c r="BY391">
        <v>358.79</v>
      </c>
      <c r="BZ391">
        <v>0</v>
      </c>
      <c r="CA391">
        <v>-11.93</v>
      </c>
      <c r="CC391">
        <v>1</v>
      </c>
      <c r="CD391" s="56">
        <v>42593</v>
      </c>
      <c r="CE391" s="56">
        <v>42612</v>
      </c>
      <c r="CF391" s="56">
        <v>42612</v>
      </c>
      <c r="CG391" s="56">
        <v>42640</v>
      </c>
      <c r="CH391" s="56"/>
      <c r="CI391" s="56"/>
      <c r="CJ391">
        <v>0</v>
      </c>
      <c r="CK391">
        <v>0</v>
      </c>
      <c r="CL391">
        <v>0</v>
      </c>
      <c r="CM391">
        <v>0</v>
      </c>
      <c r="CN391">
        <v>0</v>
      </c>
      <c r="CO391">
        <v>0</v>
      </c>
      <c r="CP391">
        <v>0.71</v>
      </c>
      <c r="CQ391" t="s">
        <v>1378</v>
      </c>
      <c r="CR391" t="s">
        <v>1377</v>
      </c>
      <c r="CS391" t="s">
        <v>1451</v>
      </c>
      <c r="CT391" t="s">
        <v>1724</v>
      </c>
      <c r="CU391" t="s">
        <v>1742</v>
      </c>
      <c r="CV391" t="s">
        <v>2139</v>
      </c>
      <c r="DB391" t="s">
        <v>2134</v>
      </c>
      <c r="DE391" t="s">
        <v>1724</v>
      </c>
    </row>
    <row r="392" spans="1:109" x14ac:dyDescent="0.25">
      <c r="A392" t="s">
        <v>1378</v>
      </c>
      <c r="B392">
        <v>1</v>
      </c>
      <c r="C392" s="56">
        <v>42640</v>
      </c>
      <c r="D392" t="s">
        <v>1449</v>
      </c>
      <c r="E392" t="s">
        <v>1825</v>
      </c>
      <c r="G392" t="s">
        <v>1144</v>
      </c>
      <c r="H392" t="s">
        <v>1144</v>
      </c>
      <c r="I392" t="s">
        <v>1144</v>
      </c>
      <c r="J392" t="s">
        <v>1144</v>
      </c>
      <c r="K392" t="s">
        <v>1144</v>
      </c>
      <c r="L392">
        <v>1076.76</v>
      </c>
      <c r="M392">
        <v>2032.14</v>
      </c>
      <c r="N392">
        <v>0</v>
      </c>
      <c r="O392" s="56"/>
      <c r="P392" s="56"/>
      <c r="Q392">
        <v>13718</v>
      </c>
      <c r="R392">
        <v>9</v>
      </c>
      <c r="S392">
        <v>4</v>
      </c>
      <c r="T392">
        <v>2</v>
      </c>
      <c r="U392">
        <v>2</v>
      </c>
      <c r="V392">
        <v>1</v>
      </c>
      <c r="W392" t="s">
        <v>1376</v>
      </c>
      <c r="X392" t="s">
        <v>2385</v>
      </c>
      <c r="AA392">
        <v>0</v>
      </c>
      <c r="AB392">
        <v>0</v>
      </c>
      <c r="AC392">
        <v>0</v>
      </c>
      <c r="AD392">
        <v>0</v>
      </c>
      <c r="AE392">
        <v>0</v>
      </c>
      <c r="AF392">
        <v>0</v>
      </c>
      <c r="AG392">
        <v>0</v>
      </c>
      <c r="AJ392" s="56"/>
      <c r="AK392" s="56">
        <v>42369</v>
      </c>
      <c r="AL392" s="56"/>
      <c r="AM392">
        <v>4</v>
      </c>
      <c r="AP392" t="s">
        <v>1450</v>
      </c>
      <c r="AS392" t="s">
        <v>1152</v>
      </c>
      <c r="AT392">
        <v>1</v>
      </c>
      <c r="AV392">
        <v>3</v>
      </c>
      <c r="AW392">
        <v>2</v>
      </c>
      <c r="AX392">
        <v>1</v>
      </c>
      <c r="AY392" t="s">
        <v>1148</v>
      </c>
      <c r="AZ392" t="s">
        <v>1148</v>
      </c>
      <c r="BA392">
        <v>4</v>
      </c>
      <c r="BD392">
        <v>1000000000</v>
      </c>
      <c r="BE392">
        <v>3</v>
      </c>
      <c r="BF392">
        <v>0</v>
      </c>
      <c r="BG392">
        <v>0</v>
      </c>
      <c r="BH392">
        <v>0</v>
      </c>
      <c r="BI392">
        <v>0</v>
      </c>
      <c r="BJ392">
        <v>0</v>
      </c>
      <c r="BK392">
        <v>0</v>
      </c>
      <c r="BL392">
        <v>0</v>
      </c>
      <c r="BM392">
        <v>3</v>
      </c>
      <c r="BN392">
        <v>0</v>
      </c>
      <c r="BO392">
        <v>0</v>
      </c>
      <c r="BP392">
        <v>0</v>
      </c>
      <c r="BR392">
        <v>0</v>
      </c>
      <c r="BS392">
        <v>2</v>
      </c>
      <c r="BX392">
        <v>0</v>
      </c>
      <c r="BY392">
        <v>0</v>
      </c>
      <c r="BZ392">
        <v>0</v>
      </c>
      <c r="CA392">
        <v>10.65</v>
      </c>
      <c r="CC392">
        <v>1</v>
      </c>
      <c r="CD392" s="56">
        <v>42619</v>
      </c>
      <c r="CE392" s="56">
        <v>42619</v>
      </c>
      <c r="CF392" s="56">
        <v>42619</v>
      </c>
      <c r="CG392" s="56">
        <v>42647</v>
      </c>
      <c r="CH392" s="56"/>
      <c r="CI392" s="56"/>
      <c r="CJ392">
        <v>0</v>
      </c>
      <c r="CK392">
        <v>0</v>
      </c>
      <c r="CL392">
        <v>0</v>
      </c>
      <c r="CM392">
        <v>0</v>
      </c>
      <c r="CN392">
        <v>0</v>
      </c>
      <c r="CO392">
        <v>0.65</v>
      </c>
      <c r="CP392">
        <v>0</v>
      </c>
      <c r="CQ392" t="s">
        <v>1378</v>
      </c>
      <c r="CR392" t="s">
        <v>1377</v>
      </c>
      <c r="CS392" t="s">
        <v>1451</v>
      </c>
      <c r="CT392" t="s">
        <v>1724</v>
      </c>
      <c r="CU392" t="s">
        <v>1742</v>
      </c>
      <c r="CV392" t="s">
        <v>1823</v>
      </c>
      <c r="DB392" t="s">
        <v>1794</v>
      </c>
      <c r="DE392" t="s">
        <v>1724</v>
      </c>
    </row>
    <row r="393" spans="1:109" x14ac:dyDescent="0.25">
      <c r="A393" t="s">
        <v>1378</v>
      </c>
      <c r="B393">
        <v>1</v>
      </c>
      <c r="C393" s="56">
        <v>42640</v>
      </c>
      <c r="D393" t="s">
        <v>1449</v>
      </c>
      <c r="E393" t="s">
        <v>1485</v>
      </c>
      <c r="G393" t="s">
        <v>1144</v>
      </c>
      <c r="H393" t="s">
        <v>1144</v>
      </c>
      <c r="I393" t="s">
        <v>1144</v>
      </c>
      <c r="J393" t="s">
        <v>1144</v>
      </c>
      <c r="K393" t="s">
        <v>1144</v>
      </c>
      <c r="L393">
        <v>562.08000000000004</v>
      </c>
      <c r="M393">
        <v>2</v>
      </c>
      <c r="N393">
        <v>0</v>
      </c>
      <c r="O393" s="56"/>
      <c r="P393" s="56"/>
      <c r="Q393">
        <v>13718</v>
      </c>
      <c r="R393">
        <v>9</v>
      </c>
      <c r="S393">
        <v>4</v>
      </c>
      <c r="T393">
        <v>2</v>
      </c>
      <c r="U393">
        <v>2</v>
      </c>
      <c r="V393">
        <v>1</v>
      </c>
      <c r="W393" t="s">
        <v>2379</v>
      </c>
      <c r="X393" t="s">
        <v>2387</v>
      </c>
      <c r="AA393">
        <v>0.12</v>
      </c>
      <c r="AB393">
        <v>1</v>
      </c>
      <c r="AC393">
        <v>4.17</v>
      </c>
      <c r="AD393">
        <v>4.17</v>
      </c>
      <c r="AE393">
        <v>0</v>
      </c>
      <c r="AF393">
        <v>0</v>
      </c>
      <c r="AG393">
        <v>0</v>
      </c>
      <c r="AJ393" s="56"/>
      <c r="AK393" s="56">
        <v>42369</v>
      </c>
      <c r="AL393" s="56">
        <v>42656</v>
      </c>
      <c r="AM393">
        <v>1</v>
      </c>
      <c r="AP393" t="s">
        <v>1450</v>
      </c>
      <c r="AS393" t="s">
        <v>1152</v>
      </c>
      <c r="AT393">
        <v>1</v>
      </c>
      <c r="AV393">
        <v>2</v>
      </c>
      <c r="AW393">
        <v>2</v>
      </c>
      <c r="AX393">
        <v>1</v>
      </c>
      <c r="AY393" t="s">
        <v>1145</v>
      </c>
      <c r="AZ393" t="s">
        <v>1145</v>
      </c>
      <c r="BA393">
        <v>1</v>
      </c>
      <c r="BD393">
        <v>1000000000</v>
      </c>
      <c r="BE393">
        <v>2</v>
      </c>
      <c r="BF393">
        <v>0</v>
      </c>
      <c r="BG393">
        <v>0</v>
      </c>
      <c r="BH393">
        <v>0</v>
      </c>
      <c r="BI393">
        <v>0</v>
      </c>
      <c r="BJ393">
        <v>0</v>
      </c>
      <c r="BK393">
        <v>0</v>
      </c>
      <c r="BL393">
        <v>0</v>
      </c>
      <c r="BM393">
        <v>2</v>
      </c>
      <c r="BN393">
        <v>0</v>
      </c>
      <c r="BO393">
        <v>0</v>
      </c>
      <c r="BP393">
        <v>0</v>
      </c>
      <c r="BR393">
        <v>0</v>
      </c>
      <c r="BS393">
        <v>1</v>
      </c>
      <c r="BX393">
        <v>0</v>
      </c>
      <c r="BY393">
        <v>0</v>
      </c>
      <c r="BZ393">
        <v>0</v>
      </c>
      <c r="CA393">
        <v>-11.96</v>
      </c>
      <c r="CC393">
        <v>1</v>
      </c>
      <c r="CD393" s="56">
        <v>42592</v>
      </c>
      <c r="CE393" s="56">
        <v>42612</v>
      </c>
      <c r="CF393" s="56">
        <v>42612</v>
      </c>
      <c r="CG393" s="56">
        <v>42640</v>
      </c>
      <c r="CH393" s="56"/>
      <c r="CI393" s="56"/>
      <c r="CJ393">
        <v>0.2</v>
      </c>
      <c r="CK393">
        <v>1</v>
      </c>
      <c r="CL393">
        <v>0</v>
      </c>
      <c r="CM393">
        <v>0.11</v>
      </c>
      <c r="CN393">
        <v>0.61</v>
      </c>
      <c r="CO393">
        <v>0</v>
      </c>
      <c r="CP393">
        <v>0</v>
      </c>
      <c r="CQ393" t="s">
        <v>1378</v>
      </c>
      <c r="CR393" t="s">
        <v>1377</v>
      </c>
      <c r="CS393" t="s">
        <v>1451</v>
      </c>
      <c r="CT393" t="s">
        <v>1724</v>
      </c>
      <c r="CU393" t="s">
        <v>1742</v>
      </c>
      <c r="CV393" t="s">
        <v>2264</v>
      </c>
      <c r="DB393" t="s">
        <v>2265</v>
      </c>
      <c r="DE393" t="s">
        <v>1724</v>
      </c>
    </row>
    <row r="394" spans="1:109" x14ac:dyDescent="0.25">
      <c r="A394" t="s">
        <v>1378</v>
      </c>
      <c r="B394">
        <v>1</v>
      </c>
      <c r="C394" s="56">
        <v>42640</v>
      </c>
      <c r="D394" t="s">
        <v>1449</v>
      </c>
      <c r="E394" t="s">
        <v>1416</v>
      </c>
      <c r="G394" t="s">
        <v>1144</v>
      </c>
      <c r="H394" t="s">
        <v>1144</v>
      </c>
      <c r="I394" t="s">
        <v>1144</v>
      </c>
      <c r="J394" t="s">
        <v>1144</v>
      </c>
      <c r="K394" t="s">
        <v>1144</v>
      </c>
      <c r="L394">
        <v>325.93</v>
      </c>
      <c r="M394">
        <v>1020.89</v>
      </c>
      <c r="N394">
        <v>0</v>
      </c>
      <c r="O394" s="56"/>
      <c r="P394" s="56"/>
      <c r="Q394">
        <v>13718</v>
      </c>
      <c r="R394">
        <v>9</v>
      </c>
      <c r="S394">
        <v>4</v>
      </c>
      <c r="T394">
        <v>2</v>
      </c>
      <c r="U394">
        <v>2</v>
      </c>
      <c r="V394">
        <v>1</v>
      </c>
      <c r="W394" t="s">
        <v>2379</v>
      </c>
      <c r="X394" t="s">
        <v>2386</v>
      </c>
      <c r="AA394">
        <v>0.04</v>
      </c>
      <c r="AB394">
        <v>1</v>
      </c>
      <c r="AC394">
        <v>12.5</v>
      </c>
      <c r="AD394">
        <v>6.25</v>
      </c>
      <c r="AE394">
        <v>0</v>
      </c>
      <c r="AF394">
        <v>0</v>
      </c>
      <c r="AG394">
        <v>0</v>
      </c>
      <c r="AJ394" s="56"/>
      <c r="AK394" s="56">
        <v>42369</v>
      </c>
      <c r="AL394" s="56">
        <v>42656</v>
      </c>
      <c r="AM394">
        <v>2</v>
      </c>
      <c r="AP394" t="s">
        <v>1450</v>
      </c>
      <c r="AS394" t="s">
        <v>1152</v>
      </c>
      <c r="AT394">
        <v>1</v>
      </c>
      <c r="AV394">
        <v>2</v>
      </c>
      <c r="AW394">
        <v>2</v>
      </c>
      <c r="AX394">
        <v>1</v>
      </c>
      <c r="AY394" t="s">
        <v>1146</v>
      </c>
      <c r="AZ394" t="s">
        <v>1146</v>
      </c>
      <c r="BA394">
        <v>2</v>
      </c>
      <c r="BD394">
        <v>1000000000</v>
      </c>
      <c r="BE394">
        <v>1</v>
      </c>
      <c r="BF394">
        <v>0.5</v>
      </c>
      <c r="BG394">
        <v>0</v>
      </c>
      <c r="BH394">
        <v>0</v>
      </c>
      <c r="BI394">
        <v>0</v>
      </c>
      <c r="BJ394">
        <v>0</v>
      </c>
      <c r="BK394">
        <v>0</v>
      </c>
      <c r="BL394">
        <v>0</v>
      </c>
      <c r="BM394">
        <v>1</v>
      </c>
      <c r="BN394">
        <v>0.5</v>
      </c>
      <c r="BO394">
        <v>0</v>
      </c>
      <c r="BP394">
        <v>0</v>
      </c>
      <c r="BR394">
        <v>1</v>
      </c>
      <c r="BS394">
        <v>1</v>
      </c>
      <c r="BX394">
        <v>0</v>
      </c>
      <c r="BY394">
        <v>0</v>
      </c>
      <c r="BZ394">
        <v>0</v>
      </c>
      <c r="CA394">
        <v>25.59</v>
      </c>
      <c r="CC394">
        <v>1</v>
      </c>
      <c r="CD394" s="56">
        <v>42593</v>
      </c>
      <c r="CE394" s="56">
        <v>42612</v>
      </c>
      <c r="CF394" s="56">
        <v>42612</v>
      </c>
      <c r="CG394" s="56">
        <v>42640</v>
      </c>
      <c r="CH394" s="56"/>
      <c r="CI394" s="56"/>
      <c r="CJ394">
        <v>0</v>
      </c>
      <c r="CK394">
        <v>1</v>
      </c>
      <c r="CL394">
        <v>0</v>
      </c>
      <c r="CM394">
        <v>0.71</v>
      </c>
      <c r="CN394">
        <v>0</v>
      </c>
      <c r="CO394">
        <v>0</v>
      </c>
      <c r="CP394">
        <v>0</v>
      </c>
      <c r="CQ394" t="s">
        <v>1378</v>
      </c>
      <c r="CR394" t="s">
        <v>1377</v>
      </c>
      <c r="CS394" t="s">
        <v>1451</v>
      </c>
      <c r="CT394" t="s">
        <v>1724</v>
      </c>
      <c r="CU394" t="s">
        <v>1742</v>
      </c>
      <c r="CV394" t="s">
        <v>1975</v>
      </c>
      <c r="DB394" t="s">
        <v>1962</v>
      </c>
      <c r="DE394" t="s">
        <v>1724</v>
      </c>
    </row>
    <row r="395" spans="1:109" x14ac:dyDescent="0.25">
      <c r="A395" t="s">
        <v>1378</v>
      </c>
      <c r="B395">
        <v>1</v>
      </c>
      <c r="C395" s="56">
        <v>42640</v>
      </c>
      <c r="D395" t="s">
        <v>1449</v>
      </c>
      <c r="E395" t="s">
        <v>1494</v>
      </c>
      <c r="G395" t="s">
        <v>1144</v>
      </c>
      <c r="H395" t="s">
        <v>1144</v>
      </c>
      <c r="I395" t="s">
        <v>1144</v>
      </c>
      <c r="J395" t="s">
        <v>1144</v>
      </c>
      <c r="K395" t="s">
        <v>1144</v>
      </c>
      <c r="L395">
        <v>419.92</v>
      </c>
      <c r="M395">
        <v>2</v>
      </c>
      <c r="N395">
        <v>0</v>
      </c>
      <c r="O395" s="56"/>
      <c r="P395" s="56"/>
      <c r="Q395">
        <v>13718</v>
      </c>
      <c r="R395">
        <v>9</v>
      </c>
      <c r="S395">
        <v>4</v>
      </c>
      <c r="T395">
        <v>2</v>
      </c>
      <c r="U395">
        <v>2</v>
      </c>
      <c r="V395">
        <v>1</v>
      </c>
      <c r="W395" t="s">
        <v>1376</v>
      </c>
      <c r="X395" t="s">
        <v>2385</v>
      </c>
      <c r="AA395">
        <v>0.04</v>
      </c>
      <c r="AB395">
        <v>1</v>
      </c>
      <c r="AC395">
        <v>12.5</v>
      </c>
      <c r="AD395">
        <v>12.5</v>
      </c>
      <c r="AE395">
        <v>0</v>
      </c>
      <c r="AF395">
        <v>0</v>
      </c>
      <c r="AG395">
        <v>0</v>
      </c>
      <c r="AJ395" s="56"/>
      <c r="AK395" s="56"/>
      <c r="AL395" s="56"/>
      <c r="AM395">
        <v>1</v>
      </c>
      <c r="AP395" t="s">
        <v>1450</v>
      </c>
      <c r="AS395" t="s">
        <v>1152</v>
      </c>
      <c r="AT395">
        <v>1</v>
      </c>
      <c r="AV395">
        <v>2</v>
      </c>
      <c r="AW395">
        <v>2</v>
      </c>
      <c r="AX395">
        <v>1</v>
      </c>
      <c r="AY395" t="s">
        <v>1145</v>
      </c>
      <c r="AZ395" t="s">
        <v>1145</v>
      </c>
      <c r="BA395">
        <v>1</v>
      </c>
      <c r="BD395">
        <v>1000000000</v>
      </c>
      <c r="BE395">
        <v>2</v>
      </c>
      <c r="BF395">
        <v>0</v>
      </c>
      <c r="BG395">
        <v>0</v>
      </c>
      <c r="BH395">
        <v>0</v>
      </c>
      <c r="BI395">
        <v>0</v>
      </c>
      <c r="BJ395">
        <v>0</v>
      </c>
      <c r="BK395">
        <v>0</v>
      </c>
      <c r="BL395">
        <v>0</v>
      </c>
      <c r="BM395">
        <v>2</v>
      </c>
      <c r="BN395">
        <v>0</v>
      </c>
      <c r="BO395">
        <v>0</v>
      </c>
      <c r="BP395">
        <v>0</v>
      </c>
      <c r="BR395">
        <v>0</v>
      </c>
      <c r="BS395">
        <v>1</v>
      </c>
      <c r="BX395">
        <v>0</v>
      </c>
      <c r="BY395">
        <v>0</v>
      </c>
      <c r="BZ395">
        <v>0</v>
      </c>
      <c r="CA395">
        <v>-11.94</v>
      </c>
      <c r="CC395">
        <v>1</v>
      </c>
      <c r="CD395" s="56">
        <v>42619</v>
      </c>
      <c r="CE395" s="56">
        <v>42619</v>
      </c>
      <c r="CF395" s="56">
        <v>42619</v>
      </c>
      <c r="CG395" s="56">
        <v>42647</v>
      </c>
      <c r="CH395" s="56"/>
      <c r="CI395" s="56"/>
      <c r="CJ395">
        <v>0</v>
      </c>
      <c r="CK395">
        <v>0</v>
      </c>
      <c r="CL395">
        <v>0</v>
      </c>
      <c r="CM395">
        <v>0</v>
      </c>
      <c r="CN395">
        <v>0.65</v>
      </c>
      <c r="CO395">
        <v>0</v>
      </c>
      <c r="CP395">
        <v>0</v>
      </c>
      <c r="CQ395" t="s">
        <v>1378</v>
      </c>
      <c r="CR395" t="s">
        <v>1377</v>
      </c>
      <c r="CS395" t="s">
        <v>1451</v>
      </c>
      <c r="CT395" t="s">
        <v>1724</v>
      </c>
      <c r="CU395" t="s">
        <v>1742</v>
      </c>
      <c r="CV395" t="s">
        <v>2320</v>
      </c>
      <c r="DB395" t="s">
        <v>2309</v>
      </c>
      <c r="DE395" t="s">
        <v>1724</v>
      </c>
    </row>
    <row r="396" spans="1:109" x14ac:dyDescent="0.25">
      <c r="A396" t="s">
        <v>1378</v>
      </c>
      <c r="B396">
        <v>1</v>
      </c>
      <c r="C396" s="56">
        <v>42640</v>
      </c>
      <c r="D396" t="s">
        <v>1449</v>
      </c>
      <c r="E396" t="s">
        <v>2019</v>
      </c>
      <c r="G396" t="s">
        <v>1144</v>
      </c>
      <c r="H396" t="s">
        <v>1144</v>
      </c>
      <c r="I396" t="s">
        <v>1144</v>
      </c>
      <c r="J396" t="s">
        <v>1144</v>
      </c>
      <c r="K396" t="s">
        <v>1144</v>
      </c>
      <c r="L396">
        <v>178.62</v>
      </c>
      <c r="M396">
        <v>2</v>
      </c>
      <c r="N396">
        <v>0</v>
      </c>
      <c r="O396" s="56"/>
      <c r="P396" s="56"/>
      <c r="Q396">
        <v>13718</v>
      </c>
      <c r="R396">
        <v>9</v>
      </c>
      <c r="S396">
        <v>4</v>
      </c>
      <c r="T396">
        <v>2</v>
      </c>
      <c r="U396">
        <v>2</v>
      </c>
      <c r="V396">
        <v>1</v>
      </c>
      <c r="W396" t="s">
        <v>2379</v>
      </c>
      <c r="X396" t="s">
        <v>2387</v>
      </c>
      <c r="AA396">
        <v>0</v>
      </c>
      <c r="AB396">
        <v>0</v>
      </c>
      <c r="AC396">
        <v>0</v>
      </c>
      <c r="AD396">
        <v>0</v>
      </c>
      <c r="AE396">
        <v>0</v>
      </c>
      <c r="AF396">
        <v>0</v>
      </c>
      <c r="AG396">
        <v>0</v>
      </c>
      <c r="AJ396" s="56"/>
      <c r="AK396" s="56">
        <v>42369</v>
      </c>
      <c r="AL396" s="56"/>
      <c r="AM396">
        <v>1</v>
      </c>
      <c r="AP396" t="s">
        <v>1450</v>
      </c>
      <c r="AS396" t="s">
        <v>1152</v>
      </c>
      <c r="AT396">
        <v>1</v>
      </c>
      <c r="AV396">
        <v>2</v>
      </c>
      <c r="AW396">
        <v>2</v>
      </c>
      <c r="AX396">
        <v>1</v>
      </c>
      <c r="AY396" t="s">
        <v>1145</v>
      </c>
      <c r="AZ396" t="s">
        <v>1145</v>
      </c>
      <c r="BA396">
        <v>1</v>
      </c>
      <c r="BD396">
        <v>1000000000</v>
      </c>
      <c r="BE396">
        <v>2</v>
      </c>
      <c r="BF396">
        <v>0</v>
      </c>
      <c r="BG396">
        <v>0</v>
      </c>
      <c r="BH396">
        <v>0</v>
      </c>
      <c r="BI396">
        <v>0</v>
      </c>
      <c r="BJ396">
        <v>0</v>
      </c>
      <c r="BK396">
        <v>0</v>
      </c>
      <c r="BL396">
        <v>0</v>
      </c>
      <c r="BM396">
        <v>2</v>
      </c>
      <c r="BN396">
        <v>0</v>
      </c>
      <c r="BO396">
        <v>0</v>
      </c>
      <c r="BP396">
        <v>0</v>
      </c>
      <c r="BR396">
        <v>0</v>
      </c>
      <c r="BS396">
        <v>1</v>
      </c>
      <c r="BX396">
        <v>0</v>
      </c>
      <c r="BY396">
        <v>0</v>
      </c>
      <c r="BZ396">
        <v>0</v>
      </c>
      <c r="CA396">
        <v>-11.87</v>
      </c>
      <c r="CC396">
        <v>1</v>
      </c>
      <c r="CD396" s="56">
        <v>42592</v>
      </c>
      <c r="CE396" s="56">
        <v>42612</v>
      </c>
      <c r="CF396" s="56">
        <v>42612</v>
      </c>
      <c r="CG396" s="56">
        <v>42640</v>
      </c>
      <c r="CH396" s="56"/>
      <c r="CI396" s="56"/>
      <c r="CJ396">
        <v>0</v>
      </c>
      <c r="CK396">
        <v>0</v>
      </c>
      <c r="CL396">
        <v>0</v>
      </c>
      <c r="CM396">
        <v>0</v>
      </c>
      <c r="CN396">
        <v>0.71</v>
      </c>
      <c r="CO396">
        <v>0</v>
      </c>
      <c r="CP396">
        <v>0</v>
      </c>
      <c r="CQ396" t="s">
        <v>1378</v>
      </c>
      <c r="CR396" t="s">
        <v>1377</v>
      </c>
      <c r="CS396" t="s">
        <v>1451</v>
      </c>
      <c r="CT396" t="s">
        <v>1724</v>
      </c>
      <c r="CU396" t="s">
        <v>1742</v>
      </c>
      <c r="CV396" t="s">
        <v>2020</v>
      </c>
      <c r="DB396" t="s">
        <v>2014</v>
      </c>
      <c r="DE396" t="s">
        <v>1724</v>
      </c>
    </row>
    <row r="397" spans="1:109" x14ac:dyDescent="0.25">
      <c r="A397" t="s">
        <v>1378</v>
      </c>
      <c r="B397">
        <v>1</v>
      </c>
      <c r="C397" s="56">
        <v>42640</v>
      </c>
      <c r="D397" t="s">
        <v>1449</v>
      </c>
      <c r="E397" t="s">
        <v>2375</v>
      </c>
      <c r="G397" t="s">
        <v>1144</v>
      </c>
      <c r="H397" t="s">
        <v>1144</v>
      </c>
      <c r="I397" t="s">
        <v>1144</v>
      </c>
      <c r="J397" t="s">
        <v>1144</v>
      </c>
      <c r="K397" t="s">
        <v>1144</v>
      </c>
      <c r="L397">
        <v>272.79000000000002</v>
      </c>
      <c r="M397">
        <v>878.08</v>
      </c>
      <c r="N397">
        <v>0</v>
      </c>
      <c r="O397" s="56"/>
      <c r="P397" s="56"/>
      <c r="Q397">
        <v>13718</v>
      </c>
      <c r="R397">
        <v>9</v>
      </c>
      <c r="S397">
        <v>4</v>
      </c>
      <c r="T397">
        <v>2</v>
      </c>
      <c r="U397">
        <v>2</v>
      </c>
      <c r="V397">
        <v>1</v>
      </c>
      <c r="X397" t="s">
        <v>2385</v>
      </c>
      <c r="AA397">
        <v>0.16</v>
      </c>
      <c r="AB397">
        <v>1</v>
      </c>
      <c r="AC397">
        <v>3.13</v>
      </c>
      <c r="AD397">
        <v>6.25</v>
      </c>
      <c r="AE397">
        <v>0</v>
      </c>
      <c r="AF397">
        <v>0</v>
      </c>
      <c r="AG397">
        <v>0</v>
      </c>
      <c r="AJ397" s="56"/>
      <c r="AK397" s="56"/>
      <c r="AL397" s="56"/>
      <c r="AM397">
        <v>4</v>
      </c>
      <c r="AP397" t="s">
        <v>1450</v>
      </c>
      <c r="AS397" t="s">
        <v>1152</v>
      </c>
      <c r="AT397">
        <v>1</v>
      </c>
      <c r="AV397">
        <v>2</v>
      </c>
      <c r="AW397">
        <v>2</v>
      </c>
      <c r="AX397">
        <v>1</v>
      </c>
      <c r="AY397" t="s">
        <v>1147</v>
      </c>
      <c r="AZ397" t="s">
        <v>1147</v>
      </c>
      <c r="BA397">
        <v>4</v>
      </c>
      <c r="BD397">
        <v>1000000000</v>
      </c>
      <c r="BE397">
        <v>4</v>
      </c>
      <c r="BF397">
        <v>-1</v>
      </c>
      <c r="BG397">
        <v>0</v>
      </c>
      <c r="BH397">
        <v>0</v>
      </c>
      <c r="BI397">
        <v>0</v>
      </c>
      <c r="BJ397">
        <v>0</v>
      </c>
      <c r="BK397">
        <v>0</v>
      </c>
      <c r="BL397">
        <v>0</v>
      </c>
      <c r="BM397">
        <v>4</v>
      </c>
      <c r="BN397">
        <v>-1</v>
      </c>
      <c r="BO397">
        <v>0</v>
      </c>
      <c r="BP397">
        <v>0</v>
      </c>
      <c r="BR397">
        <v>0</v>
      </c>
      <c r="BS397">
        <v>1</v>
      </c>
      <c r="BX397">
        <v>0</v>
      </c>
      <c r="BY397">
        <v>545.58000000000004</v>
      </c>
      <c r="BZ397">
        <v>0</v>
      </c>
      <c r="CA397">
        <v>26.63</v>
      </c>
      <c r="CC397">
        <v>1</v>
      </c>
      <c r="CD397" s="56">
        <v>42619</v>
      </c>
      <c r="CE397" s="56">
        <v>42619</v>
      </c>
      <c r="CF397" s="56">
        <v>42619</v>
      </c>
      <c r="CG397" s="56">
        <v>42647</v>
      </c>
      <c r="CH397" s="56"/>
      <c r="CI397" s="56"/>
      <c r="CJ397">
        <v>0</v>
      </c>
      <c r="CK397">
        <v>0</v>
      </c>
      <c r="CL397">
        <v>0</v>
      </c>
      <c r="CM397">
        <v>0</v>
      </c>
      <c r="CN397">
        <v>0</v>
      </c>
      <c r="CO397">
        <v>0</v>
      </c>
      <c r="CP397">
        <v>0.65</v>
      </c>
      <c r="CQ397" t="s">
        <v>1378</v>
      </c>
      <c r="CR397" t="s">
        <v>1377</v>
      </c>
      <c r="CS397" t="s">
        <v>1451</v>
      </c>
      <c r="CT397" t="s">
        <v>1724</v>
      </c>
      <c r="CU397" t="s">
        <v>1742</v>
      </c>
      <c r="CV397" t="s">
        <v>2376</v>
      </c>
      <c r="DB397" t="s">
        <v>2351</v>
      </c>
      <c r="DE397" t="s">
        <v>1724</v>
      </c>
    </row>
    <row r="398" spans="1:109" x14ac:dyDescent="0.25">
      <c r="A398" t="s">
        <v>1378</v>
      </c>
      <c r="B398">
        <v>1</v>
      </c>
      <c r="C398" s="56">
        <v>42640</v>
      </c>
      <c r="D398" t="s">
        <v>1449</v>
      </c>
      <c r="E398" t="s">
        <v>2072</v>
      </c>
      <c r="G398" t="s">
        <v>1144</v>
      </c>
      <c r="H398" t="s">
        <v>1144</v>
      </c>
      <c r="I398" t="s">
        <v>1144</v>
      </c>
      <c r="J398" t="s">
        <v>1144</v>
      </c>
      <c r="K398" t="s">
        <v>1144</v>
      </c>
      <c r="L398">
        <v>120.55</v>
      </c>
      <c r="M398">
        <v>293.95</v>
      </c>
      <c r="N398">
        <v>0</v>
      </c>
      <c r="O398" s="56"/>
      <c r="P398" s="56"/>
      <c r="Q398">
        <v>13718</v>
      </c>
      <c r="R398">
        <v>9</v>
      </c>
      <c r="S398">
        <v>4</v>
      </c>
      <c r="T398">
        <v>2</v>
      </c>
      <c r="U398">
        <v>2</v>
      </c>
      <c r="V398">
        <v>1</v>
      </c>
      <c r="X398" t="s">
        <v>2385</v>
      </c>
      <c r="AA398">
        <v>0.16</v>
      </c>
      <c r="AB398">
        <v>1</v>
      </c>
      <c r="AC398">
        <v>4.6900000000000004</v>
      </c>
      <c r="AD398">
        <v>6.25</v>
      </c>
      <c r="AE398">
        <v>0</v>
      </c>
      <c r="AF398">
        <v>0</v>
      </c>
      <c r="AG398">
        <v>0</v>
      </c>
      <c r="AJ398" s="56"/>
      <c r="AK398" s="56">
        <v>42369</v>
      </c>
      <c r="AL398" s="56"/>
      <c r="AM398">
        <v>5</v>
      </c>
      <c r="AP398" t="s">
        <v>1450</v>
      </c>
      <c r="AS398" t="s">
        <v>1152</v>
      </c>
      <c r="AT398">
        <v>1</v>
      </c>
      <c r="AV398">
        <v>3</v>
      </c>
      <c r="AW398">
        <v>2</v>
      </c>
      <c r="AX398">
        <v>1</v>
      </c>
      <c r="AY398" t="s">
        <v>1147</v>
      </c>
      <c r="AZ398" t="s">
        <v>1147</v>
      </c>
      <c r="BA398">
        <v>5</v>
      </c>
      <c r="BD398">
        <v>1000000000</v>
      </c>
      <c r="BE398">
        <v>4</v>
      </c>
      <c r="BF398">
        <v>-0.33</v>
      </c>
      <c r="BG398">
        <v>0</v>
      </c>
      <c r="BH398">
        <v>0</v>
      </c>
      <c r="BI398">
        <v>0</v>
      </c>
      <c r="BJ398">
        <v>0</v>
      </c>
      <c r="BK398">
        <v>0</v>
      </c>
      <c r="BL398">
        <v>0</v>
      </c>
      <c r="BM398">
        <v>4</v>
      </c>
      <c r="BN398">
        <v>-0.33</v>
      </c>
      <c r="BO398">
        <v>0</v>
      </c>
      <c r="BP398">
        <v>0</v>
      </c>
      <c r="BR398">
        <v>0</v>
      </c>
      <c r="BS398">
        <v>2</v>
      </c>
      <c r="BX398">
        <v>0</v>
      </c>
      <c r="BY398">
        <v>120.55</v>
      </c>
      <c r="BZ398">
        <v>0</v>
      </c>
      <c r="CA398">
        <v>17.260000000000002</v>
      </c>
      <c r="CC398">
        <v>1</v>
      </c>
      <c r="CD398" s="56">
        <v>42619</v>
      </c>
      <c r="CE398" s="56">
        <v>42619</v>
      </c>
      <c r="CF398" s="56">
        <v>42619</v>
      </c>
      <c r="CG398" s="56">
        <v>42647</v>
      </c>
      <c r="CH398" s="56"/>
      <c r="CI398" s="56"/>
      <c r="CJ398">
        <v>0</v>
      </c>
      <c r="CK398">
        <v>0</v>
      </c>
      <c r="CL398">
        <v>0</v>
      </c>
      <c r="CM398">
        <v>0</v>
      </c>
      <c r="CN398">
        <v>0</v>
      </c>
      <c r="CO398">
        <v>0</v>
      </c>
      <c r="CP398">
        <v>0.65</v>
      </c>
      <c r="CQ398" t="s">
        <v>1378</v>
      </c>
      <c r="CR398" t="s">
        <v>1377</v>
      </c>
      <c r="CS398" t="s">
        <v>1451</v>
      </c>
      <c r="CT398" t="s">
        <v>1724</v>
      </c>
      <c r="CU398" t="s">
        <v>1742</v>
      </c>
      <c r="CV398" t="s">
        <v>2073</v>
      </c>
      <c r="DB398" t="s">
        <v>2059</v>
      </c>
      <c r="DE398" t="s">
        <v>1724</v>
      </c>
    </row>
    <row r="399" spans="1:109" x14ac:dyDescent="0.25">
      <c r="A399" t="s">
        <v>1378</v>
      </c>
      <c r="B399">
        <v>1</v>
      </c>
      <c r="C399" s="56">
        <v>42640</v>
      </c>
      <c r="D399" t="s">
        <v>1449</v>
      </c>
      <c r="E399" t="s">
        <v>1455</v>
      </c>
      <c r="G399" t="s">
        <v>1144</v>
      </c>
      <c r="H399" t="s">
        <v>1144</v>
      </c>
      <c r="I399" t="s">
        <v>1144</v>
      </c>
      <c r="J399" t="s">
        <v>1144</v>
      </c>
      <c r="K399" t="s">
        <v>1144</v>
      </c>
      <c r="L399">
        <v>165.93</v>
      </c>
      <c r="M399">
        <v>361.16</v>
      </c>
      <c r="N399">
        <v>0</v>
      </c>
      <c r="O399" s="56"/>
      <c r="P399" s="56"/>
      <c r="Q399">
        <v>13718</v>
      </c>
      <c r="R399">
        <v>9</v>
      </c>
      <c r="S399">
        <v>4</v>
      </c>
      <c r="T399">
        <v>2</v>
      </c>
      <c r="U399">
        <v>2</v>
      </c>
      <c r="V399">
        <v>1</v>
      </c>
      <c r="X399" t="s">
        <v>2385</v>
      </c>
      <c r="AA399">
        <v>0</v>
      </c>
      <c r="AB399">
        <v>0</v>
      </c>
      <c r="AC399">
        <v>0</v>
      </c>
      <c r="AD399">
        <v>0</v>
      </c>
      <c r="AE399">
        <v>0</v>
      </c>
      <c r="AF399">
        <v>0</v>
      </c>
      <c r="AG399">
        <v>0</v>
      </c>
      <c r="AJ399" s="56"/>
      <c r="AK399" s="56"/>
      <c r="AL399" s="56"/>
      <c r="AM399">
        <v>5</v>
      </c>
      <c r="AP399" t="s">
        <v>1450</v>
      </c>
      <c r="AS399" t="s">
        <v>1152</v>
      </c>
      <c r="AT399">
        <v>1</v>
      </c>
      <c r="AV399">
        <v>3</v>
      </c>
      <c r="AW399">
        <v>2</v>
      </c>
      <c r="AX399">
        <v>1</v>
      </c>
      <c r="AY399" t="s">
        <v>1147</v>
      </c>
      <c r="AZ399" t="s">
        <v>1147</v>
      </c>
      <c r="BA399">
        <v>5</v>
      </c>
      <c r="BD399">
        <v>1000000000</v>
      </c>
      <c r="BE399">
        <v>8</v>
      </c>
      <c r="BF399">
        <v>-1.67</v>
      </c>
      <c r="BG399">
        <v>0</v>
      </c>
      <c r="BH399">
        <v>0</v>
      </c>
      <c r="BI399">
        <v>0</v>
      </c>
      <c r="BJ399">
        <v>0</v>
      </c>
      <c r="BK399">
        <v>0</v>
      </c>
      <c r="BL399">
        <v>0</v>
      </c>
      <c r="BM399">
        <v>8</v>
      </c>
      <c r="BN399">
        <v>-1.67</v>
      </c>
      <c r="BO399">
        <v>0</v>
      </c>
      <c r="BP399">
        <v>0</v>
      </c>
      <c r="BR399">
        <v>0</v>
      </c>
      <c r="BS399">
        <v>2</v>
      </c>
      <c r="BX399">
        <v>0</v>
      </c>
      <c r="BY399">
        <v>829.65</v>
      </c>
      <c r="BZ399">
        <v>0</v>
      </c>
      <c r="CA399">
        <v>14.12</v>
      </c>
      <c r="CC399">
        <v>1</v>
      </c>
      <c r="CD399" s="56">
        <v>42619</v>
      </c>
      <c r="CE399" s="56">
        <v>42619</v>
      </c>
      <c r="CF399" s="56">
        <v>42619</v>
      </c>
      <c r="CG399" s="56">
        <v>42647</v>
      </c>
      <c r="CH399" s="56"/>
      <c r="CI399" s="56"/>
      <c r="CJ399">
        <v>0</v>
      </c>
      <c r="CK399">
        <v>0</v>
      </c>
      <c r="CL399">
        <v>0</v>
      </c>
      <c r="CM399">
        <v>0</v>
      </c>
      <c r="CN399">
        <v>0</v>
      </c>
      <c r="CO399">
        <v>0</v>
      </c>
      <c r="CP399">
        <v>0.65</v>
      </c>
      <c r="CQ399" t="s">
        <v>1378</v>
      </c>
      <c r="CR399" t="s">
        <v>1377</v>
      </c>
      <c r="CS399" t="s">
        <v>1451</v>
      </c>
      <c r="CT399" t="s">
        <v>1724</v>
      </c>
      <c r="CU399" t="s">
        <v>1742</v>
      </c>
      <c r="CV399" t="s">
        <v>1766</v>
      </c>
      <c r="DB399" t="s">
        <v>1762</v>
      </c>
      <c r="DE399" t="s">
        <v>1724</v>
      </c>
    </row>
    <row r="400" spans="1:109" x14ac:dyDescent="0.25">
      <c r="A400" t="s">
        <v>1378</v>
      </c>
      <c r="B400">
        <v>1</v>
      </c>
      <c r="C400" s="56">
        <v>42640</v>
      </c>
      <c r="D400" t="s">
        <v>1449</v>
      </c>
      <c r="E400" t="s">
        <v>2129</v>
      </c>
      <c r="G400" t="s">
        <v>1144</v>
      </c>
      <c r="H400" t="s">
        <v>1144</v>
      </c>
      <c r="I400" t="s">
        <v>1144</v>
      </c>
      <c r="J400" t="s">
        <v>1144</v>
      </c>
      <c r="K400" t="s">
        <v>1144</v>
      </c>
      <c r="L400">
        <v>1189.26</v>
      </c>
      <c r="M400">
        <v>2568.5100000000002</v>
      </c>
      <c r="N400">
        <v>0</v>
      </c>
      <c r="O400" s="56"/>
      <c r="P400" s="56"/>
      <c r="Q400">
        <v>13718</v>
      </c>
      <c r="R400">
        <v>9</v>
      </c>
      <c r="S400">
        <v>4</v>
      </c>
      <c r="T400">
        <v>2</v>
      </c>
      <c r="U400">
        <v>2</v>
      </c>
      <c r="V400">
        <v>1</v>
      </c>
      <c r="W400" t="s">
        <v>1376</v>
      </c>
      <c r="X400" t="s">
        <v>2385</v>
      </c>
      <c r="AA400">
        <v>0</v>
      </c>
      <c r="AB400">
        <v>0</v>
      </c>
      <c r="AC400">
        <v>0</v>
      </c>
      <c r="AD400">
        <v>0</v>
      </c>
      <c r="AE400">
        <v>0</v>
      </c>
      <c r="AF400">
        <v>0</v>
      </c>
      <c r="AG400">
        <v>0</v>
      </c>
      <c r="AJ400" s="56">
        <v>42666</v>
      </c>
      <c r="AK400" s="56">
        <v>42369</v>
      </c>
      <c r="AL400" s="56">
        <v>42322</v>
      </c>
      <c r="AM400">
        <v>5</v>
      </c>
      <c r="AP400" t="s">
        <v>1450</v>
      </c>
      <c r="AS400" t="s">
        <v>1152</v>
      </c>
      <c r="AT400">
        <v>1</v>
      </c>
      <c r="AV400">
        <v>3</v>
      </c>
      <c r="AW400">
        <v>2</v>
      </c>
      <c r="AX400">
        <v>1</v>
      </c>
      <c r="AY400" t="s">
        <v>1148</v>
      </c>
      <c r="AZ400" t="s">
        <v>1148</v>
      </c>
      <c r="BA400">
        <v>5</v>
      </c>
      <c r="BD400">
        <v>1000000000</v>
      </c>
      <c r="BE400">
        <v>3</v>
      </c>
      <c r="BF400">
        <v>0</v>
      </c>
      <c r="BG400">
        <v>0</v>
      </c>
      <c r="BH400">
        <v>0</v>
      </c>
      <c r="BI400">
        <v>0</v>
      </c>
      <c r="BJ400">
        <v>0</v>
      </c>
      <c r="BK400">
        <v>0</v>
      </c>
      <c r="BL400">
        <v>0</v>
      </c>
      <c r="BM400">
        <v>3</v>
      </c>
      <c r="BN400">
        <v>0</v>
      </c>
      <c r="BO400">
        <v>0</v>
      </c>
      <c r="BP400">
        <v>0</v>
      </c>
      <c r="BR400">
        <v>0</v>
      </c>
      <c r="BS400">
        <v>2</v>
      </c>
      <c r="BX400">
        <v>0</v>
      </c>
      <c r="BY400">
        <v>0</v>
      </c>
      <c r="BZ400">
        <v>0</v>
      </c>
      <c r="CA400">
        <v>13.92</v>
      </c>
      <c r="CC400">
        <v>1</v>
      </c>
      <c r="CD400" s="56">
        <v>42619</v>
      </c>
      <c r="CE400" s="56">
        <v>42619</v>
      </c>
      <c r="CF400" s="56">
        <v>42619</v>
      </c>
      <c r="CG400" s="56">
        <v>42647</v>
      </c>
      <c r="CH400" s="56"/>
      <c r="CI400" s="56"/>
      <c r="CJ400">
        <v>0</v>
      </c>
      <c r="CK400">
        <v>0</v>
      </c>
      <c r="CL400">
        <v>0</v>
      </c>
      <c r="CM400">
        <v>0</v>
      </c>
      <c r="CN400">
        <v>0</v>
      </c>
      <c r="CO400">
        <v>0.65</v>
      </c>
      <c r="CP400">
        <v>0</v>
      </c>
      <c r="CQ400" t="s">
        <v>1378</v>
      </c>
      <c r="CR400" t="s">
        <v>1377</v>
      </c>
      <c r="CS400" t="s">
        <v>1451</v>
      </c>
      <c r="CT400" t="s">
        <v>1724</v>
      </c>
      <c r="CU400" t="s">
        <v>1742</v>
      </c>
      <c r="CV400" t="s">
        <v>2130</v>
      </c>
      <c r="DB400" t="s">
        <v>2111</v>
      </c>
      <c r="DE400" t="s">
        <v>1724</v>
      </c>
    </row>
    <row r="401" spans="1:109" x14ac:dyDescent="0.25">
      <c r="A401" t="s">
        <v>1378</v>
      </c>
      <c r="B401">
        <v>1</v>
      </c>
      <c r="C401" s="56">
        <v>42640</v>
      </c>
      <c r="D401" t="s">
        <v>1449</v>
      </c>
      <c r="E401" t="s">
        <v>1385</v>
      </c>
      <c r="G401" t="s">
        <v>1144</v>
      </c>
      <c r="H401" t="s">
        <v>1144</v>
      </c>
      <c r="I401" t="s">
        <v>1144</v>
      </c>
      <c r="J401" t="s">
        <v>1144</v>
      </c>
      <c r="K401" t="s">
        <v>1144</v>
      </c>
      <c r="L401">
        <v>755.71</v>
      </c>
      <c r="M401">
        <v>1637.27</v>
      </c>
      <c r="N401">
        <v>0</v>
      </c>
      <c r="O401" s="56"/>
      <c r="P401" s="56"/>
      <c r="Q401">
        <v>13718</v>
      </c>
      <c r="R401">
        <v>9</v>
      </c>
      <c r="S401">
        <v>4</v>
      </c>
      <c r="T401">
        <v>2</v>
      </c>
      <c r="U401">
        <v>2</v>
      </c>
      <c r="V401">
        <v>1</v>
      </c>
      <c r="W401" t="s">
        <v>1376</v>
      </c>
      <c r="X401" t="s">
        <v>2385</v>
      </c>
      <c r="AA401">
        <v>0.16</v>
      </c>
      <c r="AB401">
        <v>1</v>
      </c>
      <c r="AC401">
        <v>6.25</v>
      </c>
      <c r="AD401">
        <v>6.25</v>
      </c>
      <c r="AE401">
        <v>0</v>
      </c>
      <c r="AF401">
        <v>0</v>
      </c>
      <c r="AG401">
        <v>0</v>
      </c>
      <c r="AJ401" s="56">
        <v>42666</v>
      </c>
      <c r="AK401" s="56">
        <v>42369</v>
      </c>
      <c r="AL401" s="56">
        <v>42322</v>
      </c>
      <c r="AM401">
        <v>6</v>
      </c>
      <c r="AP401" t="s">
        <v>1450</v>
      </c>
      <c r="AS401" t="s">
        <v>1152</v>
      </c>
      <c r="AT401">
        <v>1</v>
      </c>
      <c r="AV401">
        <v>4</v>
      </c>
      <c r="AW401">
        <v>3</v>
      </c>
      <c r="AX401">
        <v>1</v>
      </c>
      <c r="AY401" t="s">
        <v>1148</v>
      </c>
      <c r="AZ401" t="s">
        <v>1148</v>
      </c>
      <c r="BA401">
        <v>6</v>
      </c>
      <c r="BD401">
        <v>1000000000</v>
      </c>
      <c r="BE401">
        <v>4</v>
      </c>
      <c r="BF401">
        <v>0</v>
      </c>
      <c r="BG401">
        <v>0</v>
      </c>
      <c r="BH401">
        <v>0</v>
      </c>
      <c r="BI401">
        <v>0</v>
      </c>
      <c r="BJ401">
        <v>0</v>
      </c>
      <c r="BK401">
        <v>0</v>
      </c>
      <c r="BL401">
        <v>0</v>
      </c>
      <c r="BM401">
        <v>4</v>
      </c>
      <c r="BN401">
        <v>0</v>
      </c>
      <c r="BO401">
        <v>0</v>
      </c>
      <c r="BP401">
        <v>0</v>
      </c>
      <c r="BR401">
        <v>0</v>
      </c>
      <c r="BS401">
        <v>2</v>
      </c>
      <c r="BX401">
        <v>0</v>
      </c>
      <c r="BY401">
        <v>0</v>
      </c>
      <c r="BZ401">
        <v>0</v>
      </c>
      <c r="CA401">
        <v>14</v>
      </c>
      <c r="CC401">
        <v>1</v>
      </c>
      <c r="CD401" s="56">
        <v>42619</v>
      </c>
      <c r="CE401" s="56">
        <v>42619</v>
      </c>
      <c r="CF401" s="56">
        <v>42619</v>
      </c>
      <c r="CG401" s="56">
        <v>42647</v>
      </c>
      <c r="CH401" s="56"/>
      <c r="CI401" s="56"/>
      <c r="CJ401">
        <v>0</v>
      </c>
      <c r="CK401">
        <v>0</v>
      </c>
      <c r="CL401">
        <v>0</v>
      </c>
      <c r="CM401">
        <v>0</v>
      </c>
      <c r="CN401">
        <v>0</v>
      </c>
      <c r="CO401">
        <v>0.65</v>
      </c>
      <c r="CP401">
        <v>0</v>
      </c>
      <c r="CQ401" t="s">
        <v>1378</v>
      </c>
      <c r="CR401" t="s">
        <v>1377</v>
      </c>
      <c r="CS401" t="s">
        <v>1451</v>
      </c>
      <c r="CT401" t="s">
        <v>1724</v>
      </c>
      <c r="CU401" t="s">
        <v>1742</v>
      </c>
      <c r="CV401" t="s">
        <v>1818</v>
      </c>
      <c r="DB401" t="s">
        <v>1783</v>
      </c>
      <c r="DE401" t="s">
        <v>1724</v>
      </c>
    </row>
    <row r="402" spans="1:109" x14ac:dyDescent="0.25">
      <c r="A402" t="s">
        <v>1378</v>
      </c>
      <c r="B402">
        <v>1</v>
      </c>
      <c r="C402" s="56">
        <v>42640</v>
      </c>
      <c r="D402" t="s">
        <v>1449</v>
      </c>
      <c r="E402" t="s">
        <v>2170</v>
      </c>
      <c r="G402" t="s">
        <v>1144</v>
      </c>
      <c r="H402" t="s">
        <v>1144</v>
      </c>
      <c r="I402" t="s">
        <v>1144</v>
      </c>
      <c r="J402" t="s">
        <v>1144</v>
      </c>
      <c r="K402" t="s">
        <v>1144</v>
      </c>
      <c r="L402">
        <v>304.36</v>
      </c>
      <c r="M402">
        <v>2</v>
      </c>
      <c r="N402">
        <v>0</v>
      </c>
      <c r="O402" s="56"/>
      <c r="P402" s="56"/>
      <c r="Q402">
        <v>13718</v>
      </c>
      <c r="R402">
        <v>9</v>
      </c>
      <c r="S402">
        <v>4</v>
      </c>
      <c r="T402">
        <v>2</v>
      </c>
      <c r="U402">
        <v>2</v>
      </c>
      <c r="V402">
        <v>1</v>
      </c>
      <c r="X402" t="s">
        <v>2386</v>
      </c>
      <c r="AA402">
        <v>0</v>
      </c>
      <c r="AB402">
        <v>0</v>
      </c>
      <c r="AC402">
        <v>0</v>
      </c>
      <c r="AD402">
        <v>0</v>
      </c>
      <c r="AE402">
        <v>0</v>
      </c>
      <c r="AF402">
        <v>0</v>
      </c>
      <c r="AG402">
        <v>0</v>
      </c>
      <c r="AJ402" s="56"/>
      <c r="AK402" s="56"/>
      <c r="AL402" s="56"/>
      <c r="AM402">
        <v>1</v>
      </c>
      <c r="AP402" t="s">
        <v>1450</v>
      </c>
      <c r="AS402" t="s">
        <v>1152</v>
      </c>
      <c r="AT402">
        <v>1</v>
      </c>
      <c r="AV402">
        <v>1</v>
      </c>
      <c r="AW402">
        <v>1</v>
      </c>
      <c r="AX402">
        <v>0.5</v>
      </c>
      <c r="AY402" t="s">
        <v>1147</v>
      </c>
      <c r="AZ402" t="s">
        <v>1147</v>
      </c>
      <c r="BA402">
        <v>1</v>
      </c>
      <c r="BD402">
        <v>1000000000</v>
      </c>
      <c r="BE402">
        <v>2</v>
      </c>
      <c r="BF402">
        <v>-1</v>
      </c>
      <c r="BG402">
        <v>0</v>
      </c>
      <c r="BH402">
        <v>0</v>
      </c>
      <c r="BI402">
        <v>0</v>
      </c>
      <c r="BJ402">
        <v>0</v>
      </c>
      <c r="BK402">
        <v>0</v>
      </c>
      <c r="BL402">
        <v>0</v>
      </c>
      <c r="BM402">
        <v>2</v>
      </c>
      <c r="BN402">
        <v>-1</v>
      </c>
      <c r="BO402">
        <v>0</v>
      </c>
      <c r="BP402">
        <v>0</v>
      </c>
      <c r="BR402">
        <v>0</v>
      </c>
      <c r="BS402">
        <v>1</v>
      </c>
      <c r="BX402">
        <v>0</v>
      </c>
      <c r="BY402">
        <v>304.36</v>
      </c>
      <c r="BZ402">
        <v>0</v>
      </c>
      <c r="CA402">
        <v>-11.92</v>
      </c>
      <c r="CC402">
        <v>1</v>
      </c>
      <c r="CD402" s="56">
        <v>42593</v>
      </c>
      <c r="CE402" s="56">
        <v>42612</v>
      </c>
      <c r="CF402" s="56">
        <v>42612</v>
      </c>
      <c r="CG402" s="56">
        <v>42640</v>
      </c>
      <c r="CH402" s="56"/>
      <c r="CI402" s="56"/>
      <c r="CJ402">
        <v>0</v>
      </c>
      <c r="CK402">
        <v>0</v>
      </c>
      <c r="CL402">
        <v>0</v>
      </c>
      <c r="CM402">
        <v>0</v>
      </c>
      <c r="CN402">
        <v>0</v>
      </c>
      <c r="CO402">
        <v>0</v>
      </c>
      <c r="CP402">
        <v>0.71</v>
      </c>
      <c r="CQ402" t="s">
        <v>1378</v>
      </c>
      <c r="CR402" t="s">
        <v>1377</v>
      </c>
      <c r="CS402" t="s">
        <v>1451</v>
      </c>
      <c r="CT402" t="s">
        <v>1724</v>
      </c>
      <c r="CU402" t="s">
        <v>1742</v>
      </c>
      <c r="CV402" t="s">
        <v>2159</v>
      </c>
      <c r="DB402" t="s">
        <v>2161</v>
      </c>
      <c r="DE402" t="s">
        <v>1724</v>
      </c>
    </row>
    <row r="403" spans="1:109" x14ac:dyDescent="0.25">
      <c r="A403" t="s">
        <v>1378</v>
      </c>
      <c r="B403">
        <v>1</v>
      </c>
      <c r="C403" s="56">
        <v>42640</v>
      </c>
      <c r="D403" t="s">
        <v>1449</v>
      </c>
      <c r="E403" t="s">
        <v>1392</v>
      </c>
      <c r="G403" t="s">
        <v>1144</v>
      </c>
      <c r="H403" t="s">
        <v>1144</v>
      </c>
      <c r="I403" t="s">
        <v>1144</v>
      </c>
      <c r="J403" t="s">
        <v>1144</v>
      </c>
      <c r="K403" t="s">
        <v>1144</v>
      </c>
      <c r="L403">
        <v>56.9</v>
      </c>
      <c r="M403">
        <v>63.08</v>
      </c>
      <c r="N403">
        <v>0</v>
      </c>
      <c r="O403" s="56"/>
      <c r="P403" s="56"/>
      <c r="Q403">
        <v>13718</v>
      </c>
      <c r="R403">
        <v>9</v>
      </c>
      <c r="S403">
        <v>4</v>
      </c>
      <c r="T403">
        <v>2</v>
      </c>
      <c r="U403">
        <v>2</v>
      </c>
      <c r="V403">
        <v>1</v>
      </c>
      <c r="X403" t="s">
        <v>2385</v>
      </c>
      <c r="AA403">
        <v>0.82</v>
      </c>
      <c r="AB403">
        <v>5</v>
      </c>
      <c r="AC403">
        <v>1.83</v>
      </c>
      <c r="AD403">
        <v>6.1</v>
      </c>
      <c r="AE403">
        <v>0</v>
      </c>
      <c r="AF403">
        <v>0</v>
      </c>
      <c r="AG403">
        <v>0</v>
      </c>
      <c r="AJ403" s="56"/>
      <c r="AK403" s="56"/>
      <c r="AL403" s="56"/>
      <c r="AM403">
        <v>13</v>
      </c>
      <c r="AP403" t="s">
        <v>1450</v>
      </c>
      <c r="AS403" t="s">
        <v>1152</v>
      </c>
      <c r="AT403">
        <v>1</v>
      </c>
      <c r="AV403">
        <v>6</v>
      </c>
      <c r="AW403">
        <v>4</v>
      </c>
      <c r="AX403">
        <v>2</v>
      </c>
      <c r="AY403" t="s">
        <v>1147</v>
      </c>
      <c r="AZ403" t="s">
        <v>1147</v>
      </c>
      <c r="BA403">
        <v>13</v>
      </c>
      <c r="BD403">
        <v>1000000000</v>
      </c>
      <c r="BE403">
        <v>20</v>
      </c>
      <c r="BF403">
        <v>-2.33</v>
      </c>
      <c r="BG403">
        <v>0</v>
      </c>
      <c r="BH403">
        <v>0</v>
      </c>
      <c r="BI403">
        <v>0</v>
      </c>
      <c r="BJ403">
        <v>0</v>
      </c>
      <c r="BK403">
        <v>0</v>
      </c>
      <c r="BL403">
        <v>0</v>
      </c>
      <c r="BM403">
        <v>20</v>
      </c>
      <c r="BN403">
        <v>-2.33</v>
      </c>
      <c r="BO403">
        <v>0</v>
      </c>
      <c r="BP403">
        <v>0</v>
      </c>
      <c r="BR403">
        <v>0</v>
      </c>
      <c r="BS403">
        <v>3</v>
      </c>
      <c r="BX403">
        <v>0</v>
      </c>
      <c r="BY403">
        <v>796.6</v>
      </c>
      <c r="BZ403">
        <v>0</v>
      </c>
      <c r="CA403">
        <v>1.3</v>
      </c>
      <c r="CC403">
        <v>1</v>
      </c>
      <c r="CD403" s="56">
        <v>42619</v>
      </c>
      <c r="CE403" s="56">
        <v>42619</v>
      </c>
      <c r="CF403" s="56">
        <v>42619</v>
      </c>
      <c r="CG403" s="56">
        <v>42647</v>
      </c>
      <c r="CH403" s="56"/>
      <c r="CI403" s="56"/>
      <c r="CJ403">
        <v>0.02</v>
      </c>
      <c r="CK403">
        <v>0</v>
      </c>
      <c r="CL403">
        <v>0</v>
      </c>
      <c r="CM403">
        <v>0</v>
      </c>
      <c r="CN403">
        <v>0</v>
      </c>
      <c r="CO403">
        <v>0</v>
      </c>
      <c r="CP403">
        <v>0.65</v>
      </c>
      <c r="CQ403" t="s">
        <v>1378</v>
      </c>
      <c r="CR403" t="s">
        <v>1377</v>
      </c>
      <c r="CS403" t="s">
        <v>1451</v>
      </c>
      <c r="CT403" t="s">
        <v>1724</v>
      </c>
      <c r="CU403" t="s">
        <v>1742</v>
      </c>
      <c r="CV403" t="s">
        <v>1865</v>
      </c>
      <c r="DB403" t="s">
        <v>1863</v>
      </c>
      <c r="DE403" t="s">
        <v>1724</v>
      </c>
    </row>
    <row r="404" spans="1:109" x14ac:dyDescent="0.25">
      <c r="A404" t="s">
        <v>1378</v>
      </c>
      <c r="B404">
        <v>1</v>
      </c>
      <c r="C404" s="56">
        <v>42640</v>
      </c>
      <c r="D404" t="s">
        <v>1449</v>
      </c>
      <c r="E404" t="s">
        <v>2215</v>
      </c>
      <c r="G404" t="s">
        <v>1144</v>
      </c>
      <c r="H404" t="s">
        <v>1144</v>
      </c>
      <c r="I404" t="s">
        <v>1144</v>
      </c>
      <c r="J404" t="s">
        <v>1144</v>
      </c>
      <c r="K404" t="s">
        <v>1144</v>
      </c>
      <c r="L404">
        <v>447.47</v>
      </c>
      <c r="M404">
        <v>2</v>
      </c>
      <c r="N404">
        <v>0</v>
      </c>
      <c r="O404" s="56"/>
      <c r="P404" s="56"/>
      <c r="Q404">
        <v>13718</v>
      </c>
      <c r="R404">
        <v>9</v>
      </c>
      <c r="S404">
        <v>4</v>
      </c>
      <c r="T404">
        <v>2</v>
      </c>
      <c r="U404">
        <v>2</v>
      </c>
      <c r="V404">
        <v>1</v>
      </c>
      <c r="X404" t="s">
        <v>2386</v>
      </c>
      <c r="AA404">
        <v>0</v>
      </c>
      <c r="AB404">
        <v>0</v>
      </c>
      <c r="AC404">
        <v>0</v>
      </c>
      <c r="AD404">
        <v>0</v>
      </c>
      <c r="AE404">
        <v>0</v>
      </c>
      <c r="AF404">
        <v>0</v>
      </c>
      <c r="AG404">
        <v>0</v>
      </c>
      <c r="AJ404" s="56"/>
      <c r="AK404" s="56">
        <v>42369</v>
      </c>
      <c r="AL404" s="56"/>
      <c r="AM404">
        <v>1</v>
      </c>
      <c r="AP404" t="s">
        <v>1450</v>
      </c>
      <c r="AS404" t="s">
        <v>1152</v>
      </c>
      <c r="AT404">
        <v>1</v>
      </c>
      <c r="AV404">
        <v>1</v>
      </c>
      <c r="AW404">
        <v>1</v>
      </c>
      <c r="AX404">
        <v>0.5</v>
      </c>
      <c r="AY404" t="s">
        <v>1147</v>
      </c>
      <c r="AZ404" t="s">
        <v>1147</v>
      </c>
      <c r="BA404">
        <v>1</v>
      </c>
      <c r="BD404">
        <v>1000000000</v>
      </c>
      <c r="BE404">
        <v>2</v>
      </c>
      <c r="BF404">
        <v>-1</v>
      </c>
      <c r="BG404">
        <v>0</v>
      </c>
      <c r="BH404">
        <v>0</v>
      </c>
      <c r="BI404">
        <v>0</v>
      </c>
      <c r="BJ404">
        <v>0</v>
      </c>
      <c r="BK404">
        <v>0</v>
      </c>
      <c r="BL404">
        <v>0</v>
      </c>
      <c r="BM404">
        <v>2</v>
      </c>
      <c r="BN404">
        <v>-1</v>
      </c>
      <c r="BO404">
        <v>0</v>
      </c>
      <c r="BP404">
        <v>0</v>
      </c>
      <c r="BR404">
        <v>0</v>
      </c>
      <c r="BS404">
        <v>1</v>
      </c>
      <c r="BX404">
        <v>0</v>
      </c>
      <c r="BY404">
        <v>447.47</v>
      </c>
      <c r="BZ404">
        <v>0</v>
      </c>
      <c r="CA404">
        <v>-11.95</v>
      </c>
      <c r="CC404">
        <v>1</v>
      </c>
      <c r="CD404" s="56">
        <v>42593</v>
      </c>
      <c r="CE404" s="56">
        <v>42612</v>
      </c>
      <c r="CF404" s="56">
        <v>42612</v>
      </c>
      <c r="CG404" s="56">
        <v>42640</v>
      </c>
      <c r="CH404" s="56"/>
      <c r="CI404" s="56"/>
      <c r="CJ404">
        <v>0</v>
      </c>
      <c r="CK404">
        <v>0</v>
      </c>
      <c r="CL404">
        <v>0</v>
      </c>
      <c r="CM404">
        <v>0</v>
      </c>
      <c r="CN404">
        <v>0</v>
      </c>
      <c r="CO404">
        <v>0</v>
      </c>
      <c r="CP404">
        <v>0.71</v>
      </c>
      <c r="CQ404" t="s">
        <v>1378</v>
      </c>
      <c r="CR404" t="s">
        <v>1377</v>
      </c>
      <c r="CS404" t="s">
        <v>1451</v>
      </c>
      <c r="CT404" t="s">
        <v>1724</v>
      </c>
      <c r="CU404" t="s">
        <v>1742</v>
      </c>
      <c r="CV404" t="s">
        <v>2216</v>
      </c>
      <c r="DB404" t="s">
        <v>2161</v>
      </c>
      <c r="DE404" t="s">
        <v>1724</v>
      </c>
    </row>
    <row r="405" spans="1:109" x14ac:dyDescent="0.25">
      <c r="A405" t="s">
        <v>1378</v>
      </c>
      <c r="B405">
        <v>1</v>
      </c>
      <c r="C405" s="56">
        <v>42640</v>
      </c>
      <c r="D405" t="s">
        <v>1449</v>
      </c>
      <c r="E405" t="s">
        <v>1915</v>
      </c>
      <c r="G405" t="s">
        <v>1144</v>
      </c>
      <c r="H405" t="s">
        <v>1144</v>
      </c>
      <c r="I405" t="s">
        <v>1144</v>
      </c>
      <c r="J405" t="s">
        <v>1144</v>
      </c>
      <c r="K405" t="s">
        <v>1144</v>
      </c>
      <c r="L405">
        <v>0</v>
      </c>
      <c r="M405">
        <v>230.18</v>
      </c>
      <c r="N405">
        <v>0</v>
      </c>
      <c r="O405" s="56"/>
      <c r="P405" s="56"/>
      <c r="Q405">
        <v>13718</v>
      </c>
      <c r="R405">
        <v>9</v>
      </c>
      <c r="S405">
        <v>4</v>
      </c>
      <c r="T405">
        <v>2</v>
      </c>
      <c r="U405">
        <v>2</v>
      </c>
      <c r="V405">
        <v>1</v>
      </c>
      <c r="X405" t="s">
        <v>2386</v>
      </c>
      <c r="AA405">
        <v>0</v>
      </c>
      <c r="AB405">
        <v>0</v>
      </c>
      <c r="AC405">
        <v>0</v>
      </c>
      <c r="AD405">
        <v>0</v>
      </c>
      <c r="AE405">
        <v>0</v>
      </c>
      <c r="AF405">
        <v>0</v>
      </c>
      <c r="AG405">
        <v>0</v>
      </c>
      <c r="AJ405" s="56"/>
      <c r="AK405" s="56"/>
      <c r="AL405" s="56"/>
      <c r="AP405" t="s">
        <v>1450</v>
      </c>
      <c r="AS405" t="s">
        <v>1152</v>
      </c>
      <c r="AT405">
        <v>1</v>
      </c>
      <c r="AV405">
        <v>0</v>
      </c>
      <c r="AW405">
        <v>0</v>
      </c>
      <c r="AX405">
        <v>0</v>
      </c>
      <c r="AY405" t="s">
        <v>1375</v>
      </c>
      <c r="AZ405" t="s">
        <v>1375</v>
      </c>
      <c r="BA405">
        <v>0</v>
      </c>
      <c r="BD405">
        <v>1000000000</v>
      </c>
      <c r="BE405">
        <v>0</v>
      </c>
      <c r="BF405">
        <v>0</v>
      </c>
      <c r="BG405">
        <v>0</v>
      </c>
      <c r="BH405">
        <v>0</v>
      </c>
      <c r="BI405">
        <v>0</v>
      </c>
      <c r="BJ405">
        <v>0</v>
      </c>
      <c r="BK405">
        <v>0</v>
      </c>
      <c r="BL405">
        <v>0</v>
      </c>
      <c r="BM405">
        <v>0</v>
      </c>
      <c r="BN405">
        <v>0</v>
      </c>
      <c r="BO405">
        <v>0</v>
      </c>
      <c r="BP405">
        <v>0</v>
      </c>
      <c r="BR405">
        <v>0</v>
      </c>
      <c r="BS405">
        <v>0</v>
      </c>
      <c r="BX405">
        <v>0</v>
      </c>
      <c r="BY405">
        <v>0</v>
      </c>
      <c r="BZ405">
        <v>0</v>
      </c>
      <c r="CA405">
        <v>0</v>
      </c>
      <c r="CC405">
        <v>1</v>
      </c>
      <c r="CD405" s="56">
        <v>42593</v>
      </c>
      <c r="CE405" s="56">
        <v>42612</v>
      </c>
      <c r="CF405" s="56">
        <v>42612</v>
      </c>
      <c r="CG405" s="56">
        <v>42640</v>
      </c>
      <c r="CH405" s="56"/>
      <c r="CI405" s="56"/>
      <c r="CJ405">
        <v>1</v>
      </c>
      <c r="CK405">
        <v>0</v>
      </c>
      <c r="CL405">
        <v>0.71</v>
      </c>
      <c r="CM405">
        <v>0</v>
      </c>
      <c r="CN405">
        <v>0</v>
      </c>
      <c r="CO405">
        <v>0</v>
      </c>
      <c r="CP405">
        <v>0</v>
      </c>
      <c r="CQ405" t="s">
        <v>1378</v>
      </c>
      <c r="CR405" t="s">
        <v>1377</v>
      </c>
      <c r="CS405" t="s">
        <v>1451</v>
      </c>
      <c r="CT405" t="s">
        <v>1724</v>
      </c>
      <c r="CU405" t="s">
        <v>1742</v>
      </c>
      <c r="CV405" t="s">
        <v>1916</v>
      </c>
      <c r="DB405" t="s">
        <v>1869</v>
      </c>
      <c r="DE405" t="s">
        <v>1724</v>
      </c>
    </row>
    <row r="406" spans="1:109" x14ac:dyDescent="0.25">
      <c r="A406" t="s">
        <v>1378</v>
      </c>
      <c r="B406">
        <v>1</v>
      </c>
      <c r="C406" s="56">
        <v>42640</v>
      </c>
      <c r="D406" t="s">
        <v>1449</v>
      </c>
      <c r="E406" t="s">
        <v>1434</v>
      </c>
      <c r="G406" t="s">
        <v>1144</v>
      </c>
      <c r="H406" t="s">
        <v>1144</v>
      </c>
      <c r="I406" t="s">
        <v>1144</v>
      </c>
      <c r="J406" t="s">
        <v>1144</v>
      </c>
      <c r="K406" t="s">
        <v>1144</v>
      </c>
      <c r="L406">
        <v>112.63</v>
      </c>
      <c r="M406">
        <v>293.95</v>
      </c>
      <c r="N406">
        <v>0</v>
      </c>
      <c r="O406" s="56"/>
      <c r="P406" s="56"/>
      <c r="Q406">
        <v>13718</v>
      </c>
      <c r="R406">
        <v>9</v>
      </c>
      <c r="S406">
        <v>4</v>
      </c>
      <c r="T406">
        <v>2</v>
      </c>
      <c r="U406">
        <v>2</v>
      </c>
      <c r="V406">
        <v>1</v>
      </c>
      <c r="X406" t="s">
        <v>2385</v>
      </c>
      <c r="AA406">
        <v>0.27</v>
      </c>
      <c r="AB406">
        <v>2</v>
      </c>
      <c r="AC406">
        <v>3.7</v>
      </c>
      <c r="AD406">
        <v>5.56</v>
      </c>
      <c r="AE406">
        <v>0</v>
      </c>
      <c r="AF406">
        <v>0</v>
      </c>
      <c r="AG406">
        <v>0</v>
      </c>
      <c r="AJ406" s="56"/>
      <c r="AK406" s="56">
        <v>42369</v>
      </c>
      <c r="AL406" s="56"/>
      <c r="AM406">
        <v>5</v>
      </c>
      <c r="AP406" t="s">
        <v>1450</v>
      </c>
      <c r="AS406" t="s">
        <v>1152</v>
      </c>
      <c r="AT406">
        <v>1</v>
      </c>
      <c r="AV406">
        <v>4</v>
      </c>
      <c r="AW406">
        <v>3</v>
      </c>
      <c r="AX406">
        <v>1</v>
      </c>
      <c r="AY406" t="s">
        <v>1147</v>
      </c>
      <c r="AZ406" t="s">
        <v>1147</v>
      </c>
      <c r="BA406">
        <v>5</v>
      </c>
      <c r="BD406">
        <v>1000000000</v>
      </c>
      <c r="BE406">
        <v>6</v>
      </c>
      <c r="BF406">
        <v>-0.5</v>
      </c>
      <c r="BG406">
        <v>0</v>
      </c>
      <c r="BH406">
        <v>0</v>
      </c>
      <c r="BI406">
        <v>0</v>
      </c>
      <c r="BJ406">
        <v>0</v>
      </c>
      <c r="BK406">
        <v>0</v>
      </c>
      <c r="BL406">
        <v>0</v>
      </c>
      <c r="BM406">
        <v>6</v>
      </c>
      <c r="BN406">
        <v>-0.5</v>
      </c>
      <c r="BO406">
        <v>0</v>
      </c>
      <c r="BP406">
        <v>0</v>
      </c>
      <c r="BR406">
        <v>0</v>
      </c>
      <c r="BS406">
        <v>2</v>
      </c>
      <c r="BX406">
        <v>0</v>
      </c>
      <c r="BY406">
        <v>225.26</v>
      </c>
      <c r="BZ406">
        <v>0</v>
      </c>
      <c r="CA406">
        <v>19.32</v>
      </c>
      <c r="CC406">
        <v>1</v>
      </c>
      <c r="CD406" s="56">
        <v>42619</v>
      </c>
      <c r="CE406" s="56">
        <v>42619</v>
      </c>
      <c r="CF406" s="56">
        <v>42619</v>
      </c>
      <c r="CG406" s="56">
        <v>42647</v>
      </c>
      <c r="CH406" s="56"/>
      <c r="CI406" s="56"/>
      <c r="CJ406">
        <v>0.09</v>
      </c>
      <c r="CK406">
        <v>0</v>
      </c>
      <c r="CL406">
        <v>0</v>
      </c>
      <c r="CM406">
        <v>0</v>
      </c>
      <c r="CN406">
        <v>0</v>
      </c>
      <c r="CO406">
        <v>0</v>
      </c>
      <c r="CP406">
        <v>0.65</v>
      </c>
      <c r="CQ406" t="s">
        <v>1378</v>
      </c>
      <c r="CR406" t="s">
        <v>1377</v>
      </c>
      <c r="CS406" t="s">
        <v>1451</v>
      </c>
      <c r="CT406" t="s">
        <v>1724</v>
      </c>
      <c r="CU406" t="s">
        <v>1742</v>
      </c>
      <c r="CV406" t="s">
        <v>2060</v>
      </c>
      <c r="DB406" t="s">
        <v>2059</v>
      </c>
      <c r="DE406" t="s">
        <v>1724</v>
      </c>
    </row>
    <row r="407" spans="1:109" x14ac:dyDescent="0.25">
      <c r="A407" t="s">
        <v>1378</v>
      </c>
      <c r="B407">
        <v>1</v>
      </c>
      <c r="C407" s="56">
        <v>42640</v>
      </c>
      <c r="D407" t="s">
        <v>1449</v>
      </c>
      <c r="E407" t="s">
        <v>1748</v>
      </c>
      <c r="G407" t="s">
        <v>1144</v>
      </c>
      <c r="H407" t="s">
        <v>1144</v>
      </c>
      <c r="I407" t="s">
        <v>1144</v>
      </c>
      <c r="J407" t="s">
        <v>1144</v>
      </c>
      <c r="K407" t="s">
        <v>1144</v>
      </c>
      <c r="L407">
        <v>17.68</v>
      </c>
      <c r="M407">
        <v>2</v>
      </c>
      <c r="N407">
        <v>0</v>
      </c>
      <c r="O407" s="56"/>
      <c r="P407" s="56"/>
      <c r="Q407">
        <v>13718</v>
      </c>
      <c r="R407">
        <v>9</v>
      </c>
      <c r="S407">
        <v>4</v>
      </c>
      <c r="T407">
        <v>2</v>
      </c>
      <c r="U407">
        <v>2</v>
      </c>
      <c r="V407">
        <v>1</v>
      </c>
      <c r="X407" t="s">
        <v>2386</v>
      </c>
      <c r="AA407">
        <v>0</v>
      </c>
      <c r="AB407">
        <v>0</v>
      </c>
      <c r="AC407">
        <v>0</v>
      </c>
      <c r="AD407">
        <v>0</v>
      </c>
      <c r="AE407">
        <v>0</v>
      </c>
      <c r="AF407">
        <v>0</v>
      </c>
      <c r="AG407">
        <v>0</v>
      </c>
      <c r="AJ407" s="56"/>
      <c r="AK407" s="56"/>
      <c r="AL407" s="56"/>
      <c r="AP407" t="s">
        <v>1450</v>
      </c>
      <c r="AS407" t="s">
        <v>1152</v>
      </c>
      <c r="AT407">
        <v>1</v>
      </c>
      <c r="AV407">
        <v>0</v>
      </c>
      <c r="AW407">
        <v>0</v>
      </c>
      <c r="AX407">
        <v>0</v>
      </c>
      <c r="AY407" t="s">
        <v>1375</v>
      </c>
      <c r="AZ407" t="s">
        <v>1375</v>
      </c>
      <c r="BA407">
        <v>0</v>
      </c>
      <c r="BD407">
        <v>1000000000</v>
      </c>
      <c r="BE407">
        <v>0</v>
      </c>
      <c r="BF407">
        <v>0</v>
      </c>
      <c r="BG407">
        <v>0</v>
      </c>
      <c r="BH407">
        <v>0</v>
      </c>
      <c r="BI407">
        <v>0</v>
      </c>
      <c r="BJ407">
        <v>0</v>
      </c>
      <c r="BK407">
        <v>0</v>
      </c>
      <c r="BL407">
        <v>0</v>
      </c>
      <c r="BM407">
        <v>0</v>
      </c>
      <c r="BN407">
        <v>0</v>
      </c>
      <c r="BO407">
        <v>0</v>
      </c>
      <c r="BP407">
        <v>0</v>
      </c>
      <c r="BR407">
        <v>0</v>
      </c>
      <c r="BS407">
        <v>0</v>
      </c>
      <c r="BX407">
        <v>0</v>
      </c>
      <c r="BY407">
        <v>0</v>
      </c>
      <c r="BZ407">
        <v>0</v>
      </c>
      <c r="CA407">
        <v>0</v>
      </c>
      <c r="CC407">
        <v>1</v>
      </c>
      <c r="CD407" s="56">
        <v>42593</v>
      </c>
      <c r="CE407" s="56">
        <v>42612</v>
      </c>
      <c r="CF407" s="56">
        <v>42612</v>
      </c>
      <c r="CG407" s="56">
        <v>42640</v>
      </c>
      <c r="CH407" s="56"/>
      <c r="CI407" s="56"/>
      <c r="CJ407">
        <v>1</v>
      </c>
      <c r="CK407">
        <v>0</v>
      </c>
      <c r="CL407">
        <v>0.71</v>
      </c>
      <c r="CM407">
        <v>0</v>
      </c>
      <c r="CN407">
        <v>0</v>
      </c>
      <c r="CO407">
        <v>0</v>
      </c>
      <c r="CP407">
        <v>0</v>
      </c>
      <c r="CQ407" t="s">
        <v>1378</v>
      </c>
      <c r="CR407" t="s">
        <v>1377</v>
      </c>
      <c r="CS407" t="s">
        <v>1451</v>
      </c>
      <c r="CT407" t="s">
        <v>1724</v>
      </c>
      <c r="CU407" t="s">
        <v>1742</v>
      </c>
      <c r="CV407" t="s">
        <v>1749</v>
      </c>
      <c r="DB407" t="s">
        <v>1750</v>
      </c>
      <c r="DE407" t="s">
        <v>1724</v>
      </c>
    </row>
    <row r="408" spans="1:109" x14ac:dyDescent="0.25">
      <c r="A408" t="s">
        <v>1378</v>
      </c>
      <c r="B408">
        <v>1</v>
      </c>
      <c r="C408" s="56">
        <v>42640</v>
      </c>
      <c r="D408" t="s">
        <v>1449</v>
      </c>
      <c r="E408" t="s">
        <v>2112</v>
      </c>
      <c r="G408" t="s">
        <v>1144</v>
      </c>
      <c r="H408" t="s">
        <v>1144</v>
      </c>
      <c r="I408" t="s">
        <v>1144</v>
      </c>
      <c r="J408" t="s">
        <v>1144</v>
      </c>
      <c r="K408" t="s">
        <v>1144</v>
      </c>
      <c r="L408">
        <v>1151.92</v>
      </c>
      <c r="M408">
        <v>2568.5100000000002</v>
      </c>
      <c r="N408">
        <v>0</v>
      </c>
      <c r="O408" s="56"/>
      <c r="P408" s="56"/>
      <c r="Q408">
        <v>13718</v>
      </c>
      <c r="R408">
        <v>9</v>
      </c>
      <c r="S408">
        <v>4</v>
      </c>
      <c r="T408">
        <v>2</v>
      </c>
      <c r="U408">
        <v>2</v>
      </c>
      <c r="V408">
        <v>1</v>
      </c>
      <c r="W408" t="s">
        <v>1376</v>
      </c>
      <c r="X408" t="s">
        <v>2385</v>
      </c>
      <c r="AA408">
        <v>0.23</v>
      </c>
      <c r="AB408">
        <v>2</v>
      </c>
      <c r="AC408">
        <v>3.26</v>
      </c>
      <c r="AD408">
        <v>3.26</v>
      </c>
      <c r="AE408">
        <v>0</v>
      </c>
      <c r="AF408">
        <v>0</v>
      </c>
      <c r="AG408">
        <v>0</v>
      </c>
      <c r="AJ408" s="56"/>
      <c r="AK408" s="56"/>
      <c r="AL408" s="56"/>
      <c r="AM408">
        <v>6</v>
      </c>
      <c r="AP408" t="s">
        <v>1450</v>
      </c>
      <c r="AS408" t="s">
        <v>1152</v>
      </c>
      <c r="AT408">
        <v>1</v>
      </c>
      <c r="AV408">
        <v>3</v>
      </c>
      <c r="AW408">
        <v>2</v>
      </c>
      <c r="AX408">
        <v>1</v>
      </c>
      <c r="AY408" t="s">
        <v>1148</v>
      </c>
      <c r="AZ408" t="s">
        <v>1148</v>
      </c>
      <c r="BA408">
        <v>6</v>
      </c>
      <c r="BD408">
        <v>1000000000</v>
      </c>
      <c r="BE408">
        <v>3</v>
      </c>
      <c r="BF408">
        <v>0</v>
      </c>
      <c r="BG408">
        <v>0</v>
      </c>
      <c r="BH408">
        <v>0</v>
      </c>
      <c r="BI408">
        <v>0</v>
      </c>
      <c r="BJ408">
        <v>0</v>
      </c>
      <c r="BK408">
        <v>0</v>
      </c>
      <c r="BL408">
        <v>0</v>
      </c>
      <c r="BM408">
        <v>3</v>
      </c>
      <c r="BN408">
        <v>0</v>
      </c>
      <c r="BO408">
        <v>0</v>
      </c>
      <c r="BP408">
        <v>0</v>
      </c>
      <c r="BR408">
        <v>0</v>
      </c>
      <c r="BS408">
        <v>2</v>
      </c>
      <c r="BX408">
        <v>0</v>
      </c>
      <c r="BY408">
        <v>0</v>
      </c>
      <c r="BZ408">
        <v>0</v>
      </c>
      <c r="CA408">
        <v>14.76</v>
      </c>
      <c r="CC408">
        <v>1</v>
      </c>
      <c r="CD408" s="56">
        <v>42619</v>
      </c>
      <c r="CE408" s="56">
        <v>42619</v>
      </c>
      <c r="CF408" s="56">
        <v>42619</v>
      </c>
      <c r="CG408" s="56">
        <v>42647</v>
      </c>
      <c r="CH408" s="56"/>
      <c r="CI408" s="56"/>
      <c r="CJ408">
        <v>0</v>
      </c>
      <c r="CK408">
        <v>0</v>
      </c>
      <c r="CL408">
        <v>0</v>
      </c>
      <c r="CM408">
        <v>0</v>
      </c>
      <c r="CN408">
        <v>0</v>
      </c>
      <c r="CO408">
        <v>0.65</v>
      </c>
      <c r="CP408">
        <v>0</v>
      </c>
      <c r="CQ408" t="s">
        <v>1378</v>
      </c>
      <c r="CR408" t="s">
        <v>1377</v>
      </c>
      <c r="CS408" t="s">
        <v>1451</v>
      </c>
      <c r="CT408" t="s">
        <v>1724</v>
      </c>
      <c r="CU408" t="s">
        <v>1742</v>
      </c>
      <c r="CV408" t="s">
        <v>2113</v>
      </c>
      <c r="DB408" t="s">
        <v>2111</v>
      </c>
      <c r="DE408" t="s">
        <v>1724</v>
      </c>
    </row>
    <row r="409" spans="1:109" x14ac:dyDescent="0.25">
      <c r="A409" t="s">
        <v>1378</v>
      </c>
      <c r="B409">
        <v>1</v>
      </c>
      <c r="C409" s="56">
        <v>42640</v>
      </c>
      <c r="D409" t="s">
        <v>1449</v>
      </c>
      <c r="E409" t="s">
        <v>1803</v>
      </c>
      <c r="G409" t="s">
        <v>1144</v>
      </c>
      <c r="H409" t="s">
        <v>1144</v>
      </c>
      <c r="I409" t="s">
        <v>1144</v>
      </c>
      <c r="J409" t="s">
        <v>1144</v>
      </c>
      <c r="K409" t="s">
        <v>1144</v>
      </c>
      <c r="L409">
        <v>911.89</v>
      </c>
      <c r="M409">
        <v>2032.14</v>
      </c>
      <c r="N409">
        <v>0</v>
      </c>
      <c r="O409" s="56"/>
      <c r="P409" s="56"/>
      <c r="Q409">
        <v>13718</v>
      </c>
      <c r="R409">
        <v>9</v>
      </c>
      <c r="S409">
        <v>4</v>
      </c>
      <c r="T409">
        <v>2</v>
      </c>
      <c r="U409">
        <v>2</v>
      </c>
      <c r="V409">
        <v>1</v>
      </c>
      <c r="X409" t="s">
        <v>2385</v>
      </c>
      <c r="AA409">
        <v>0</v>
      </c>
      <c r="AB409">
        <v>0</v>
      </c>
      <c r="AC409">
        <v>0</v>
      </c>
      <c r="AD409">
        <v>0</v>
      </c>
      <c r="AE409">
        <v>0</v>
      </c>
      <c r="AF409">
        <v>0</v>
      </c>
      <c r="AG409">
        <v>0</v>
      </c>
      <c r="AJ409" s="56"/>
      <c r="AK409" s="56"/>
      <c r="AL409" s="56">
        <v>42322</v>
      </c>
      <c r="AM409">
        <v>1</v>
      </c>
      <c r="AP409" t="s">
        <v>1450</v>
      </c>
      <c r="AS409" t="s">
        <v>1152</v>
      </c>
      <c r="AT409">
        <v>1</v>
      </c>
      <c r="AV409">
        <v>0</v>
      </c>
      <c r="AW409">
        <v>0</v>
      </c>
      <c r="AX409">
        <v>0</v>
      </c>
      <c r="AY409" t="s">
        <v>1375</v>
      </c>
      <c r="AZ409" t="s">
        <v>1375</v>
      </c>
      <c r="BA409">
        <v>2</v>
      </c>
      <c r="BD409">
        <v>1000000000</v>
      </c>
      <c r="BE409">
        <v>0</v>
      </c>
      <c r="BF409">
        <v>0</v>
      </c>
      <c r="BG409">
        <v>0</v>
      </c>
      <c r="BH409">
        <v>0</v>
      </c>
      <c r="BI409">
        <v>0</v>
      </c>
      <c r="BJ409">
        <v>0</v>
      </c>
      <c r="BK409">
        <v>0</v>
      </c>
      <c r="BL409">
        <v>0</v>
      </c>
      <c r="BM409">
        <v>0</v>
      </c>
      <c r="BN409">
        <v>0</v>
      </c>
      <c r="BO409">
        <v>0</v>
      </c>
      <c r="BP409">
        <v>0</v>
      </c>
      <c r="BR409">
        <v>0</v>
      </c>
      <c r="BS409">
        <v>0</v>
      </c>
      <c r="BX409">
        <v>0</v>
      </c>
      <c r="BY409">
        <v>0</v>
      </c>
      <c r="BZ409">
        <v>0</v>
      </c>
      <c r="CA409">
        <v>0</v>
      </c>
      <c r="CC409">
        <v>1</v>
      </c>
      <c r="CD409" s="56">
        <v>42619</v>
      </c>
      <c r="CE409" s="56">
        <v>42619</v>
      </c>
      <c r="CF409" s="56">
        <v>42619</v>
      </c>
      <c r="CG409" s="56">
        <v>42647</v>
      </c>
      <c r="CH409" s="56"/>
      <c r="CI409" s="56"/>
      <c r="CJ409">
        <v>1</v>
      </c>
      <c r="CK409">
        <v>0</v>
      </c>
      <c r="CL409">
        <v>0.65</v>
      </c>
      <c r="CM409">
        <v>0</v>
      </c>
      <c r="CN409">
        <v>0</v>
      </c>
      <c r="CO409">
        <v>0</v>
      </c>
      <c r="CP409">
        <v>0</v>
      </c>
      <c r="CQ409" t="s">
        <v>1378</v>
      </c>
      <c r="CR409" t="s">
        <v>1377</v>
      </c>
      <c r="CS409" t="s">
        <v>1451</v>
      </c>
      <c r="CT409" t="s">
        <v>1724</v>
      </c>
      <c r="CU409" t="s">
        <v>1742</v>
      </c>
      <c r="CV409" t="s">
        <v>1804</v>
      </c>
      <c r="DB409" t="s">
        <v>1794</v>
      </c>
      <c r="DE409" t="s">
        <v>1724</v>
      </c>
    </row>
    <row r="410" spans="1:109" x14ac:dyDescent="0.25">
      <c r="A410" t="s">
        <v>1378</v>
      </c>
      <c r="B410">
        <v>1</v>
      </c>
      <c r="C410" s="56">
        <v>42640</v>
      </c>
      <c r="D410" t="s">
        <v>1449</v>
      </c>
      <c r="E410" t="s">
        <v>2160</v>
      </c>
      <c r="G410" t="s">
        <v>1144</v>
      </c>
      <c r="H410" t="s">
        <v>1144</v>
      </c>
      <c r="I410" t="s">
        <v>1144</v>
      </c>
      <c r="J410" t="s">
        <v>1144</v>
      </c>
      <c r="K410" t="s">
        <v>1144</v>
      </c>
      <c r="L410">
        <v>304.36</v>
      </c>
      <c r="M410">
        <v>2</v>
      </c>
      <c r="N410">
        <v>0</v>
      </c>
      <c r="O410" s="56"/>
      <c r="P410" s="56"/>
      <c r="Q410">
        <v>13718</v>
      </c>
      <c r="R410">
        <v>9</v>
      </c>
      <c r="S410">
        <v>4</v>
      </c>
      <c r="T410">
        <v>2</v>
      </c>
      <c r="U410">
        <v>2</v>
      </c>
      <c r="V410">
        <v>1</v>
      </c>
      <c r="X410" t="s">
        <v>2386</v>
      </c>
      <c r="AA410">
        <v>0</v>
      </c>
      <c r="AB410">
        <v>0</v>
      </c>
      <c r="AC410">
        <v>0</v>
      </c>
      <c r="AD410">
        <v>0</v>
      </c>
      <c r="AE410">
        <v>0</v>
      </c>
      <c r="AF410">
        <v>0</v>
      </c>
      <c r="AG410">
        <v>0</v>
      </c>
      <c r="AJ410" s="56"/>
      <c r="AK410" s="56"/>
      <c r="AL410" s="56"/>
      <c r="AM410">
        <v>1</v>
      </c>
      <c r="AP410" t="s">
        <v>1450</v>
      </c>
      <c r="AS410" t="s">
        <v>1152</v>
      </c>
      <c r="AT410">
        <v>1</v>
      </c>
      <c r="AV410">
        <v>1</v>
      </c>
      <c r="AW410">
        <v>1</v>
      </c>
      <c r="AX410">
        <v>0.5</v>
      </c>
      <c r="AY410" t="s">
        <v>1147</v>
      </c>
      <c r="AZ410" t="s">
        <v>1147</v>
      </c>
      <c r="BA410">
        <v>1</v>
      </c>
      <c r="BD410">
        <v>1000000000</v>
      </c>
      <c r="BE410">
        <v>2</v>
      </c>
      <c r="BF410">
        <v>-1</v>
      </c>
      <c r="BG410">
        <v>0</v>
      </c>
      <c r="BH410">
        <v>0</v>
      </c>
      <c r="BI410">
        <v>0</v>
      </c>
      <c r="BJ410">
        <v>0</v>
      </c>
      <c r="BK410">
        <v>0</v>
      </c>
      <c r="BL410">
        <v>0</v>
      </c>
      <c r="BM410">
        <v>2</v>
      </c>
      <c r="BN410">
        <v>-1</v>
      </c>
      <c r="BO410">
        <v>0</v>
      </c>
      <c r="BP410">
        <v>0</v>
      </c>
      <c r="BR410">
        <v>0</v>
      </c>
      <c r="BS410">
        <v>1</v>
      </c>
      <c r="BX410">
        <v>0</v>
      </c>
      <c r="BY410">
        <v>304.36</v>
      </c>
      <c r="BZ410">
        <v>0</v>
      </c>
      <c r="CA410">
        <v>-11.92</v>
      </c>
      <c r="CC410">
        <v>1</v>
      </c>
      <c r="CD410" s="56">
        <v>42593</v>
      </c>
      <c r="CE410" s="56">
        <v>42612</v>
      </c>
      <c r="CF410" s="56">
        <v>42612</v>
      </c>
      <c r="CG410" s="56">
        <v>42640</v>
      </c>
      <c r="CH410" s="56"/>
      <c r="CI410" s="56"/>
      <c r="CJ410">
        <v>0</v>
      </c>
      <c r="CK410">
        <v>0</v>
      </c>
      <c r="CL410">
        <v>0</v>
      </c>
      <c r="CM410">
        <v>0</v>
      </c>
      <c r="CN410">
        <v>0</v>
      </c>
      <c r="CO410">
        <v>0</v>
      </c>
      <c r="CP410">
        <v>0.71</v>
      </c>
      <c r="CQ410" t="s">
        <v>1378</v>
      </c>
      <c r="CR410" t="s">
        <v>1377</v>
      </c>
      <c r="CS410" t="s">
        <v>1451</v>
      </c>
      <c r="CT410" t="s">
        <v>1724</v>
      </c>
      <c r="CU410" t="s">
        <v>1742</v>
      </c>
      <c r="CV410" t="s">
        <v>2159</v>
      </c>
      <c r="DB410" t="s">
        <v>2161</v>
      </c>
      <c r="DE410" t="s">
        <v>1724</v>
      </c>
    </row>
    <row r="411" spans="1:109" x14ac:dyDescent="0.25">
      <c r="A411" t="s">
        <v>1378</v>
      </c>
      <c r="B411">
        <v>1</v>
      </c>
      <c r="C411" s="56">
        <v>42640</v>
      </c>
      <c r="D411" t="s">
        <v>1449</v>
      </c>
      <c r="E411" t="s">
        <v>1850</v>
      </c>
      <c r="G411" t="s">
        <v>1144</v>
      </c>
      <c r="H411" t="s">
        <v>1144</v>
      </c>
      <c r="I411" t="s">
        <v>1144</v>
      </c>
      <c r="J411" t="s">
        <v>1144</v>
      </c>
      <c r="K411" t="s">
        <v>1144</v>
      </c>
      <c r="L411">
        <v>626.46</v>
      </c>
      <c r="M411">
        <v>1059.4100000000001</v>
      </c>
      <c r="N411">
        <v>0</v>
      </c>
      <c r="O411" s="56"/>
      <c r="P411" s="56"/>
      <c r="Q411">
        <v>13718</v>
      </c>
      <c r="R411">
        <v>9</v>
      </c>
      <c r="S411">
        <v>4</v>
      </c>
      <c r="T411">
        <v>2</v>
      </c>
      <c r="U411">
        <v>2</v>
      </c>
      <c r="V411">
        <v>1</v>
      </c>
      <c r="W411" t="s">
        <v>2379</v>
      </c>
      <c r="X411" t="s">
        <v>2386</v>
      </c>
      <c r="AA411">
        <v>0</v>
      </c>
      <c r="AB411">
        <v>0</v>
      </c>
      <c r="AC411">
        <v>0</v>
      </c>
      <c r="AD411">
        <v>0</v>
      </c>
      <c r="AE411">
        <v>0</v>
      </c>
      <c r="AF411">
        <v>0</v>
      </c>
      <c r="AG411">
        <v>0</v>
      </c>
      <c r="AJ411" s="56"/>
      <c r="AK411" s="56">
        <v>42369</v>
      </c>
      <c r="AL411" s="56"/>
      <c r="AM411">
        <v>3</v>
      </c>
      <c r="AP411" t="s">
        <v>1450</v>
      </c>
      <c r="AS411" t="s">
        <v>1152</v>
      </c>
      <c r="AT411">
        <v>1</v>
      </c>
      <c r="AV411">
        <v>3</v>
      </c>
      <c r="AW411">
        <v>2</v>
      </c>
      <c r="AX411">
        <v>1</v>
      </c>
      <c r="AY411" t="s">
        <v>1148</v>
      </c>
      <c r="AZ411" t="s">
        <v>1148</v>
      </c>
      <c r="BA411">
        <v>3</v>
      </c>
      <c r="BD411">
        <v>1000000000</v>
      </c>
      <c r="BE411">
        <v>3</v>
      </c>
      <c r="BF411">
        <v>0</v>
      </c>
      <c r="BG411">
        <v>0</v>
      </c>
      <c r="BH411">
        <v>0</v>
      </c>
      <c r="BI411">
        <v>0</v>
      </c>
      <c r="BJ411">
        <v>0</v>
      </c>
      <c r="BK411">
        <v>0</v>
      </c>
      <c r="BL411">
        <v>0</v>
      </c>
      <c r="BM411">
        <v>3</v>
      </c>
      <c r="BN411">
        <v>0</v>
      </c>
      <c r="BO411">
        <v>0</v>
      </c>
      <c r="BP411">
        <v>0</v>
      </c>
      <c r="BR411">
        <v>0</v>
      </c>
      <c r="BS411">
        <v>2</v>
      </c>
      <c r="BX411">
        <v>0</v>
      </c>
      <c r="BY411">
        <v>0</v>
      </c>
      <c r="BZ411">
        <v>0</v>
      </c>
      <c r="CA411">
        <v>8.2899999999999991</v>
      </c>
      <c r="CC411">
        <v>1</v>
      </c>
      <c r="CD411" s="56">
        <v>42593</v>
      </c>
      <c r="CE411" s="56">
        <v>42612</v>
      </c>
      <c r="CF411" s="56">
        <v>42612</v>
      </c>
      <c r="CG411" s="56">
        <v>42640</v>
      </c>
      <c r="CH411" s="56"/>
      <c r="CI411" s="56"/>
      <c r="CJ411">
        <v>0</v>
      </c>
      <c r="CK411">
        <v>0</v>
      </c>
      <c r="CL411">
        <v>0</v>
      </c>
      <c r="CM411">
        <v>0</v>
      </c>
      <c r="CN411">
        <v>0</v>
      </c>
      <c r="CO411">
        <v>0.71</v>
      </c>
      <c r="CP411">
        <v>0</v>
      </c>
      <c r="CQ411" t="s">
        <v>1378</v>
      </c>
      <c r="CR411" t="s">
        <v>1377</v>
      </c>
      <c r="CS411" t="s">
        <v>1451</v>
      </c>
      <c r="CT411" t="s">
        <v>1724</v>
      </c>
      <c r="CU411" t="s">
        <v>1742</v>
      </c>
      <c r="CV411" t="s">
        <v>1851</v>
      </c>
      <c r="DB411" t="s">
        <v>1847</v>
      </c>
      <c r="DE411" t="s">
        <v>1724</v>
      </c>
    </row>
    <row r="412" spans="1:109" x14ac:dyDescent="0.25">
      <c r="A412" t="s">
        <v>1378</v>
      </c>
      <c r="B412">
        <v>1</v>
      </c>
      <c r="C412" s="56">
        <v>42640</v>
      </c>
      <c r="D412" t="s">
        <v>1449</v>
      </c>
      <c r="E412" t="s">
        <v>2202</v>
      </c>
      <c r="G412" t="s">
        <v>1144</v>
      </c>
      <c r="H412" t="s">
        <v>1144</v>
      </c>
      <c r="I412" t="s">
        <v>1144</v>
      </c>
      <c r="J412" t="s">
        <v>1144</v>
      </c>
      <c r="K412" t="s">
        <v>1144</v>
      </c>
      <c r="L412">
        <v>431.82</v>
      </c>
      <c r="M412">
        <v>2</v>
      </c>
      <c r="N412">
        <v>0</v>
      </c>
      <c r="O412" s="56"/>
      <c r="P412" s="56"/>
      <c r="Q412">
        <v>13718</v>
      </c>
      <c r="R412">
        <v>9</v>
      </c>
      <c r="S412">
        <v>4</v>
      </c>
      <c r="T412">
        <v>2</v>
      </c>
      <c r="U412">
        <v>2</v>
      </c>
      <c r="V412">
        <v>1</v>
      </c>
      <c r="X412" t="s">
        <v>2386</v>
      </c>
      <c r="AA412">
        <v>0</v>
      </c>
      <c r="AB412">
        <v>0</v>
      </c>
      <c r="AC412">
        <v>0</v>
      </c>
      <c r="AD412">
        <v>0</v>
      </c>
      <c r="AE412">
        <v>0</v>
      </c>
      <c r="AF412">
        <v>0</v>
      </c>
      <c r="AG412">
        <v>0</v>
      </c>
      <c r="AJ412" s="56"/>
      <c r="AK412" s="56"/>
      <c r="AL412" s="56"/>
      <c r="AM412">
        <v>1</v>
      </c>
      <c r="AP412" t="s">
        <v>1450</v>
      </c>
      <c r="AS412" t="s">
        <v>1152</v>
      </c>
      <c r="AT412">
        <v>1</v>
      </c>
      <c r="AV412">
        <v>1</v>
      </c>
      <c r="AW412">
        <v>1</v>
      </c>
      <c r="AX412">
        <v>0.5</v>
      </c>
      <c r="AY412" t="s">
        <v>1147</v>
      </c>
      <c r="AZ412" t="s">
        <v>1147</v>
      </c>
      <c r="BA412">
        <v>1</v>
      </c>
      <c r="BD412">
        <v>1000000000</v>
      </c>
      <c r="BE412">
        <v>2</v>
      </c>
      <c r="BF412">
        <v>-1</v>
      </c>
      <c r="BG412">
        <v>0</v>
      </c>
      <c r="BH412">
        <v>0</v>
      </c>
      <c r="BI412">
        <v>0</v>
      </c>
      <c r="BJ412">
        <v>0</v>
      </c>
      <c r="BK412">
        <v>0</v>
      </c>
      <c r="BL412">
        <v>0</v>
      </c>
      <c r="BM412">
        <v>2</v>
      </c>
      <c r="BN412">
        <v>-1</v>
      </c>
      <c r="BO412">
        <v>0</v>
      </c>
      <c r="BP412">
        <v>0</v>
      </c>
      <c r="BR412">
        <v>0</v>
      </c>
      <c r="BS412">
        <v>1</v>
      </c>
      <c r="BX412">
        <v>0</v>
      </c>
      <c r="BY412">
        <v>431.82</v>
      </c>
      <c r="BZ412">
        <v>0</v>
      </c>
      <c r="CA412">
        <v>-11.94</v>
      </c>
      <c r="CC412">
        <v>1</v>
      </c>
      <c r="CD412" s="56">
        <v>42593</v>
      </c>
      <c r="CE412" s="56">
        <v>42612</v>
      </c>
      <c r="CF412" s="56">
        <v>42612</v>
      </c>
      <c r="CG412" s="56">
        <v>42640</v>
      </c>
      <c r="CH412" s="56"/>
      <c r="CI412" s="56"/>
      <c r="CJ412">
        <v>0</v>
      </c>
      <c r="CK412">
        <v>0</v>
      </c>
      <c r="CL412">
        <v>0</v>
      </c>
      <c r="CM412">
        <v>0</v>
      </c>
      <c r="CN412">
        <v>0</v>
      </c>
      <c r="CO412">
        <v>0</v>
      </c>
      <c r="CP412">
        <v>0.71</v>
      </c>
      <c r="CQ412" t="s">
        <v>1378</v>
      </c>
      <c r="CR412" t="s">
        <v>1377</v>
      </c>
      <c r="CS412" t="s">
        <v>1451</v>
      </c>
      <c r="CT412" t="s">
        <v>1724</v>
      </c>
      <c r="CU412" t="s">
        <v>1742</v>
      </c>
      <c r="CV412" t="s">
        <v>2201</v>
      </c>
      <c r="DB412" t="s">
        <v>2161</v>
      </c>
      <c r="DE412" t="s">
        <v>1724</v>
      </c>
    </row>
    <row r="413" spans="1:109" x14ac:dyDescent="0.25">
      <c r="A413" t="s">
        <v>1378</v>
      </c>
      <c r="B413">
        <v>1</v>
      </c>
      <c r="C413" s="56">
        <v>42640</v>
      </c>
      <c r="D413" t="s">
        <v>1449</v>
      </c>
      <c r="E413" t="s">
        <v>1899</v>
      </c>
      <c r="G413" t="s">
        <v>1144</v>
      </c>
      <c r="H413" t="s">
        <v>1144</v>
      </c>
      <c r="I413" t="s">
        <v>1144</v>
      </c>
      <c r="J413" t="s">
        <v>1144</v>
      </c>
      <c r="K413" t="s">
        <v>1144</v>
      </c>
      <c r="L413">
        <v>372.61</v>
      </c>
      <c r="M413">
        <v>717.51</v>
      </c>
      <c r="N413">
        <v>0</v>
      </c>
      <c r="O413" s="56"/>
      <c r="P413" s="56"/>
      <c r="Q413">
        <v>13718</v>
      </c>
      <c r="R413">
        <v>9</v>
      </c>
      <c r="S413">
        <v>4</v>
      </c>
      <c r="T413">
        <v>2</v>
      </c>
      <c r="U413">
        <v>2</v>
      </c>
      <c r="V413">
        <v>1</v>
      </c>
      <c r="X413" t="s">
        <v>2385</v>
      </c>
      <c r="AA413">
        <v>0</v>
      </c>
      <c r="AB413">
        <v>0</v>
      </c>
      <c r="AC413">
        <v>0</v>
      </c>
      <c r="AD413">
        <v>0</v>
      </c>
      <c r="AE413">
        <v>0</v>
      </c>
      <c r="AF413">
        <v>0</v>
      </c>
      <c r="AG413">
        <v>0</v>
      </c>
      <c r="AJ413" s="56"/>
      <c r="AK413" s="56"/>
      <c r="AL413" s="56"/>
      <c r="AM413">
        <v>4</v>
      </c>
      <c r="AP413" t="s">
        <v>1450</v>
      </c>
      <c r="AS413" t="s">
        <v>1152</v>
      </c>
      <c r="AT413">
        <v>1</v>
      </c>
      <c r="AV413">
        <v>3</v>
      </c>
      <c r="AW413">
        <v>2</v>
      </c>
      <c r="AX413">
        <v>1</v>
      </c>
      <c r="AY413" t="s">
        <v>1147</v>
      </c>
      <c r="AZ413" t="s">
        <v>1147</v>
      </c>
      <c r="BA413">
        <v>4</v>
      </c>
      <c r="BD413">
        <v>1000000000</v>
      </c>
      <c r="BE413">
        <v>7</v>
      </c>
      <c r="BF413">
        <v>-1.33</v>
      </c>
      <c r="BG413">
        <v>0</v>
      </c>
      <c r="BH413">
        <v>0</v>
      </c>
      <c r="BI413">
        <v>0</v>
      </c>
      <c r="BJ413">
        <v>0</v>
      </c>
      <c r="BK413">
        <v>0</v>
      </c>
      <c r="BL413">
        <v>0</v>
      </c>
      <c r="BM413">
        <v>7</v>
      </c>
      <c r="BN413">
        <v>-1.33</v>
      </c>
      <c r="BO413">
        <v>0</v>
      </c>
      <c r="BP413">
        <v>0</v>
      </c>
      <c r="BR413">
        <v>0</v>
      </c>
      <c r="BS413">
        <v>2</v>
      </c>
      <c r="BX413">
        <v>0</v>
      </c>
      <c r="BY413">
        <v>1490.44</v>
      </c>
      <c r="BZ413">
        <v>0</v>
      </c>
      <c r="CA413">
        <v>11.11</v>
      </c>
      <c r="CC413">
        <v>1</v>
      </c>
      <c r="CD413" s="56">
        <v>42619</v>
      </c>
      <c r="CE413" s="56">
        <v>42619</v>
      </c>
      <c r="CF413" s="56">
        <v>42619</v>
      </c>
      <c r="CG413" s="56">
        <v>42647</v>
      </c>
      <c r="CH413" s="56"/>
      <c r="CI413" s="56"/>
      <c r="CJ413">
        <v>0</v>
      </c>
      <c r="CK413">
        <v>0</v>
      </c>
      <c r="CL413">
        <v>0</v>
      </c>
      <c r="CM413">
        <v>0</v>
      </c>
      <c r="CN413">
        <v>0</v>
      </c>
      <c r="CO413">
        <v>0</v>
      </c>
      <c r="CP413">
        <v>0.65</v>
      </c>
      <c r="CQ413" t="s">
        <v>1378</v>
      </c>
      <c r="CR413" t="s">
        <v>1377</v>
      </c>
      <c r="CS413" t="s">
        <v>1451</v>
      </c>
      <c r="CT413" t="s">
        <v>1724</v>
      </c>
      <c r="CU413" t="s">
        <v>1742</v>
      </c>
      <c r="CV413" t="s">
        <v>1900</v>
      </c>
      <c r="DB413" t="s">
        <v>1888</v>
      </c>
      <c r="DE413" t="s">
        <v>1724</v>
      </c>
    </row>
    <row r="414" spans="1:109" x14ac:dyDescent="0.25">
      <c r="A414" t="s">
        <v>1378</v>
      </c>
      <c r="B414">
        <v>1</v>
      </c>
      <c r="C414" s="56">
        <v>42640</v>
      </c>
      <c r="D414" t="s">
        <v>1449</v>
      </c>
      <c r="E414" t="s">
        <v>2247</v>
      </c>
      <c r="G414" t="s">
        <v>1144</v>
      </c>
      <c r="H414" t="s">
        <v>1144</v>
      </c>
      <c r="I414" t="s">
        <v>1144</v>
      </c>
      <c r="J414" t="s">
        <v>1144</v>
      </c>
      <c r="K414" t="s">
        <v>1144</v>
      </c>
      <c r="L414">
        <v>427.27</v>
      </c>
      <c r="M414">
        <v>2</v>
      </c>
      <c r="N414">
        <v>0</v>
      </c>
      <c r="O414" s="56"/>
      <c r="P414" s="56"/>
      <c r="Q414">
        <v>13718</v>
      </c>
      <c r="R414">
        <v>9</v>
      </c>
      <c r="S414">
        <v>4</v>
      </c>
      <c r="T414">
        <v>2</v>
      </c>
      <c r="U414">
        <v>2</v>
      </c>
      <c r="V414">
        <v>1</v>
      </c>
      <c r="W414" t="s">
        <v>2379</v>
      </c>
      <c r="X414" t="s">
        <v>2386</v>
      </c>
      <c r="AA414">
        <v>0</v>
      </c>
      <c r="AB414">
        <v>0</v>
      </c>
      <c r="AC414">
        <v>0</v>
      </c>
      <c r="AD414">
        <v>0</v>
      </c>
      <c r="AE414">
        <v>0</v>
      </c>
      <c r="AF414">
        <v>0</v>
      </c>
      <c r="AG414">
        <v>0</v>
      </c>
      <c r="AJ414" s="56"/>
      <c r="AK414" s="56">
        <v>42369</v>
      </c>
      <c r="AL414" s="56"/>
      <c r="AM414">
        <v>1</v>
      </c>
      <c r="AP414" t="s">
        <v>1450</v>
      </c>
      <c r="AS414" t="s">
        <v>1152</v>
      </c>
      <c r="AT414">
        <v>1</v>
      </c>
      <c r="AV414">
        <v>1</v>
      </c>
      <c r="AW414">
        <v>1</v>
      </c>
      <c r="AX414">
        <v>0.5</v>
      </c>
      <c r="AY414" t="s">
        <v>1145</v>
      </c>
      <c r="AZ414" t="s">
        <v>1145</v>
      </c>
      <c r="BA414">
        <v>1</v>
      </c>
      <c r="BD414">
        <v>1000000000</v>
      </c>
      <c r="BE414">
        <v>1</v>
      </c>
      <c r="BF414">
        <v>0</v>
      </c>
      <c r="BG414">
        <v>0</v>
      </c>
      <c r="BH414">
        <v>0</v>
      </c>
      <c r="BI414">
        <v>0</v>
      </c>
      <c r="BJ414">
        <v>0</v>
      </c>
      <c r="BK414">
        <v>0</v>
      </c>
      <c r="BL414">
        <v>0</v>
      </c>
      <c r="BM414">
        <v>1</v>
      </c>
      <c r="BN414">
        <v>0</v>
      </c>
      <c r="BO414">
        <v>0</v>
      </c>
      <c r="BP414">
        <v>0</v>
      </c>
      <c r="BR414">
        <v>0</v>
      </c>
      <c r="BS414">
        <v>1</v>
      </c>
      <c r="BX414">
        <v>0</v>
      </c>
      <c r="BY414">
        <v>0</v>
      </c>
      <c r="BZ414">
        <v>0</v>
      </c>
      <c r="CA414">
        <v>-11.94</v>
      </c>
      <c r="CC414">
        <v>1</v>
      </c>
      <c r="CD414" s="56">
        <v>42593</v>
      </c>
      <c r="CE414" s="56">
        <v>42612</v>
      </c>
      <c r="CF414" s="56">
        <v>42612</v>
      </c>
      <c r="CG414" s="56">
        <v>42640</v>
      </c>
      <c r="CH414" s="56"/>
      <c r="CI414" s="56"/>
      <c r="CJ414">
        <v>0</v>
      </c>
      <c r="CK414">
        <v>0</v>
      </c>
      <c r="CL414">
        <v>0</v>
      </c>
      <c r="CM414">
        <v>0</v>
      </c>
      <c r="CN414">
        <v>0.71</v>
      </c>
      <c r="CO414">
        <v>0</v>
      </c>
      <c r="CP414">
        <v>0</v>
      </c>
      <c r="CQ414" t="s">
        <v>1378</v>
      </c>
      <c r="CR414" t="s">
        <v>1377</v>
      </c>
      <c r="CS414" t="s">
        <v>1451</v>
      </c>
      <c r="CT414" t="s">
        <v>1724</v>
      </c>
      <c r="CU414" t="s">
        <v>1742</v>
      </c>
      <c r="CV414" t="s">
        <v>2236</v>
      </c>
      <c r="DB414" t="s">
        <v>2134</v>
      </c>
      <c r="DE414" t="s">
        <v>1724</v>
      </c>
    </row>
    <row r="415" spans="1:109" x14ac:dyDescent="0.25">
      <c r="A415" t="s">
        <v>1378</v>
      </c>
      <c r="B415">
        <v>1</v>
      </c>
      <c r="C415" s="56">
        <v>42640</v>
      </c>
      <c r="D415" t="s">
        <v>1449</v>
      </c>
      <c r="E415" t="s">
        <v>1409</v>
      </c>
      <c r="G415" t="s">
        <v>1144</v>
      </c>
      <c r="H415" t="s">
        <v>1144</v>
      </c>
      <c r="I415" t="s">
        <v>1144</v>
      </c>
      <c r="J415" t="s">
        <v>1144</v>
      </c>
      <c r="K415" t="s">
        <v>1144</v>
      </c>
      <c r="L415">
        <v>333.15</v>
      </c>
      <c r="M415">
        <v>1020.89</v>
      </c>
      <c r="N415">
        <v>0</v>
      </c>
      <c r="O415" s="56"/>
      <c r="P415" s="56"/>
      <c r="Q415">
        <v>13718</v>
      </c>
      <c r="R415">
        <v>9</v>
      </c>
      <c r="S415">
        <v>4</v>
      </c>
      <c r="T415">
        <v>2</v>
      </c>
      <c r="U415">
        <v>2</v>
      </c>
      <c r="V415">
        <v>1</v>
      </c>
      <c r="W415" t="s">
        <v>1376</v>
      </c>
      <c r="X415" t="s">
        <v>2385</v>
      </c>
      <c r="AA415">
        <v>0.08</v>
      </c>
      <c r="AB415">
        <v>1</v>
      </c>
      <c r="AC415">
        <v>6.25</v>
      </c>
      <c r="AD415">
        <v>3.13</v>
      </c>
      <c r="AE415">
        <v>0</v>
      </c>
      <c r="AF415">
        <v>0</v>
      </c>
      <c r="AG415">
        <v>0</v>
      </c>
      <c r="AJ415" s="56">
        <v>42666</v>
      </c>
      <c r="AK415" s="56"/>
      <c r="AL415" s="56">
        <v>42322</v>
      </c>
      <c r="AM415">
        <v>5</v>
      </c>
      <c r="AP415" t="s">
        <v>1450</v>
      </c>
      <c r="AS415" t="s">
        <v>1152</v>
      </c>
      <c r="AT415">
        <v>1</v>
      </c>
      <c r="AV415">
        <v>2</v>
      </c>
      <c r="AW415">
        <v>2</v>
      </c>
      <c r="AX415">
        <v>1</v>
      </c>
      <c r="AY415" t="s">
        <v>1146</v>
      </c>
      <c r="AZ415" t="s">
        <v>1146</v>
      </c>
      <c r="BA415">
        <v>5</v>
      </c>
      <c r="BD415">
        <v>1000000000</v>
      </c>
      <c r="BE415">
        <v>1</v>
      </c>
      <c r="BF415">
        <v>0.5</v>
      </c>
      <c r="BG415">
        <v>0</v>
      </c>
      <c r="BH415">
        <v>0</v>
      </c>
      <c r="BI415">
        <v>0</v>
      </c>
      <c r="BJ415">
        <v>0</v>
      </c>
      <c r="BK415">
        <v>0</v>
      </c>
      <c r="BL415">
        <v>0</v>
      </c>
      <c r="BM415">
        <v>1</v>
      </c>
      <c r="BN415">
        <v>0.5</v>
      </c>
      <c r="BO415">
        <v>0</v>
      </c>
      <c r="BP415">
        <v>0</v>
      </c>
      <c r="BR415">
        <v>1</v>
      </c>
      <c r="BS415">
        <v>1</v>
      </c>
      <c r="BX415">
        <v>0</v>
      </c>
      <c r="BY415">
        <v>0</v>
      </c>
      <c r="BZ415">
        <v>0</v>
      </c>
      <c r="CA415">
        <v>24.77</v>
      </c>
      <c r="CC415">
        <v>1</v>
      </c>
      <c r="CD415" s="56">
        <v>42619</v>
      </c>
      <c r="CE415" s="56">
        <v>42619</v>
      </c>
      <c r="CF415" s="56">
        <v>42619</v>
      </c>
      <c r="CG415" s="56">
        <v>42647</v>
      </c>
      <c r="CH415" s="56"/>
      <c r="CI415" s="56"/>
      <c r="CJ415">
        <v>0</v>
      </c>
      <c r="CK415">
        <v>0</v>
      </c>
      <c r="CL415">
        <v>0</v>
      </c>
      <c r="CM415">
        <v>0.65</v>
      </c>
      <c r="CN415">
        <v>0</v>
      </c>
      <c r="CO415">
        <v>0</v>
      </c>
      <c r="CP415">
        <v>0</v>
      </c>
      <c r="CQ415" t="s">
        <v>1378</v>
      </c>
      <c r="CR415" t="s">
        <v>1377</v>
      </c>
      <c r="CS415" t="s">
        <v>1451</v>
      </c>
      <c r="CT415" t="s">
        <v>1724</v>
      </c>
      <c r="CU415" t="s">
        <v>1742</v>
      </c>
      <c r="CV415" t="s">
        <v>1964</v>
      </c>
      <c r="DB415" t="s">
        <v>1962</v>
      </c>
      <c r="DE415" t="s">
        <v>1724</v>
      </c>
    </row>
    <row r="416" spans="1:109" x14ac:dyDescent="0.25">
      <c r="A416" t="s">
        <v>1378</v>
      </c>
      <c r="B416">
        <v>1</v>
      </c>
      <c r="C416" s="56">
        <v>42640</v>
      </c>
      <c r="D416" t="s">
        <v>1449</v>
      </c>
      <c r="E416" t="s">
        <v>1493</v>
      </c>
      <c r="G416" t="s">
        <v>1144</v>
      </c>
      <c r="H416" t="s">
        <v>1144</v>
      </c>
      <c r="I416" t="s">
        <v>1144</v>
      </c>
      <c r="J416" t="s">
        <v>1144</v>
      </c>
      <c r="K416" t="s">
        <v>1144</v>
      </c>
      <c r="L416">
        <v>586.12</v>
      </c>
      <c r="M416">
        <v>2</v>
      </c>
      <c r="N416">
        <v>0</v>
      </c>
      <c r="O416" s="56"/>
      <c r="P416" s="56"/>
      <c r="Q416">
        <v>13718</v>
      </c>
      <c r="R416">
        <v>9</v>
      </c>
      <c r="S416">
        <v>4</v>
      </c>
      <c r="T416">
        <v>2</v>
      </c>
      <c r="U416">
        <v>2</v>
      </c>
      <c r="V416">
        <v>1</v>
      </c>
      <c r="W416" t="s">
        <v>2379</v>
      </c>
      <c r="X416" t="s">
        <v>2387</v>
      </c>
      <c r="AA416">
        <v>0.04</v>
      </c>
      <c r="AB416">
        <v>1</v>
      </c>
      <c r="AC416">
        <v>12.5</v>
      </c>
      <c r="AD416">
        <v>12.5</v>
      </c>
      <c r="AE416">
        <v>0</v>
      </c>
      <c r="AF416">
        <v>0</v>
      </c>
      <c r="AG416">
        <v>0</v>
      </c>
      <c r="AJ416" s="56"/>
      <c r="AK416" s="56"/>
      <c r="AL416" s="56"/>
      <c r="AM416">
        <v>1</v>
      </c>
      <c r="AP416" t="s">
        <v>1450</v>
      </c>
      <c r="AS416" t="s">
        <v>1152</v>
      </c>
      <c r="AT416">
        <v>1</v>
      </c>
      <c r="AV416">
        <v>2</v>
      </c>
      <c r="AW416">
        <v>2</v>
      </c>
      <c r="AX416">
        <v>1</v>
      </c>
      <c r="AY416" t="s">
        <v>1145</v>
      </c>
      <c r="AZ416" t="s">
        <v>1145</v>
      </c>
      <c r="BA416">
        <v>1</v>
      </c>
      <c r="BD416">
        <v>1000000000</v>
      </c>
      <c r="BE416">
        <v>2</v>
      </c>
      <c r="BF416">
        <v>0</v>
      </c>
      <c r="BG416">
        <v>0</v>
      </c>
      <c r="BH416">
        <v>0</v>
      </c>
      <c r="BI416">
        <v>0</v>
      </c>
      <c r="BJ416">
        <v>0</v>
      </c>
      <c r="BK416">
        <v>0</v>
      </c>
      <c r="BL416">
        <v>0</v>
      </c>
      <c r="BM416">
        <v>2</v>
      </c>
      <c r="BN416">
        <v>0</v>
      </c>
      <c r="BO416">
        <v>0</v>
      </c>
      <c r="BP416">
        <v>0</v>
      </c>
      <c r="BR416">
        <v>0</v>
      </c>
      <c r="BS416">
        <v>1</v>
      </c>
      <c r="BX416">
        <v>0</v>
      </c>
      <c r="BY416">
        <v>0</v>
      </c>
      <c r="BZ416">
        <v>0</v>
      </c>
      <c r="CA416">
        <v>-11.96</v>
      </c>
      <c r="CC416">
        <v>1</v>
      </c>
      <c r="CD416" s="56">
        <v>42592</v>
      </c>
      <c r="CE416" s="56">
        <v>42612</v>
      </c>
      <c r="CF416" s="56">
        <v>42612</v>
      </c>
      <c r="CG416" s="56">
        <v>42640</v>
      </c>
      <c r="CH416" s="56"/>
      <c r="CI416" s="56"/>
      <c r="CJ416">
        <v>0</v>
      </c>
      <c r="CK416">
        <v>0</v>
      </c>
      <c r="CL416">
        <v>0</v>
      </c>
      <c r="CM416">
        <v>0</v>
      </c>
      <c r="CN416">
        <v>0.71</v>
      </c>
      <c r="CO416">
        <v>0</v>
      </c>
      <c r="CP416">
        <v>0</v>
      </c>
      <c r="CQ416" t="s">
        <v>1378</v>
      </c>
      <c r="CR416" t="s">
        <v>1377</v>
      </c>
      <c r="CS416" t="s">
        <v>1451</v>
      </c>
      <c r="CT416" t="s">
        <v>1724</v>
      </c>
      <c r="CU416" t="s">
        <v>1742</v>
      </c>
      <c r="CV416" t="s">
        <v>2302</v>
      </c>
      <c r="DB416" t="s">
        <v>2286</v>
      </c>
      <c r="DE416" t="s">
        <v>1724</v>
      </c>
    </row>
    <row r="417" spans="1:109" x14ac:dyDescent="0.25">
      <c r="A417" t="s">
        <v>1378</v>
      </c>
      <c r="B417">
        <v>1</v>
      </c>
      <c r="C417" s="56">
        <v>42640</v>
      </c>
      <c r="D417" t="s">
        <v>1449</v>
      </c>
      <c r="E417" t="s">
        <v>1427</v>
      </c>
      <c r="G417" t="s">
        <v>1144</v>
      </c>
      <c r="H417" t="s">
        <v>1144</v>
      </c>
      <c r="I417" t="s">
        <v>1144</v>
      </c>
      <c r="J417" t="s">
        <v>1144</v>
      </c>
      <c r="K417" t="s">
        <v>1144</v>
      </c>
      <c r="L417">
        <v>285.48</v>
      </c>
      <c r="M417">
        <v>732.52</v>
      </c>
      <c r="N417">
        <v>0</v>
      </c>
      <c r="O417" s="56"/>
      <c r="P417" s="56"/>
      <c r="Q417">
        <v>13718</v>
      </c>
      <c r="R417">
        <v>9</v>
      </c>
      <c r="S417">
        <v>4</v>
      </c>
      <c r="T417">
        <v>2</v>
      </c>
      <c r="U417">
        <v>2</v>
      </c>
      <c r="V417">
        <v>1</v>
      </c>
      <c r="X417" t="s">
        <v>2385</v>
      </c>
      <c r="AA417">
        <v>0.27</v>
      </c>
      <c r="AB417">
        <v>2</v>
      </c>
      <c r="AC417">
        <v>4.63</v>
      </c>
      <c r="AD417">
        <v>6.48</v>
      </c>
      <c r="AE417">
        <v>0</v>
      </c>
      <c r="AF417">
        <v>0</v>
      </c>
      <c r="AG417">
        <v>0</v>
      </c>
      <c r="AJ417" s="56"/>
      <c r="AK417" s="56"/>
      <c r="AL417" s="56">
        <v>42322</v>
      </c>
      <c r="AM417">
        <v>6</v>
      </c>
      <c r="AP417" t="s">
        <v>1450</v>
      </c>
      <c r="AS417" t="s">
        <v>1152</v>
      </c>
      <c r="AT417">
        <v>1</v>
      </c>
      <c r="AV417">
        <v>5</v>
      </c>
      <c r="AW417">
        <v>3</v>
      </c>
      <c r="AX417">
        <v>2</v>
      </c>
      <c r="AY417" t="s">
        <v>1147</v>
      </c>
      <c r="AZ417" t="s">
        <v>1147</v>
      </c>
      <c r="BA417">
        <v>6</v>
      </c>
      <c r="BD417">
        <v>1000000000</v>
      </c>
      <c r="BE417">
        <v>7</v>
      </c>
      <c r="BF417">
        <v>-0.4</v>
      </c>
      <c r="BG417">
        <v>0</v>
      </c>
      <c r="BH417">
        <v>0</v>
      </c>
      <c r="BI417">
        <v>0</v>
      </c>
      <c r="BJ417">
        <v>0</v>
      </c>
      <c r="BK417">
        <v>0</v>
      </c>
      <c r="BL417">
        <v>0</v>
      </c>
      <c r="BM417">
        <v>7</v>
      </c>
      <c r="BN417">
        <v>-0.4</v>
      </c>
      <c r="BO417">
        <v>0</v>
      </c>
      <c r="BP417">
        <v>0</v>
      </c>
      <c r="BR417">
        <v>0</v>
      </c>
      <c r="BS417">
        <v>3</v>
      </c>
      <c r="BX417">
        <v>0</v>
      </c>
      <c r="BY417">
        <v>570.96</v>
      </c>
      <c r="BZ417">
        <v>0</v>
      </c>
      <c r="CA417">
        <v>18.79</v>
      </c>
      <c r="CC417">
        <v>1</v>
      </c>
      <c r="CD417" s="56">
        <v>42619</v>
      </c>
      <c r="CE417" s="56">
        <v>42619</v>
      </c>
      <c r="CF417" s="56">
        <v>42619</v>
      </c>
      <c r="CG417" s="56">
        <v>42647</v>
      </c>
      <c r="CH417" s="56"/>
      <c r="CI417" s="56"/>
      <c r="CJ417">
        <v>0.08</v>
      </c>
      <c r="CK417">
        <v>0</v>
      </c>
      <c r="CL417">
        <v>0</v>
      </c>
      <c r="CM417">
        <v>0</v>
      </c>
      <c r="CN417">
        <v>0</v>
      </c>
      <c r="CO417">
        <v>0</v>
      </c>
      <c r="CP417">
        <v>0.65</v>
      </c>
      <c r="CQ417" t="s">
        <v>1378</v>
      </c>
      <c r="CR417" t="s">
        <v>1377</v>
      </c>
      <c r="CS417" t="s">
        <v>1451</v>
      </c>
      <c r="CT417" t="s">
        <v>1724</v>
      </c>
      <c r="CU417" t="s">
        <v>1742</v>
      </c>
      <c r="CV417" t="s">
        <v>2007</v>
      </c>
      <c r="DB417" t="s">
        <v>1997</v>
      </c>
      <c r="DE417" t="s">
        <v>1724</v>
      </c>
    </row>
    <row r="418" spans="1:109" x14ac:dyDescent="0.25">
      <c r="A418" t="s">
        <v>1378</v>
      </c>
      <c r="B418">
        <v>1</v>
      </c>
      <c r="C418" s="56">
        <v>42640</v>
      </c>
      <c r="D418" t="s">
        <v>1449</v>
      </c>
      <c r="E418" t="s">
        <v>1498</v>
      </c>
      <c r="G418" t="s">
        <v>1144</v>
      </c>
      <c r="H418" t="s">
        <v>1144</v>
      </c>
      <c r="I418" t="s">
        <v>1144</v>
      </c>
      <c r="J418" t="s">
        <v>1144</v>
      </c>
      <c r="K418" t="s">
        <v>1144</v>
      </c>
      <c r="L418">
        <v>222.04</v>
      </c>
      <c r="M418">
        <v>878.08</v>
      </c>
      <c r="N418">
        <v>0</v>
      </c>
      <c r="O418" s="56"/>
      <c r="P418" s="56"/>
      <c r="Q418">
        <v>13718</v>
      </c>
      <c r="R418">
        <v>9</v>
      </c>
      <c r="S418">
        <v>4</v>
      </c>
      <c r="T418">
        <v>2</v>
      </c>
      <c r="U418">
        <v>2</v>
      </c>
      <c r="V418">
        <v>1</v>
      </c>
      <c r="X418" t="s">
        <v>2385</v>
      </c>
      <c r="AA418">
        <v>0</v>
      </c>
      <c r="AB418">
        <v>0</v>
      </c>
      <c r="AC418">
        <v>0</v>
      </c>
      <c r="AD418">
        <v>0</v>
      </c>
      <c r="AE418">
        <v>0</v>
      </c>
      <c r="AF418">
        <v>0</v>
      </c>
      <c r="AG418">
        <v>0</v>
      </c>
      <c r="AJ418" s="56"/>
      <c r="AK418" s="56"/>
      <c r="AL418" s="56"/>
      <c r="AM418">
        <v>4</v>
      </c>
      <c r="AP418" t="s">
        <v>1450</v>
      </c>
      <c r="AS418" t="s">
        <v>1152</v>
      </c>
      <c r="AT418">
        <v>1</v>
      </c>
      <c r="AV418">
        <v>2</v>
      </c>
      <c r="AW418">
        <v>2</v>
      </c>
      <c r="AX418">
        <v>1</v>
      </c>
      <c r="AY418" t="s">
        <v>1147</v>
      </c>
      <c r="AZ418" t="s">
        <v>1147</v>
      </c>
      <c r="BA418">
        <v>4</v>
      </c>
      <c r="BD418">
        <v>1000000000</v>
      </c>
      <c r="BE418">
        <v>4</v>
      </c>
      <c r="BF418">
        <v>-1</v>
      </c>
      <c r="BG418">
        <v>0</v>
      </c>
      <c r="BH418">
        <v>0</v>
      </c>
      <c r="BI418">
        <v>0</v>
      </c>
      <c r="BJ418">
        <v>0</v>
      </c>
      <c r="BK418">
        <v>0</v>
      </c>
      <c r="BL418">
        <v>0</v>
      </c>
      <c r="BM418">
        <v>4</v>
      </c>
      <c r="BN418">
        <v>-1</v>
      </c>
      <c r="BO418">
        <v>0</v>
      </c>
      <c r="BP418">
        <v>0</v>
      </c>
      <c r="BR418">
        <v>0</v>
      </c>
      <c r="BS418">
        <v>1</v>
      </c>
      <c r="BX418">
        <v>0</v>
      </c>
      <c r="BY418">
        <v>444.08</v>
      </c>
      <c r="BZ418">
        <v>0</v>
      </c>
      <c r="CA418">
        <v>35.46</v>
      </c>
      <c r="CC418">
        <v>1</v>
      </c>
      <c r="CD418" s="56">
        <v>42619</v>
      </c>
      <c r="CE418" s="56">
        <v>42619</v>
      </c>
      <c r="CF418" s="56">
        <v>42619</v>
      </c>
      <c r="CG418" s="56">
        <v>42647</v>
      </c>
      <c r="CH418" s="56"/>
      <c r="CI418" s="56"/>
      <c r="CJ418">
        <v>0</v>
      </c>
      <c r="CK418">
        <v>0</v>
      </c>
      <c r="CL418">
        <v>0</v>
      </c>
      <c r="CM418">
        <v>0</v>
      </c>
      <c r="CN418">
        <v>0</v>
      </c>
      <c r="CO418">
        <v>0</v>
      </c>
      <c r="CP418">
        <v>0.65</v>
      </c>
      <c r="CQ418" t="s">
        <v>1378</v>
      </c>
      <c r="CR418" t="s">
        <v>1377</v>
      </c>
      <c r="CS418" t="s">
        <v>1451</v>
      </c>
      <c r="CT418" t="s">
        <v>1724</v>
      </c>
      <c r="CU418" t="s">
        <v>1742</v>
      </c>
      <c r="CV418" t="s">
        <v>2359</v>
      </c>
      <c r="DB418" t="s">
        <v>2351</v>
      </c>
      <c r="DE418" t="s">
        <v>1724</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G1053"/>
  <sheetViews>
    <sheetView workbookViewId="0">
      <selection activeCell="F1" sqref="F1:G1"/>
    </sheetView>
  </sheetViews>
  <sheetFormatPr baseColWidth="10" defaultRowHeight="15" x14ac:dyDescent="0.25"/>
  <cols>
    <col min="3" max="3" width="12.42578125" customWidth="1"/>
    <col min="6" max="6" width="20.5703125" customWidth="1"/>
  </cols>
  <sheetData>
    <row r="1" spans="1:7" x14ac:dyDescent="0.25">
      <c r="A1" t="s">
        <v>26</v>
      </c>
      <c r="B1" t="s">
        <v>28</v>
      </c>
      <c r="C1" t="s">
        <v>1035</v>
      </c>
      <c r="D1" t="s">
        <v>1037</v>
      </c>
      <c r="F1" t="s">
        <v>1036</v>
      </c>
      <c r="G1" t="s">
        <v>1037</v>
      </c>
    </row>
    <row r="2" spans="1:7" x14ac:dyDescent="0.25">
      <c r="A2" t="s">
        <v>1501</v>
      </c>
      <c r="B2">
        <v>1</v>
      </c>
      <c r="C2" s="47">
        <v>42522</v>
      </c>
      <c r="D2" s="3" t="str">
        <f>YEAR(Datos_Consumo[[#This Row],[FECHA]])&amp;"-"&amp;MONTH(Datos_Consumo[[#This Row],[FECHA]])</f>
        <v>2016-6</v>
      </c>
      <c r="F2" s="47">
        <v>42491</v>
      </c>
      <c r="G2" s="53" t="str">
        <f>YEAR(Fecha_Consumo[[#This Row],[FECHAS_CONSUMO]])&amp;"-"&amp;MONTH(Fecha_Consumo[[#This Row],[FECHAS_CONSUMO]])</f>
        <v>2016-5</v>
      </c>
    </row>
    <row r="3" spans="1:7" x14ac:dyDescent="0.25">
      <c r="A3" t="s">
        <v>1502</v>
      </c>
      <c r="B3">
        <v>1</v>
      </c>
      <c r="C3" s="56">
        <v>42522</v>
      </c>
      <c r="D3" s="3" t="str">
        <f>YEAR(Datos_Consumo[[#This Row],[FECHA]])&amp;"-"&amp;MONTH(Datos_Consumo[[#This Row],[FECHA]])</f>
        <v>2016-6</v>
      </c>
      <c r="F3" s="56">
        <v>42522</v>
      </c>
      <c r="G3" s="53" t="str">
        <f>YEAR(Fecha_Consumo[[#This Row],[FECHAS_CONSUMO]])&amp;"-"&amp;MONTH(Fecha_Consumo[[#This Row],[FECHAS_CONSUMO]])</f>
        <v>2016-6</v>
      </c>
    </row>
    <row r="4" spans="1:7" x14ac:dyDescent="0.25">
      <c r="A4" t="s">
        <v>1503</v>
      </c>
      <c r="B4">
        <v>1</v>
      </c>
      <c r="C4" s="56">
        <v>42522</v>
      </c>
      <c r="D4" s="3" t="str">
        <f>YEAR(Datos_Consumo[[#This Row],[FECHA]])&amp;"-"&amp;MONTH(Datos_Consumo[[#This Row],[FECHA]])</f>
        <v>2016-6</v>
      </c>
      <c r="F4" s="56">
        <v>42552</v>
      </c>
      <c r="G4" s="53" t="str">
        <f>YEAR(Fecha_Consumo[[#This Row],[FECHAS_CONSUMO]])&amp;"-"&amp;MONTH(Fecha_Consumo[[#This Row],[FECHAS_CONSUMO]])</f>
        <v>2016-7</v>
      </c>
    </row>
    <row r="5" spans="1:7" x14ac:dyDescent="0.25">
      <c r="A5" t="s">
        <v>2388</v>
      </c>
      <c r="B5">
        <v>15</v>
      </c>
      <c r="C5" s="56">
        <v>42583</v>
      </c>
      <c r="D5" s="3" t="str">
        <f>YEAR(Datos_Consumo[[#This Row],[FECHA]])&amp;"-"&amp;MONTH(Datos_Consumo[[#This Row],[FECHA]])</f>
        <v>2016-8</v>
      </c>
      <c r="F5" s="56">
        <v>42583</v>
      </c>
      <c r="G5" s="53" t="str">
        <f>YEAR(Fecha_Consumo[[#This Row],[FECHAS_CONSUMO]])&amp;"-"&amp;MONTH(Fecha_Consumo[[#This Row],[FECHAS_CONSUMO]])</f>
        <v>2016-8</v>
      </c>
    </row>
    <row r="6" spans="1:7" x14ac:dyDescent="0.25">
      <c r="A6" t="s">
        <v>2388</v>
      </c>
      <c r="B6">
        <v>25</v>
      </c>
      <c r="C6" s="56">
        <v>42614</v>
      </c>
      <c r="D6" s="3" t="str">
        <f>YEAR(Datos_Consumo[[#This Row],[FECHA]])&amp;"-"&amp;MONTH(Datos_Consumo[[#This Row],[FECHA]])</f>
        <v>2016-9</v>
      </c>
      <c r="F6" s="56">
        <v>42614</v>
      </c>
      <c r="G6" s="53" t="str">
        <f>YEAR(Fecha_Consumo[[#This Row],[FECHAS_CONSUMO]])&amp;"-"&amp;MONTH(Fecha_Consumo[[#This Row],[FECHAS_CONSUMO]])</f>
        <v>2016-9</v>
      </c>
    </row>
    <row r="7" spans="1:7" x14ac:dyDescent="0.25">
      <c r="A7" t="s">
        <v>1504</v>
      </c>
      <c r="B7">
        <v>46</v>
      </c>
      <c r="C7" s="56">
        <v>42491</v>
      </c>
      <c r="D7" s="3" t="str">
        <f>YEAR(Datos_Consumo[[#This Row],[FECHA]])&amp;"-"&amp;MONTH(Datos_Consumo[[#This Row],[FECHA]])</f>
        <v>2016-5</v>
      </c>
    </row>
    <row r="8" spans="1:7" x14ac:dyDescent="0.25">
      <c r="A8" t="s">
        <v>1504</v>
      </c>
      <c r="B8">
        <v>35</v>
      </c>
      <c r="C8" s="56">
        <v>42522</v>
      </c>
      <c r="D8" s="3" t="str">
        <f>YEAR(Datos_Consumo[[#This Row],[FECHA]])&amp;"-"&amp;MONTH(Datos_Consumo[[#This Row],[FECHA]])</f>
        <v>2016-6</v>
      </c>
    </row>
    <row r="9" spans="1:7" x14ac:dyDescent="0.25">
      <c r="A9" t="s">
        <v>1504</v>
      </c>
      <c r="B9">
        <v>2</v>
      </c>
      <c r="C9" s="56">
        <v>42552</v>
      </c>
      <c r="D9" s="3" t="str">
        <f>YEAR(Datos_Consumo[[#This Row],[FECHA]])&amp;"-"&amp;MONTH(Datos_Consumo[[#This Row],[FECHA]])</f>
        <v>2016-7</v>
      </c>
    </row>
    <row r="10" spans="1:7" x14ac:dyDescent="0.25">
      <c r="A10" t="s">
        <v>1504</v>
      </c>
      <c r="B10">
        <v>11</v>
      </c>
      <c r="C10" s="56">
        <v>42583</v>
      </c>
      <c r="D10" s="3" t="str">
        <f>YEAR(Datos_Consumo[[#This Row],[FECHA]])&amp;"-"&amp;MONTH(Datos_Consumo[[#This Row],[FECHA]])</f>
        <v>2016-8</v>
      </c>
    </row>
    <row r="11" spans="1:7" x14ac:dyDescent="0.25">
      <c r="A11" t="s">
        <v>1505</v>
      </c>
      <c r="B11">
        <v>10</v>
      </c>
      <c r="C11" s="56">
        <v>42491</v>
      </c>
      <c r="D11" s="3" t="str">
        <f>YEAR(Datos_Consumo[[#This Row],[FECHA]])&amp;"-"&amp;MONTH(Datos_Consumo[[#This Row],[FECHA]])</f>
        <v>2016-5</v>
      </c>
    </row>
    <row r="12" spans="1:7" x14ac:dyDescent="0.25">
      <c r="A12" t="s">
        <v>1505</v>
      </c>
      <c r="B12">
        <v>3</v>
      </c>
      <c r="C12" s="56">
        <v>42522</v>
      </c>
      <c r="D12" s="3" t="str">
        <f>YEAR(Datos_Consumo[[#This Row],[FECHA]])&amp;"-"&amp;MONTH(Datos_Consumo[[#This Row],[FECHA]])</f>
        <v>2016-6</v>
      </c>
    </row>
    <row r="13" spans="1:7" x14ac:dyDescent="0.25">
      <c r="A13" t="s">
        <v>1505</v>
      </c>
      <c r="B13">
        <v>5</v>
      </c>
      <c r="C13" s="56">
        <v>42583</v>
      </c>
      <c r="D13" s="3" t="str">
        <f>YEAR(Datos_Consumo[[#This Row],[FECHA]])&amp;"-"&amp;MONTH(Datos_Consumo[[#This Row],[FECHA]])</f>
        <v>2016-8</v>
      </c>
    </row>
    <row r="14" spans="1:7" x14ac:dyDescent="0.25">
      <c r="A14" t="s">
        <v>1506</v>
      </c>
      <c r="B14">
        <v>1</v>
      </c>
      <c r="C14" s="56">
        <v>42491</v>
      </c>
      <c r="D14" s="3" t="str">
        <f>YEAR(Datos_Consumo[[#This Row],[FECHA]])&amp;"-"&amp;MONTH(Datos_Consumo[[#This Row],[FECHA]])</f>
        <v>2016-5</v>
      </c>
    </row>
    <row r="15" spans="1:7" x14ac:dyDescent="0.25">
      <c r="A15" t="s">
        <v>1507</v>
      </c>
      <c r="B15">
        <v>1</v>
      </c>
      <c r="C15" s="56">
        <v>42552</v>
      </c>
      <c r="D15" s="3" t="str">
        <f>YEAR(Datos_Consumo[[#This Row],[FECHA]])&amp;"-"&amp;MONTH(Datos_Consumo[[#This Row],[FECHA]])</f>
        <v>2016-7</v>
      </c>
    </row>
    <row r="16" spans="1:7" x14ac:dyDescent="0.25">
      <c r="A16" t="s">
        <v>1508</v>
      </c>
      <c r="B16">
        <v>6</v>
      </c>
      <c r="C16" s="56">
        <v>42491</v>
      </c>
      <c r="D16" s="3" t="str">
        <f>YEAR(Datos_Consumo[[#This Row],[FECHA]])&amp;"-"&amp;MONTH(Datos_Consumo[[#This Row],[FECHA]])</f>
        <v>2016-5</v>
      </c>
    </row>
    <row r="17" spans="1:4" x14ac:dyDescent="0.25">
      <c r="A17" t="s">
        <v>1508</v>
      </c>
      <c r="B17">
        <v>1</v>
      </c>
      <c r="C17" s="56">
        <v>42552</v>
      </c>
      <c r="D17" s="3" t="str">
        <f>YEAR(Datos_Consumo[[#This Row],[FECHA]])&amp;"-"&amp;MONTH(Datos_Consumo[[#This Row],[FECHA]])</f>
        <v>2016-7</v>
      </c>
    </row>
    <row r="18" spans="1:4" x14ac:dyDescent="0.25">
      <c r="A18" t="s">
        <v>1509</v>
      </c>
      <c r="B18">
        <v>1</v>
      </c>
      <c r="C18" s="56">
        <v>42491</v>
      </c>
      <c r="D18" s="3" t="str">
        <f>YEAR(Datos_Consumo[[#This Row],[FECHA]])&amp;"-"&amp;MONTH(Datos_Consumo[[#This Row],[FECHA]])</f>
        <v>2016-5</v>
      </c>
    </row>
    <row r="19" spans="1:4" x14ac:dyDescent="0.25">
      <c r="A19" t="s">
        <v>1509</v>
      </c>
      <c r="B19">
        <v>1</v>
      </c>
      <c r="C19" s="56">
        <v>42522</v>
      </c>
      <c r="D19" s="3" t="str">
        <f>YEAR(Datos_Consumo[[#This Row],[FECHA]])&amp;"-"&amp;MONTH(Datos_Consumo[[#This Row],[FECHA]])</f>
        <v>2016-6</v>
      </c>
    </row>
    <row r="20" spans="1:4" x14ac:dyDescent="0.25">
      <c r="A20" t="s">
        <v>2389</v>
      </c>
      <c r="B20">
        <v>20</v>
      </c>
      <c r="C20" s="56">
        <v>42583</v>
      </c>
      <c r="D20" s="3" t="str">
        <f>YEAR(Datos_Consumo[[#This Row],[FECHA]])&amp;"-"&amp;MONTH(Datos_Consumo[[#This Row],[FECHA]])</f>
        <v>2016-8</v>
      </c>
    </row>
    <row r="21" spans="1:4" x14ac:dyDescent="0.25">
      <c r="A21" t="s">
        <v>1510</v>
      </c>
      <c r="B21">
        <v>17</v>
      </c>
      <c r="C21" s="56">
        <v>42491</v>
      </c>
      <c r="D21" s="3" t="str">
        <f>YEAR(Datos_Consumo[[#This Row],[FECHA]])&amp;"-"&amp;MONTH(Datos_Consumo[[#This Row],[FECHA]])</f>
        <v>2016-5</v>
      </c>
    </row>
    <row r="22" spans="1:4" x14ac:dyDescent="0.25">
      <c r="A22" t="s">
        <v>1510</v>
      </c>
      <c r="B22">
        <v>20</v>
      </c>
      <c r="C22" s="56">
        <v>42522</v>
      </c>
      <c r="D22" s="3" t="str">
        <f>YEAR(Datos_Consumo[[#This Row],[FECHA]])&amp;"-"&amp;MONTH(Datos_Consumo[[#This Row],[FECHA]])</f>
        <v>2016-6</v>
      </c>
    </row>
    <row r="23" spans="1:4" x14ac:dyDescent="0.25">
      <c r="A23" t="s">
        <v>1510</v>
      </c>
      <c r="B23">
        <v>8</v>
      </c>
      <c r="C23" s="56">
        <v>42552</v>
      </c>
      <c r="D23" s="3" t="str">
        <f>YEAR(Datos_Consumo[[#This Row],[FECHA]])&amp;"-"&amp;MONTH(Datos_Consumo[[#This Row],[FECHA]])</f>
        <v>2016-7</v>
      </c>
    </row>
    <row r="24" spans="1:4" x14ac:dyDescent="0.25">
      <c r="A24" t="s">
        <v>1510</v>
      </c>
      <c r="B24">
        <v>8</v>
      </c>
      <c r="C24" s="56">
        <v>42583</v>
      </c>
      <c r="D24" s="3" t="str">
        <f>YEAR(Datos_Consumo[[#This Row],[FECHA]])&amp;"-"&amp;MONTH(Datos_Consumo[[#This Row],[FECHA]])</f>
        <v>2016-8</v>
      </c>
    </row>
    <row r="25" spans="1:4" x14ac:dyDescent="0.25">
      <c r="A25" t="s">
        <v>1510</v>
      </c>
      <c r="B25">
        <v>8</v>
      </c>
      <c r="C25" s="56">
        <v>42614</v>
      </c>
      <c r="D25" s="3" t="str">
        <f>YEAR(Datos_Consumo[[#This Row],[FECHA]])&amp;"-"&amp;MONTH(Datos_Consumo[[#This Row],[FECHA]])</f>
        <v>2016-9</v>
      </c>
    </row>
    <row r="26" spans="1:4" x14ac:dyDescent="0.25">
      <c r="A26" t="s">
        <v>1511</v>
      </c>
      <c r="B26">
        <v>2</v>
      </c>
      <c r="C26" s="56">
        <v>42491</v>
      </c>
      <c r="D26" s="3" t="str">
        <f>YEAR(Datos_Consumo[[#This Row],[FECHA]])&amp;"-"&amp;MONTH(Datos_Consumo[[#This Row],[FECHA]])</f>
        <v>2016-5</v>
      </c>
    </row>
    <row r="27" spans="1:4" x14ac:dyDescent="0.25">
      <c r="A27" t="s">
        <v>1511</v>
      </c>
      <c r="B27">
        <v>65</v>
      </c>
      <c r="C27" s="56">
        <v>42552</v>
      </c>
      <c r="D27" s="3" t="str">
        <f>YEAR(Datos_Consumo[[#This Row],[FECHA]])&amp;"-"&amp;MONTH(Datos_Consumo[[#This Row],[FECHA]])</f>
        <v>2016-7</v>
      </c>
    </row>
    <row r="28" spans="1:4" x14ac:dyDescent="0.25">
      <c r="A28" t="s">
        <v>1511</v>
      </c>
      <c r="B28">
        <v>65</v>
      </c>
      <c r="C28" s="56">
        <v>42583</v>
      </c>
      <c r="D28" s="3" t="str">
        <f>YEAR(Datos_Consumo[[#This Row],[FECHA]])&amp;"-"&amp;MONTH(Datos_Consumo[[#This Row],[FECHA]])</f>
        <v>2016-8</v>
      </c>
    </row>
    <row r="29" spans="1:4" x14ac:dyDescent="0.25">
      <c r="A29" t="s">
        <v>1717</v>
      </c>
      <c r="B29">
        <v>1</v>
      </c>
      <c r="C29" s="56">
        <v>42522</v>
      </c>
      <c r="D29" s="3" t="str">
        <f>YEAR(Datos_Consumo[[#This Row],[FECHA]])&amp;"-"&amp;MONTH(Datos_Consumo[[#This Row],[FECHA]])</f>
        <v>2016-6</v>
      </c>
    </row>
    <row r="30" spans="1:4" x14ac:dyDescent="0.25">
      <c r="A30" t="s">
        <v>2390</v>
      </c>
      <c r="B30">
        <v>1</v>
      </c>
      <c r="C30" s="56">
        <v>42552</v>
      </c>
      <c r="D30" s="3" t="str">
        <f>YEAR(Datos_Consumo[[#This Row],[FECHA]])&amp;"-"&amp;MONTH(Datos_Consumo[[#This Row],[FECHA]])</f>
        <v>2016-7</v>
      </c>
    </row>
    <row r="31" spans="1:4" x14ac:dyDescent="0.25">
      <c r="A31" t="s">
        <v>1512</v>
      </c>
      <c r="B31">
        <v>2</v>
      </c>
      <c r="C31" s="56">
        <v>42491</v>
      </c>
      <c r="D31" s="3" t="str">
        <f>YEAR(Datos_Consumo[[#This Row],[FECHA]])&amp;"-"&amp;MONTH(Datos_Consumo[[#This Row],[FECHA]])</f>
        <v>2016-5</v>
      </c>
    </row>
    <row r="32" spans="1:4" x14ac:dyDescent="0.25">
      <c r="A32" t="s">
        <v>1512</v>
      </c>
      <c r="B32">
        <v>60</v>
      </c>
      <c r="C32" s="56">
        <v>42552</v>
      </c>
      <c r="D32" s="3" t="str">
        <f>YEAR(Datos_Consumo[[#This Row],[FECHA]])&amp;"-"&amp;MONTH(Datos_Consumo[[#This Row],[FECHA]])</f>
        <v>2016-7</v>
      </c>
    </row>
    <row r="33" spans="1:4" x14ac:dyDescent="0.25">
      <c r="A33" t="s">
        <v>1512</v>
      </c>
      <c r="B33">
        <v>60</v>
      </c>
      <c r="C33" s="56">
        <v>42583</v>
      </c>
      <c r="D33" s="3" t="str">
        <f>YEAR(Datos_Consumo[[#This Row],[FECHA]])&amp;"-"&amp;MONTH(Datos_Consumo[[#This Row],[FECHA]])</f>
        <v>2016-8</v>
      </c>
    </row>
    <row r="34" spans="1:4" x14ac:dyDescent="0.25">
      <c r="A34" t="s">
        <v>2391</v>
      </c>
      <c r="B34">
        <v>1</v>
      </c>
      <c r="C34" s="56">
        <v>42583</v>
      </c>
      <c r="D34" s="3" t="str">
        <f>YEAR(Datos_Consumo[[#This Row],[FECHA]])&amp;"-"&amp;MONTH(Datos_Consumo[[#This Row],[FECHA]])</f>
        <v>2016-8</v>
      </c>
    </row>
    <row r="35" spans="1:4" x14ac:dyDescent="0.25">
      <c r="A35" t="s">
        <v>1513</v>
      </c>
      <c r="B35">
        <v>1</v>
      </c>
      <c r="C35" s="56">
        <v>42522</v>
      </c>
      <c r="D35" s="3" t="str">
        <f>YEAR(Datos_Consumo[[#This Row],[FECHA]])&amp;"-"&amp;MONTH(Datos_Consumo[[#This Row],[FECHA]])</f>
        <v>2016-6</v>
      </c>
    </row>
    <row r="36" spans="1:4" x14ac:dyDescent="0.25">
      <c r="A36" t="s">
        <v>1514</v>
      </c>
      <c r="B36">
        <v>1</v>
      </c>
      <c r="C36" s="56">
        <v>42522</v>
      </c>
      <c r="D36" s="3" t="str">
        <f>YEAR(Datos_Consumo[[#This Row],[FECHA]])&amp;"-"&amp;MONTH(Datos_Consumo[[#This Row],[FECHA]])</f>
        <v>2016-6</v>
      </c>
    </row>
    <row r="37" spans="1:4" x14ac:dyDescent="0.25">
      <c r="A37" t="s">
        <v>1514</v>
      </c>
      <c r="B37">
        <v>1</v>
      </c>
      <c r="C37" s="56">
        <v>42583</v>
      </c>
      <c r="D37" s="3" t="str">
        <f>YEAR(Datos_Consumo[[#This Row],[FECHA]])&amp;"-"&amp;MONTH(Datos_Consumo[[#This Row],[FECHA]])</f>
        <v>2016-8</v>
      </c>
    </row>
    <row r="38" spans="1:4" x14ac:dyDescent="0.25">
      <c r="A38" t="s">
        <v>1515</v>
      </c>
      <c r="B38">
        <v>1</v>
      </c>
      <c r="C38" s="56">
        <v>42491</v>
      </c>
      <c r="D38" s="3" t="str">
        <f>YEAR(Datos_Consumo[[#This Row],[FECHA]])&amp;"-"&amp;MONTH(Datos_Consumo[[#This Row],[FECHA]])</f>
        <v>2016-5</v>
      </c>
    </row>
    <row r="39" spans="1:4" x14ac:dyDescent="0.25">
      <c r="A39" t="s">
        <v>2392</v>
      </c>
      <c r="B39">
        <v>1</v>
      </c>
      <c r="C39" s="56">
        <v>42583</v>
      </c>
      <c r="D39" s="3" t="str">
        <f>YEAR(Datos_Consumo[[#This Row],[FECHA]])&amp;"-"&amp;MONTH(Datos_Consumo[[#This Row],[FECHA]])</f>
        <v>2016-8</v>
      </c>
    </row>
    <row r="40" spans="1:4" x14ac:dyDescent="0.25">
      <c r="A40" t="s">
        <v>1516</v>
      </c>
      <c r="B40">
        <v>1</v>
      </c>
      <c r="C40" s="56">
        <v>42522</v>
      </c>
      <c r="D40" s="3" t="str">
        <f>YEAR(Datos_Consumo[[#This Row],[FECHA]])&amp;"-"&amp;MONTH(Datos_Consumo[[#This Row],[FECHA]])</f>
        <v>2016-6</v>
      </c>
    </row>
    <row r="41" spans="1:4" x14ac:dyDescent="0.25">
      <c r="A41" t="s">
        <v>1517</v>
      </c>
      <c r="B41">
        <v>2</v>
      </c>
      <c r="C41" s="56">
        <v>42491</v>
      </c>
      <c r="D41" s="3" t="str">
        <f>YEAR(Datos_Consumo[[#This Row],[FECHA]])&amp;"-"&amp;MONTH(Datos_Consumo[[#This Row],[FECHA]])</f>
        <v>2016-5</v>
      </c>
    </row>
    <row r="42" spans="1:4" x14ac:dyDescent="0.25">
      <c r="A42" t="s">
        <v>1517</v>
      </c>
      <c r="B42">
        <v>2</v>
      </c>
      <c r="C42" s="56">
        <v>42583</v>
      </c>
      <c r="D42" s="3" t="str">
        <f>YEAR(Datos_Consumo[[#This Row],[FECHA]])&amp;"-"&amp;MONTH(Datos_Consumo[[#This Row],[FECHA]])</f>
        <v>2016-8</v>
      </c>
    </row>
    <row r="43" spans="1:4" x14ac:dyDescent="0.25">
      <c r="A43" t="s">
        <v>1518</v>
      </c>
      <c r="B43">
        <v>2</v>
      </c>
      <c r="C43" s="56">
        <v>42491</v>
      </c>
      <c r="D43" s="3" t="str">
        <f>YEAR(Datos_Consumo[[#This Row],[FECHA]])&amp;"-"&amp;MONTH(Datos_Consumo[[#This Row],[FECHA]])</f>
        <v>2016-5</v>
      </c>
    </row>
    <row r="44" spans="1:4" x14ac:dyDescent="0.25">
      <c r="A44" t="s">
        <v>1518</v>
      </c>
      <c r="B44">
        <v>1</v>
      </c>
      <c r="C44" s="56">
        <v>42522</v>
      </c>
      <c r="D44" s="3" t="str">
        <f>YEAR(Datos_Consumo[[#This Row],[FECHA]])&amp;"-"&amp;MONTH(Datos_Consumo[[#This Row],[FECHA]])</f>
        <v>2016-6</v>
      </c>
    </row>
    <row r="45" spans="1:4" x14ac:dyDescent="0.25">
      <c r="A45" t="s">
        <v>1519</v>
      </c>
      <c r="B45">
        <v>4</v>
      </c>
      <c r="C45" s="56">
        <v>42522</v>
      </c>
      <c r="D45" s="3" t="str">
        <f>YEAR(Datos_Consumo[[#This Row],[FECHA]])&amp;"-"&amp;MONTH(Datos_Consumo[[#This Row],[FECHA]])</f>
        <v>2016-6</v>
      </c>
    </row>
    <row r="46" spans="1:4" x14ac:dyDescent="0.25">
      <c r="A46" t="s">
        <v>1520</v>
      </c>
      <c r="B46">
        <v>2</v>
      </c>
      <c r="C46" s="56">
        <v>42522</v>
      </c>
      <c r="D46" s="3" t="str">
        <f>YEAR(Datos_Consumo[[#This Row],[FECHA]])&amp;"-"&amp;MONTH(Datos_Consumo[[#This Row],[FECHA]])</f>
        <v>2016-6</v>
      </c>
    </row>
    <row r="47" spans="1:4" x14ac:dyDescent="0.25">
      <c r="A47" t="s">
        <v>1521</v>
      </c>
      <c r="B47">
        <v>2</v>
      </c>
      <c r="C47" s="56">
        <v>42491</v>
      </c>
      <c r="D47" s="3" t="str">
        <f>YEAR(Datos_Consumo[[#This Row],[FECHA]])&amp;"-"&amp;MONTH(Datos_Consumo[[#This Row],[FECHA]])</f>
        <v>2016-5</v>
      </c>
    </row>
    <row r="48" spans="1:4" x14ac:dyDescent="0.25">
      <c r="A48" t="s">
        <v>1521</v>
      </c>
      <c r="B48">
        <v>5</v>
      </c>
      <c r="C48" s="56">
        <v>42522</v>
      </c>
      <c r="D48" s="3" t="str">
        <f>YEAR(Datos_Consumo[[#This Row],[FECHA]])&amp;"-"&amp;MONTH(Datos_Consumo[[#This Row],[FECHA]])</f>
        <v>2016-6</v>
      </c>
    </row>
    <row r="49" spans="1:4" x14ac:dyDescent="0.25">
      <c r="A49" t="s">
        <v>1522</v>
      </c>
      <c r="B49">
        <v>3</v>
      </c>
      <c r="C49" s="56">
        <v>42491</v>
      </c>
      <c r="D49" s="3" t="str">
        <f>YEAR(Datos_Consumo[[#This Row],[FECHA]])&amp;"-"&amp;MONTH(Datos_Consumo[[#This Row],[FECHA]])</f>
        <v>2016-5</v>
      </c>
    </row>
    <row r="50" spans="1:4" x14ac:dyDescent="0.25">
      <c r="A50" t="s">
        <v>1522</v>
      </c>
      <c r="B50">
        <v>2</v>
      </c>
      <c r="C50" s="56">
        <v>42522</v>
      </c>
      <c r="D50" s="3" t="str">
        <f>YEAR(Datos_Consumo[[#This Row],[FECHA]])&amp;"-"&amp;MONTH(Datos_Consumo[[#This Row],[FECHA]])</f>
        <v>2016-6</v>
      </c>
    </row>
    <row r="51" spans="1:4" x14ac:dyDescent="0.25">
      <c r="A51" t="s">
        <v>1522</v>
      </c>
      <c r="B51">
        <v>2</v>
      </c>
      <c r="C51" s="56">
        <v>42552</v>
      </c>
      <c r="D51" s="3" t="str">
        <f>YEAR(Datos_Consumo[[#This Row],[FECHA]])&amp;"-"&amp;MONTH(Datos_Consumo[[#This Row],[FECHA]])</f>
        <v>2016-7</v>
      </c>
    </row>
    <row r="52" spans="1:4" x14ac:dyDescent="0.25">
      <c r="A52" t="s">
        <v>1523</v>
      </c>
      <c r="B52">
        <v>4</v>
      </c>
      <c r="C52" s="56">
        <v>42491</v>
      </c>
      <c r="D52" s="3" t="str">
        <f>YEAR(Datos_Consumo[[#This Row],[FECHA]])&amp;"-"&amp;MONTH(Datos_Consumo[[#This Row],[FECHA]])</f>
        <v>2016-5</v>
      </c>
    </row>
    <row r="53" spans="1:4" x14ac:dyDescent="0.25">
      <c r="A53" t="s">
        <v>1524</v>
      </c>
      <c r="B53">
        <v>2</v>
      </c>
      <c r="C53" s="56">
        <v>42491</v>
      </c>
      <c r="D53" s="3" t="str">
        <f>YEAR(Datos_Consumo[[#This Row],[FECHA]])&amp;"-"&amp;MONTH(Datos_Consumo[[#This Row],[FECHA]])</f>
        <v>2016-5</v>
      </c>
    </row>
    <row r="54" spans="1:4" x14ac:dyDescent="0.25">
      <c r="A54" t="s">
        <v>2393</v>
      </c>
      <c r="B54">
        <v>2</v>
      </c>
      <c r="C54" s="56">
        <v>42552</v>
      </c>
      <c r="D54" s="3" t="str">
        <f>YEAR(Datos_Consumo[[#This Row],[FECHA]])&amp;"-"&amp;MONTH(Datos_Consumo[[#This Row],[FECHA]])</f>
        <v>2016-7</v>
      </c>
    </row>
    <row r="55" spans="1:4" x14ac:dyDescent="0.25">
      <c r="A55" t="s">
        <v>2393</v>
      </c>
      <c r="B55">
        <v>3</v>
      </c>
      <c r="C55" s="56">
        <v>42583</v>
      </c>
      <c r="D55" s="3" t="str">
        <f>YEAR(Datos_Consumo[[#This Row],[FECHA]])&amp;"-"&amp;MONTH(Datos_Consumo[[#This Row],[FECHA]])</f>
        <v>2016-8</v>
      </c>
    </row>
    <row r="56" spans="1:4" x14ac:dyDescent="0.25">
      <c r="A56" t="s">
        <v>2393</v>
      </c>
      <c r="B56">
        <v>6</v>
      </c>
      <c r="C56" s="56">
        <v>42614</v>
      </c>
      <c r="D56" s="3" t="str">
        <f>YEAR(Datos_Consumo[[#This Row],[FECHA]])&amp;"-"&amp;MONTH(Datos_Consumo[[#This Row],[FECHA]])</f>
        <v>2016-9</v>
      </c>
    </row>
    <row r="57" spans="1:4" x14ac:dyDescent="0.25">
      <c r="A57" t="s">
        <v>2394</v>
      </c>
      <c r="B57">
        <v>7</v>
      </c>
      <c r="C57" s="56">
        <v>42583</v>
      </c>
      <c r="D57" s="3" t="str">
        <f>YEAR(Datos_Consumo[[#This Row],[FECHA]])&amp;"-"&amp;MONTH(Datos_Consumo[[#This Row],[FECHA]])</f>
        <v>2016-8</v>
      </c>
    </row>
    <row r="58" spans="1:4" x14ac:dyDescent="0.25">
      <c r="A58" t="s">
        <v>1525</v>
      </c>
      <c r="B58">
        <v>20</v>
      </c>
      <c r="C58" s="56">
        <v>42491</v>
      </c>
      <c r="D58" s="3" t="str">
        <f>YEAR(Datos_Consumo[[#This Row],[FECHA]])&amp;"-"&amp;MONTH(Datos_Consumo[[#This Row],[FECHA]])</f>
        <v>2016-5</v>
      </c>
    </row>
    <row r="59" spans="1:4" x14ac:dyDescent="0.25">
      <c r="A59" t="s">
        <v>1525</v>
      </c>
      <c r="B59">
        <v>20</v>
      </c>
      <c r="C59" s="56">
        <v>42552</v>
      </c>
      <c r="D59" s="3" t="str">
        <f>YEAR(Datos_Consumo[[#This Row],[FECHA]])&amp;"-"&amp;MONTH(Datos_Consumo[[#This Row],[FECHA]])</f>
        <v>2016-7</v>
      </c>
    </row>
    <row r="60" spans="1:4" x14ac:dyDescent="0.25">
      <c r="A60" t="s">
        <v>1526</v>
      </c>
      <c r="B60">
        <v>5</v>
      </c>
      <c r="C60" s="56">
        <v>42583</v>
      </c>
      <c r="D60" s="3" t="str">
        <f>YEAR(Datos_Consumo[[#This Row],[FECHA]])&amp;"-"&amp;MONTH(Datos_Consumo[[#This Row],[FECHA]])</f>
        <v>2016-8</v>
      </c>
    </row>
    <row r="61" spans="1:4" x14ac:dyDescent="0.25">
      <c r="A61" t="s">
        <v>2395</v>
      </c>
      <c r="B61">
        <v>1</v>
      </c>
      <c r="C61" s="56">
        <v>42522</v>
      </c>
      <c r="D61" s="3" t="str">
        <f>YEAR(Datos_Consumo[[#This Row],[FECHA]])&amp;"-"&amp;MONTH(Datos_Consumo[[#This Row],[FECHA]])</f>
        <v>2016-6</v>
      </c>
    </row>
    <row r="62" spans="1:4" x14ac:dyDescent="0.25">
      <c r="A62" t="s">
        <v>2396</v>
      </c>
      <c r="B62">
        <v>9</v>
      </c>
      <c r="C62" s="56">
        <v>42583</v>
      </c>
      <c r="D62" s="3" t="str">
        <f>YEAR(Datos_Consumo[[#This Row],[FECHA]])&amp;"-"&amp;MONTH(Datos_Consumo[[#This Row],[FECHA]])</f>
        <v>2016-8</v>
      </c>
    </row>
    <row r="63" spans="1:4" x14ac:dyDescent="0.25">
      <c r="A63" t="s">
        <v>1527</v>
      </c>
      <c r="B63">
        <v>1</v>
      </c>
      <c r="C63" s="56">
        <v>42491</v>
      </c>
      <c r="D63" s="3" t="str">
        <f>YEAR(Datos_Consumo[[#This Row],[FECHA]])&amp;"-"&amp;MONTH(Datos_Consumo[[#This Row],[FECHA]])</f>
        <v>2016-5</v>
      </c>
    </row>
    <row r="64" spans="1:4" x14ac:dyDescent="0.25">
      <c r="A64" t="s">
        <v>1527</v>
      </c>
      <c r="B64">
        <v>2</v>
      </c>
      <c r="C64" s="56">
        <v>42583</v>
      </c>
      <c r="D64" s="3" t="str">
        <f>YEAR(Datos_Consumo[[#This Row],[FECHA]])&amp;"-"&amp;MONTH(Datos_Consumo[[#This Row],[FECHA]])</f>
        <v>2016-8</v>
      </c>
    </row>
    <row r="65" spans="1:4" x14ac:dyDescent="0.25">
      <c r="A65" t="s">
        <v>1527</v>
      </c>
      <c r="B65">
        <v>45</v>
      </c>
      <c r="C65" s="56">
        <v>42614</v>
      </c>
      <c r="D65" s="3" t="str">
        <f>YEAR(Datos_Consumo[[#This Row],[FECHA]])&amp;"-"&amp;MONTH(Datos_Consumo[[#This Row],[FECHA]])</f>
        <v>2016-9</v>
      </c>
    </row>
    <row r="66" spans="1:4" x14ac:dyDescent="0.25">
      <c r="A66" t="s">
        <v>1528</v>
      </c>
      <c r="B66">
        <v>21</v>
      </c>
      <c r="C66" s="56">
        <v>42552</v>
      </c>
      <c r="D66" s="3" t="str">
        <f>YEAR(Datos_Consumo[[#This Row],[FECHA]])&amp;"-"&amp;MONTH(Datos_Consumo[[#This Row],[FECHA]])</f>
        <v>2016-7</v>
      </c>
    </row>
    <row r="67" spans="1:4" x14ac:dyDescent="0.25">
      <c r="A67" t="s">
        <v>2397</v>
      </c>
      <c r="B67">
        <v>3</v>
      </c>
      <c r="C67" s="56">
        <v>42583</v>
      </c>
      <c r="D67" s="3" t="str">
        <f>YEAR(Datos_Consumo[[#This Row],[FECHA]])&amp;"-"&amp;MONTH(Datos_Consumo[[#This Row],[FECHA]])</f>
        <v>2016-8</v>
      </c>
    </row>
    <row r="68" spans="1:4" x14ac:dyDescent="0.25">
      <c r="A68" t="s">
        <v>1529</v>
      </c>
      <c r="B68">
        <v>1</v>
      </c>
      <c r="C68" s="56">
        <v>42491</v>
      </c>
      <c r="D68" s="3" t="str">
        <f>YEAR(Datos_Consumo[[#This Row],[FECHA]])&amp;"-"&amp;MONTH(Datos_Consumo[[#This Row],[FECHA]])</f>
        <v>2016-5</v>
      </c>
    </row>
    <row r="69" spans="1:4" x14ac:dyDescent="0.25">
      <c r="A69" t="s">
        <v>1529</v>
      </c>
      <c r="B69">
        <v>2</v>
      </c>
      <c r="C69" s="56">
        <v>42522</v>
      </c>
      <c r="D69" s="3" t="str">
        <f>YEAR(Datos_Consumo[[#This Row],[FECHA]])&amp;"-"&amp;MONTH(Datos_Consumo[[#This Row],[FECHA]])</f>
        <v>2016-6</v>
      </c>
    </row>
    <row r="70" spans="1:4" x14ac:dyDescent="0.25">
      <c r="A70" t="s">
        <v>1530</v>
      </c>
      <c r="B70">
        <v>1</v>
      </c>
      <c r="C70" s="56">
        <v>42491</v>
      </c>
      <c r="D70" s="3" t="str">
        <f>YEAR(Datos_Consumo[[#This Row],[FECHA]])&amp;"-"&amp;MONTH(Datos_Consumo[[#This Row],[FECHA]])</f>
        <v>2016-5</v>
      </c>
    </row>
    <row r="71" spans="1:4" x14ac:dyDescent="0.25">
      <c r="A71" t="s">
        <v>1530</v>
      </c>
      <c r="B71">
        <v>1</v>
      </c>
      <c r="C71" s="56">
        <v>42552</v>
      </c>
      <c r="D71" s="3" t="str">
        <f>YEAR(Datos_Consumo[[#This Row],[FECHA]])&amp;"-"&amp;MONTH(Datos_Consumo[[#This Row],[FECHA]])</f>
        <v>2016-7</v>
      </c>
    </row>
    <row r="72" spans="1:4" x14ac:dyDescent="0.25">
      <c r="A72" t="s">
        <v>1530</v>
      </c>
      <c r="B72">
        <v>3</v>
      </c>
      <c r="C72" s="56">
        <v>42583</v>
      </c>
      <c r="D72" s="3" t="str">
        <f>YEAR(Datos_Consumo[[#This Row],[FECHA]])&amp;"-"&amp;MONTH(Datos_Consumo[[#This Row],[FECHA]])</f>
        <v>2016-8</v>
      </c>
    </row>
    <row r="73" spans="1:4" x14ac:dyDescent="0.25">
      <c r="A73" t="s">
        <v>2398</v>
      </c>
      <c r="B73">
        <v>1603</v>
      </c>
      <c r="C73" s="56">
        <v>42552</v>
      </c>
      <c r="D73" s="3" t="str">
        <f>YEAR(Datos_Consumo[[#This Row],[FECHA]])&amp;"-"&amp;MONTH(Datos_Consumo[[#This Row],[FECHA]])</f>
        <v>2016-7</v>
      </c>
    </row>
    <row r="74" spans="1:4" x14ac:dyDescent="0.25">
      <c r="A74" t="s">
        <v>2398</v>
      </c>
      <c r="B74">
        <v>204</v>
      </c>
      <c r="C74" s="56">
        <v>42583</v>
      </c>
      <c r="D74" s="3" t="str">
        <f>YEAR(Datos_Consumo[[#This Row],[FECHA]])&amp;"-"&amp;MONTH(Datos_Consumo[[#This Row],[FECHA]])</f>
        <v>2016-8</v>
      </c>
    </row>
    <row r="75" spans="1:4" x14ac:dyDescent="0.25">
      <c r="A75" t="s">
        <v>2398</v>
      </c>
      <c r="B75">
        <v>5</v>
      </c>
      <c r="C75" s="56">
        <v>42614</v>
      </c>
      <c r="D75" s="3" t="str">
        <f>YEAR(Datos_Consumo[[#This Row],[FECHA]])&amp;"-"&amp;MONTH(Datos_Consumo[[#This Row],[FECHA]])</f>
        <v>2016-9</v>
      </c>
    </row>
    <row r="76" spans="1:4" x14ac:dyDescent="0.25">
      <c r="A76" t="s">
        <v>2399</v>
      </c>
      <c r="B76">
        <v>60</v>
      </c>
      <c r="C76" s="56">
        <v>42552</v>
      </c>
      <c r="D76" s="3" t="str">
        <f>YEAR(Datos_Consumo[[#This Row],[FECHA]])&amp;"-"&amp;MONTH(Datos_Consumo[[#This Row],[FECHA]])</f>
        <v>2016-7</v>
      </c>
    </row>
    <row r="77" spans="1:4" x14ac:dyDescent="0.25">
      <c r="A77" t="s">
        <v>2400</v>
      </c>
      <c r="B77">
        <v>63</v>
      </c>
      <c r="C77" s="56">
        <v>42552</v>
      </c>
      <c r="D77" s="3" t="str">
        <f>YEAR(Datos_Consumo[[#This Row],[FECHA]])&amp;"-"&amp;MONTH(Datos_Consumo[[#This Row],[FECHA]])</f>
        <v>2016-7</v>
      </c>
    </row>
    <row r="78" spans="1:4" x14ac:dyDescent="0.25">
      <c r="A78" t="s">
        <v>2400</v>
      </c>
      <c r="B78">
        <v>13</v>
      </c>
      <c r="C78" s="56">
        <v>42583</v>
      </c>
      <c r="D78" s="3" t="str">
        <f>YEAR(Datos_Consumo[[#This Row],[FECHA]])&amp;"-"&amp;MONTH(Datos_Consumo[[#This Row],[FECHA]])</f>
        <v>2016-8</v>
      </c>
    </row>
    <row r="79" spans="1:4" x14ac:dyDescent="0.25">
      <c r="A79" t="s">
        <v>2401</v>
      </c>
      <c r="B79">
        <v>17</v>
      </c>
      <c r="C79" s="56">
        <v>42552</v>
      </c>
      <c r="D79" s="3" t="str">
        <f>YEAR(Datos_Consumo[[#This Row],[FECHA]])&amp;"-"&amp;MONTH(Datos_Consumo[[#This Row],[FECHA]])</f>
        <v>2016-7</v>
      </c>
    </row>
    <row r="80" spans="1:4" x14ac:dyDescent="0.25">
      <c r="A80" t="s">
        <v>2401</v>
      </c>
      <c r="B80">
        <v>17</v>
      </c>
      <c r="C80" s="56">
        <v>42583</v>
      </c>
      <c r="D80" s="3" t="str">
        <f>YEAR(Datos_Consumo[[#This Row],[FECHA]])&amp;"-"&amp;MONTH(Datos_Consumo[[#This Row],[FECHA]])</f>
        <v>2016-8</v>
      </c>
    </row>
    <row r="81" spans="1:4" x14ac:dyDescent="0.25">
      <c r="A81" t="s">
        <v>1531</v>
      </c>
      <c r="B81">
        <v>4</v>
      </c>
      <c r="C81" s="56">
        <v>42491</v>
      </c>
      <c r="D81" s="3" t="str">
        <f>YEAR(Datos_Consumo[[#This Row],[FECHA]])&amp;"-"&amp;MONTH(Datos_Consumo[[#This Row],[FECHA]])</f>
        <v>2016-5</v>
      </c>
    </row>
    <row r="82" spans="1:4" x14ac:dyDescent="0.25">
      <c r="A82" t="s">
        <v>1531</v>
      </c>
      <c r="B82">
        <v>4</v>
      </c>
      <c r="C82" s="56">
        <v>42522</v>
      </c>
      <c r="D82" s="3" t="str">
        <f>YEAR(Datos_Consumo[[#This Row],[FECHA]])&amp;"-"&amp;MONTH(Datos_Consumo[[#This Row],[FECHA]])</f>
        <v>2016-6</v>
      </c>
    </row>
    <row r="83" spans="1:4" x14ac:dyDescent="0.25">
      <c r="A83" t="s">
        <v>2402</v>
      </c>
      <c r="B83">
        <v>50</v>
      </c>
      <c r="C83" s="56">
        <v>42552</v>
      </c>
      <c r="D83" s="3" t="str">
        <f>YEAR(Datos_Consumo[[#This Row],[FECHA]])&amp;"-"&amp;MONTH(Datos_Consumo[[#This Row],[FECHA]])</f>
        <v>2016-7</v>
      </c>
    </row>
    <row r="84" spans="1:4" x14ac:dyDescent="0.25">
      <c r="A84" t="s">
        <v>2402</v>
      </c>
      <c r="B84">
        <v>5</v>
      </c>
      <c r="C84" s="56">
        <v>42583</v>
      </c>
      <c r="D84" s="3" t="str">
        <f>YEAR(Datos_Consumo[[#This Row],[FECHA]])&amp;"-"&amp;MONTH(Datos_Consumo[[#This Row],[FECHA]])</f>
        <v>2016-8</v>
      </c>
    </row>
    <row r="85" spans="1:4" x14ac:dyDescent="0.25">
      <c r="A85" t="s">
        <v>1532</v>
      </c>
      <c r="B85">
        <v>1</v>
      </c>
      <c r="C85" s="56">
        <v>42491</v>
      </c>
      <c r="D85" s="3" t="str">
        <f>YEAR(Datos_Consumo[[#This Row],[FECHA]])&amp;"-"&amp;MONTH(Datos_Consumo[[#This Row],[FECHA]])</f>
        <v>2016-5</v>
      </c>
    </row>
    <row r="86" spans="1:4" x14ac:dyDescent="0.25">
      <c r="A86" t="s">
        <v>1532</v>
      </c>
      <c r="B86">
        <v>61</v>
      </c>
      <c r="C86" s="56">
        <v>42583</v>
      </c>
      <c r="D86" s="3" t="str">
        <f>YEAR(Datos_Consumo[[#This Row],[FECHA]])&amp;"-"&amp;MONTH(Datos_Consumo[[#This Row],[FECHA]])</f>
        <v>2016-8</v>
      </c>
    </row>
    <row r="87" spans="1:4" x14ac:dyDescent="0.25">
      <c r="A87" t="s">
        <v>1533</v>
      </c>
      <c r="B87">
        <v>1</v>
      </c>
      <c r="C87" s="56">
        <v>42491</v>
      </c>
      <c r="D87" s="3" t="str">
        <f>YEAR(Datos_Consumo[[#This Row],[FECHA]])&amp;"-"&amp;MONTH(Datos_Consumo[[#This Row],[FECHA]])</f>
        <v>2016-5</v>
      </c>
    </row>
    <row r="88" spans="1:4" x14ac:dyDescent="0.25">
      <c r="A88" t="s">
        <v>1533</v>
      </c>
      <c r="B88">
        <v>6</v>
      </c>
      <c r="C88" s="56">
        <v>42522</v>
      </c>
      <c r="D88" s="3" t="str">
        <f>YEAR(Datos_Consumo[[#This Row],[FECHA]])&amp;"-"&amp;MONTH(Datos_Consumo[[#This Row],[FECHA]])</f>
        <v>2016-6</v>
      </c>
    </row>
    <row r="89" spans="1:4" x14ac:dyDescent="0.25">
      <c r="A89" t="s">
        <v>1533</v>
      </c>
      <c r="B89">
        <v>5</v>
      </c>
      <c r="C89" s="56">
        <v>42552</v>
      </c>
      <c r="D89" s="3" t="str">
        <f>YEAR(Datos_Consumo[[#This Row],[FECHA]])&amp;"-"&amp;MONTH(Datos_Consumo[[#This Row],[FECHA]])</f>
        <v>2016-7</v>
      </c>
    </row>
    <row r="90" spans="1:4" x14ac:dyDescent="0.25">
      <c r="A90" t="s">
        <v>1533</v>
      </c>
      <c r="B90">
        <v>4</v>
      </c>
      <c r="C90" s="56">
        <v>42583</v>
      </c>
      <c r="D90" s="3" t="str">
        <f>YEAR(Datos_Consumo[[#This Row],[FECHA]])&amp;"-"&amp;MONTH(Datos_Consumo[[#This Row],[FECHA]])</f>
        <v>2016-8</v>
      </c>
    </row>
    <row r="91" spans="1:4" x14ac:dyDescent="0.25">
      <c r="A91" t="s">
        <v>1534</v>
      </c>
      <c r="B91">
        <v>1</v>
      </c>
      <c r="C91" s="56">
        <v>42491</v>
      </c>
      <c r="D91" s="3" t="str">
        <f>YEAR(Datos_Consumo[[#This Row],[FECHA]])&amp;"-"&amp;MONTH(Datos_Consumo[[#This Row],[FECHA]])</f>
        <v>2016-5</v>
      </c>
    </row>
    <row r="92" spans="1:4" x14ac:dyDescent="0.25">
      <c r="A92" t="s">
        <v>1534</v>
      </c>
      <c r="B92">
        <v>21</v>
      </c>
      <c r="C92" s="56">
        <v>42522</v>
      </c>
      <c r="D92" s="3" t="str">
        <f>YEAR(Datos_Consumo[[#This Row],[FECHA]])&amp;"-"&amp;MONTH(Datos_Consumo[[#This Row],[FECHA]])</f>
        <v>2016-6</v>
      </c>
    </row>
    <row r="93" spans="1:4" x14ac:dyDescent="0.25">
      <c r="A93" t="s">
        <v>1534</v>
      </c>
      <c r="B93">
        <v>20</v>
      </c>
      <c r="C93" s="56">
        <v>42552</v>
      </c>
      <c r="D93" s="3" t="str">
        <f>YEAR(Datos_Consumo[[#This Row],[FECHA]])&amp;"-"&amp;MONTH(Datos_Consumo[[#This Row],[FECHA]])</f>
        <v>2016-7</v>
      </c>
    </row>
    <row r="94" spans="1:4" x14ac:dyDescent="0.25">
      <c r="A94" t="s">
        <v>1534</v>
      </c>
      <c r="B94">
        <v>70</v>
      </c>
      <c r="C94" s="56">
        <v>42583</v>
      </c>
      <c r="D94" s="3" t="str">
        <f>YEAR(Datos_Consumo[[#This Row],[FECHA]])&amp;"-"&amp;MONTH(Datos_Consumo[[#This Row],[FECHA]])</f>
        <v>2016-8</v>
      </c>
    </row>
    <row r="95" spans="1:4" x14ac:dyDescent="0.25">
      <c r="A95" t="s">
        <v>1535</v>
      </c>
      <c r="B95">
        <v>1</v>
      </c>
      <c r="C95" s="56">
        <v>42522</v>
      </c>
      <c r="D95" s="3" t="str">
        <f>YEAR(Datos_Consumo[[#This Row],[FECHA]])&amp;"-"&amp;MONTH(Datos_Consumo[[#This Row],[FECHA]])</f>
        <v>2016-6</v>
      </c>
    </row>
    <row r="96" spans="1:4" x14ac:dyDescent="0.25">
      <c r="A96" t="s">
        <v>1536</v>
      </c>
      <c r="B96">
        <v>2</v>
      </c>
      <c r="C96" s="56">
        <v>42522</v>
      </c>
      <c r="D96" s="3" t="str">
        <f>YEAR(Datos_Consumo[[#This Row],[FECHA]])&amp;"-"&amp;MONTH(Datos_Consumo[[#This Row],[FECHA]])</f>
        <v>2016-6</v>
      </c>
    </row>
    <row r="97" spans="1:4" x14ac:dyDescent="0.25">
      <c r="A97" t="s">
        <v>1536</v>
      </c>
      <c r="B97">
        <v>1</v>
      </c>
      <c r="C97" s="56">
        <v>42552</v>
      </c>
      <c r="D97" s="3" t="str">
        <f>YEAR(Datos_Consumo[[#This Row],[FECHA]])&amp;"-"&amp;MONTH(Datos_Consumo[[#This Row],[FECHA]])</f>
        <v>2016-7</v>
      </c>
    </row>
    <row r="98" spans="1:4" x14ac:dyDescent="0.25">
      <c r="A98" t="s">
        <v>1536</v>
      </c>
      <c r="B98">
        <v>2</v>
      </c>
      <c r="C98" s="56">
        <v>42614</v>
      </c>
      <c r="D98" s="3" t="str">
        <f>YEAR(Datos_Consumo[[#This Row],[FECHA]])&amp;"-"&amp;MONTH(Datos_Consumo[[#This Row],[FECHA]])</f>
        <v>2016-9</v>
      </c>
    </row>
    <row r="99" spans="1:4" x14ac:dyDescent="0.25">
      <c r="A99" t="s">
        <v>1537</v>
      </c>
      <c r="B99">
        <v>3</v>
      </c>
      <c r="C99" s="56">
        <v>42491</v>
      </c>
      <c r="D99" s="3" t="str">
        <f>YEAR(Datos_Consumo[[#This Row],[FECHA]])&amp;"-"&amp;MONTH(Datos_Consumo[[#This Row],[FECHA]])</f>
        <v>2016-5</v>
      </c>
    </row>
    <row r="100" spans="1:4" x14ac:dyDescent="0.25">
      <c r="A100" t="s">
        <v>1537</v>
      </c>
      <c r="B100">
        <v>3</v>
      </c>
      <c r="C100" s="56">
        <v>42522</v>
      </c>
      <c r="D100" s="3" t="str">
        <f>YEAR(Datos_Consumo[[#This Row],[FECHA]])&amp;"-"&amp;MONTH(Datos_Consumo[[#This Row],[FECHA]])</f>
        <v>2016-6</v>
      </c>
    </row>
    <row r="101" spans="1:4" x14ac:dyDescent="0.25">
      <c r="A101" t="s">
        <v>1537</v>
      </c>
      <c r="B101">
        <v>1</v>
      </c>
      <c r="C101" s="56">
        <v>42552</v>
      </c>
      <c r="D101" s="3" t="str">
        <f>YEAR(Datos_Consumo[[#This Row],[FECHA]])&amp;"-"&amp;MONTH(Datos_Consumo[[#This Row],[FECHA]])</f>
        <v>2016-7</v>
      </c>
    </row>
    <row r="102" spans="1:4" x14ac:dyDescent="0.25">
      <c r="A102" t="s">
        <v>1537</v>
      </c>
      <c r="B102">
        <v>6</v>
      </c>
      <c r="C102" s="56">
        <v>42583</v>
      </c>
      <c r="D102" s="3" t="str">
        <f>YEAR(Datos_Consumo[[#This Row],[FECHA]])&amp;"-"&amp;MONTH(Datos_Consumo[[#This Row],[FECHA]])</f>
        <v>2016-8</v>
      </c>
    </row>
    <row r="103" spans="1:4" x14ac:dyDescent="0.25">
      <c r="A103" t="s">
        <v>1538</v>
      </c>
      <c r="B103">
        <v>5</v>
      </c>
      <c r="C103" s="56">
        <v>42491</v>
      </c>
      <c r="D103" s="3" t="str">
        <f>YEAR(Datos_Consumo[[#This Row],[FECHA]])&amp;"-"&amp;MONTH(Datos_Consumo[[#This Row],[FECHA]])</f>
        <v>2016-5</v>
      </c>
    </row>
    <row r="104" spans="1:4" x14ac:dyDescent="0.25">
      <c r="A104" t="s">
        <v>1538</v>
      </c>
      <c r="B104">
        <v>3</v>
      </c>
      <c r="C104" s="56">
        <v>42522</v>
      </c>
      <c r="D104" s="3" t="str">
        <f>YEAR(Datos_Consumo[[#This Row],[FECHA]])&amp;"-"&amp;MONTH(Datos_Consumo[[#This Row],[FECHA]])</f>
        <v>2016-6</v>
      </c>
    </row>
    <row r="105" spans="1:4" x14ac:dyDescent="0.25">
      <c r="A105" t="s">
        <v>1538</v>
      </c>
      <c r="B105">
        <v>8</v>
      </c>
      <c r="C105" s="56">
        <v>42552</v>
      </c>
      <c r="D105" s="3" t="str">
        <f>YEAR(Datos_Consumo[[#This Row],[FECHA]])&amp;"-"&amp;MONTH(Datos_Consumo[[#This Row],[FECHA]])</f>
        <v>2016-7</v>
      </c>
    </row>
    <row r="106" spans="1:4" x14ac:dyDescent="0.25">
      <c r="A106" t="s">
        <v>1538</v>
      </c>
      <c r="B106">
        <v>3</v>
      </c>
      <c r="C106" s="56">
        <v>42583</v>
      </c>
      <c r="D106" s="3" t="str">
        <f>YEAR(Datos_Consumo[[#This Row],[FECHA]])&amp;"-"&amp;MONTH(Datos_Consumo[[#This Row],[FECHA]])</f>
        <v>2016-8</v>
      </c>
    </row>
    <row r="107" spans="1:4" x14ac:dyDescent="0.25">
      <c r="A107" t="s">
        <v>1538</v>
      </c>
      <c r="B107">
        <v>1</v>
      </c>
      <c r="C107" s="56">
        <v>42614</v>
      </c>
      <c r="D107" s="3" t="str">
        <f>YEAR(Datos_Consumo[[#This Row],[FECHA]])&amp;"-"&amp;MONTH(Datos_Consumo[[#This Row],[FECHA]])</f>
        <v>2016-9</v>
      </c>
    </row>
    <row r="108" spans="1:4" x14ac:dyDescent="0.25">
      <c r="A108" t="s">
        <v>1539</v>
      </c>
      <c r="B108">
        <v>44</v>
      </c>
      <c r="C108" s="56">
        <v>42491</v>
      </c>
      <c r="D108" s="3" t="str">
        <f>YEAR(Datos_Consumo[[#This Row],[FECHA]])&amp;"-"&amp;MONTH(Datos_Consumo[[#This Row],[FECHA]])</f>
        <v>2016-5</v>
      </c>
    </row>
    <row r="109" spans="1:4" x14ac:dyDescent="0.25">
      <c r="A109" t="s">
        <v>1539</v>
      </c>
      <c r="B109">
        <v>4</v>
      </c>
      <c r="C109" s="56">
        <v>42522</v>
      </c>
      <c r="D109" s="3" t="str">
        <f>YEAR(Datos_Consumo[[#This Row],[FECHA]])&amp;"-"&amp;MONTH(Datos_Consumo[[#This Row],[FECHA]])</f>
        <v>2016-6</v>
      </c>
    </row>
    <row r="110" spans="1:4" x14ac:dyDescent="0.25">
      <c r="A110" t="s">
        <v>1539</v>
      </c>
      <c r="B110">
        <v>4</v>
      </c>
      <c r="C110" s="56">
        <v>42583</v>
      </c>
      <c r="D110" s="3" t="str">
        <f>YEAR(Datos_Consumo[[#This Row],[FECHA]])&amp;"-"&amp;MONTH(Datos_Consumo[[#This Row],[FECHA]])</f>
        <v>2016-8</v>
      </c>
    </row>
    <row r="111" spans="1:4" x14ac:dyDescent="0.25">
      <c r="A111" t="s">
        <v>1539</v>
      </c>
      <c r="B111">
        <v>3</v>
      </c>
      <c r="C111" s="56">
        <v>42614</v>
      </c>
      <c r="D111" s="3" t="str">
        <f>YEAR(Datos_Consumo[[#This Row],[FECHA]])&amp;"-"&amp;MONTH(Datos_Consumo[[#This Row],[FECHA]])</f>
        <v>2016-9</v>
      </c>
    </row>
    <row r="112" spans="1:4" x14ac:dyDescent="0.25">
      <c r="A112" t="s">
        <v>2403</v>
      </c>
      <c r="B112">
        <v>1</v>
      </c>
      <c r="C112" s="56">
        <v>42552</v>
      </c>
      <c r="D112" s="3" t="str">
        <f>YEAR(Datos_Consumo[[#This Row],[FECHA]])&amp;"-"&amp;MONTH(Datos_Consumo[[#This Row],[FECHA]])</f>
        <v>2016-7</v>
      </c>
    </row>
    <row r="113" spans="1:4" x14ac:dyDescent="0.25">
      <c r="A113" t="s">
        <v>2404</v>
      </c>
      <c r="B113">
        <v>300</v>
      </c>
      <c r="C113" s="56">
        <v>42552</v>
      </c>
      <c r="D113" s="3" t="str">
        <f>YEAR(Datos_Consumo[[#This Row],[FECHA]])&amp;"-"&amp;MONTH(Datos_Consumo[[#This Row],[FECHA]])</f>
        <v>2016-7</v>
      </c>
    </row>
    <row r="114" spans="1:4" x14ac:dyDescent="0.25">
      <c r="A114" t="s">
        <v>1540</v>
      </c>
      <c r="B114">
        <v>762</v>
      </c>
      <c r="C114" s="56">
        <v>42491</v>
      </c>
      <c r="D114" s="3" t="str">
        <f>YEAR(Datos_Consumo[[#This Row],[FECHA]])&amp;"-"&amp;MONTH(Datos_Consumo[[#This Row],[FECHA]])</f>
        <v>2016-5</v>
      </c>
    </row>
    <row r="115" spans="1:4" x14ac:dyDescent="0.25">
      <c r="A115" t="s">
        <v>1540</v>
      </c>
      <c r="B115">
        <v>33</v>
      </c>
      <c r="C115" s="56">
        <v>42522</v>
      </c>
      <c r="D115" s="3" t="str">
        <f>YEAR(Datos_Consumo[[#This Row],[FECHA]])&amp;"-"&amp;MONTH(Datos_Consumo[[#This Row],[FECHA]])</f>
        <v>2016-6</v>
      </c>
    </row>
    <row r="116" spans="1:4" x14ac:dyDescent="0.25">
      <c r="A116" t="s">
        <v>1540</v>
      </c>
      <c r="B116">
        <v>100</v>
      </c>
      <c r="C116" s="56">
        <v>42552</v>
      </c>
      <c r="D116" s="3" t="str">
        <f>YEAR(Datos_Consumo[[#This Row],[FECHA]])&amp;"-"&amp;MONTH(Datos_Consumo[[#This Row],[FECHA]])</f>
        <v>2016-7</v>
      </c>
    </row>
    <row r="117" spans="1:4" x14ac:dyDescent="0.25">
      <c r="A117" t="s">
        <v>1540</v>
      </c>
      <c r="B117">
        <v>226</v>
      </c>
      <c r="C117" s="56">
        <v>42583</v>
      </c>
      <c r="D117" s="3" t="str">
        <f>YEAR(Datos_Consumo[[#This Row],[FECHA]])&amp;"-"&amp;MONTH(Datos_Consumo[[#This Row],[FECHA]])</f>
        <v>2016-8</v>
      </c>
    </row>
    <row r="118" spans="1:4" x14ac:dyDescent="0.25">
      <c r="A118" t="s">
        <v>1540</v>
      </c>
      <c r="B118">
        <v>160</v>
      </c>
      <c r="C118" s="56">
        <v>42614</v>
      </c>
      <c r="D118" s="3" t="str">
        <f>YEAR(Datos_Consumo[[#This Row],[FECHA]])&amp;"-"&amp;MONTH(Datos_Consumo[[#This Row],[FECHA]])</f>
        <v>2016-9</v>
      </c>
    </row>
    <row r="119" spans="1:4" x14ac:dyDescent="0.25">
      <c r="A119" t="s">
        <v>1541</v>
      </c>
      <c r="B119">
        <v>71</v>
      </c>
      <c r="C119" s="56">
        <v>42491</v>
      </c>
      <c r="D119" s="3" t="str">
        <f>YEAR(Datos_Consumo[[#This Row],[FECHA]])&amp;"-"&amp;MONTH(Datos_Consumo[[#This Row],[FECHA]])</f>
        <v>2016-5</v>
      </c>
    </row>
    <row r="120" spans="1:4" x14ac:dyDescent="0.25">
      <c r="A120" t="s">
        <v>1541</v>
      </c>
      <c r="B120">
        <v>43</v>
      </c>
      <c r="C120" s="56">
        <v>42522</v>
      </c>
      <c r="D120" s="3" t="str">
        <f>YEAR(Datos_Consumo[[#This Row],[FECHA]])&amp;"-"&amp;MONTH(Datos_Consumo[[#This Row],[FECHA]])</f>
        <v>2016-6</v>
      </c>
    </row>
    <row r="121" spans="1:4" x14ac:dyDescent="0.25">
      <c r="A121" t="s">
        <v>1541</v>
      </c>
      <c r="B121">
        <v>70</v>
      </c>
      <c r="C121" s="56">
        <v>42552</v>
      </c>
      <c r="D121" s="3" t="str">
        <f>YEAR(Datos_Consumo[[#This Row],[FECHA]])&amp;"-"&amp;MONTH(Datos_Consumo[[#This Row],[FECHA]])</f>
        <v>2016-7</v>
      </c>
    </row>
    <row r="122" spans="1:4" x14ac:dyDescent="0.25">
      <c r="A122" t="s">
        <v>1541</v>
      </c>
      <c r="B122">
        <v>10</v>
      </c>
      <c r="C122" s="56">
        <v>42583</v>
      </c>
      <c r="D122" s="3" t="str">
        <f>YEAR(Datos_Consumo[[#This Row],[FECHA]])&amp;"-"&amp;MONTH(Datos_Consumo[[#This Row],[FECHA]])</f>
        <v>2016-8</v>
      </c>
    </row>
    <row r="123" spans="1:4" x14ac:dyDescent="0.25">
      <c r="A123" t="s">
        <v>1541</v>
      </c>
      <c r="B123">
        <v>5</v>
      </c>
      <c r="C123" s="56">
        <v>42614</v>
      </c>
      <c r="D123" s="3" t="str">
        <f>YEAR(Datos_Consumo[[#This Row],[FECHA]])&amp;"-"&amp;MONTH(Datos_Consumo[[#This Row],[FECHA]])</f>
        <v>2016-9</v>
      </c>
    </row>
    <row r="124" spans="1:4" x14ac:dyDescent="0.25">
      <c r="A124" t="s">
        <v>1542</v>
      </c>
      <c r="B124">
        <v>1</v>
      </c>
      <c r="C124" s="56">
        <v>42491</v>
      </c>
      <c r="D124" s="3" t="str">
        <f>YEAR(Datos_Consumo[[#This Row],[FECHA]])&amp;"-"&amp;MONTH(Datos_Consumo[[#This Row],[FECHA]])</f>
        <v>2016-5</v>
      </c>
    </row>
    <row r="125" spans="1:4" x14ac:dyDescent="0.25">
      <c r="A125" t="s">
        <v>1542</v>
      </c>
      <c r="B125">
        <v>24</v>
      </c>
      <c r="C125" s="56">
        <v>42522</v>
      </c>
      <c r="D125" s="3" t="str">
        <f>YEAR(Datos_Consumo[[#This Row],[FECHA]])&amp;"-"&amp;MONTH(Datos_Consumo[[#This Row],[FECHA]])</f>
        <v>2016-6</v>
      </c>
    </row>
    <row r="126" spans="1:4" x14ac:dyDescent="0.25">
      <c r="A126" t="s">
        <v>1542</v>
      </c>
      <c r="B126">
        <v>7</v>
      </c>
      <c r="C126" s="56">
        <v>42552</v>
      </c>
      <c r="D126" s="3" t="str">
        <f>YEAR(Datos_Consumo[[#This Row],[FECHA]])&amp;"-"&amp;MONTH(Datos_Consumo[[#This Row],[FECHA]])</f>
        <v>2016-7</v>
      </c>
    </row>
    <row r="127" spans="1:4" x14ac:dyDescent="0.25">
      <c r="A127" t="s">
        <v>1542</v>
      </c>
      <c r="B127">
        <v>15</v>
      </c>
      <c r="C127" s="56">
        <v>42583</v>
      </c>
      <c r="D127" s="3" t="str">
        <f>YEAR(Datos_Consumo[[#This Row],[FECHA]])&amp;"-"&amp;MONTH(Datos_Consumo[[#This Row],[FECHA]])</f>
        <v>2016-8</v>
      </c>
    </row>
    <row r="128" spans="1:4" x14ac:dyDescent="0.25">
      <c r="A128" t="s">
        <v>1542</v>
      </c>
      <c r="B128">
        <v>1</v>
      </c>
      <c r="C128" s="56">
        <v>42614</v>
      </c>
      <c r="D128" s="3" t="str">
        <f>YEAR(Datos_Consumo[[#This Row],[FECHA]])&amp;"-"&amp;MONTH(Datos_Consumo[[#This Row],[FECHA]])</f>
        <v>2016-9</v>
      </c>
    </row>
    <row r="129" spans="1:4" x14ac:dyDescent="0.25">
      <c r="A129" t="s">
        <v>1543</v>
      </c>
      <c r="B129">
        <v>75</v>
      </c>
      <c r="C129" s="56">
        <v>42491</v>
      </c>
      <c r="D129" s="3" t="str">
        <f>YEAR(Datos_Consumo[[#This Row],[FECHA]])&amp;"-"&amp;MONTH(Datos_Consumo[[#This Row],[FECHA]])</f>
        <v>2016-5</v>
      </c>
    </row>
    <row r="130" spans="1:4" x14ac:dyDescent="0.25">
      <c r="A130" t="s">
        <v>1543</v>
      </c>
      <c r="B130">
        <v>16</v>
      </c>
      <c r="C130" s="56">
        <v>42522</v>
      </c>
      <c r="D130" s="3" t="str">
        <f>YEAR(Datos_Consumo[[#This Row],[FECHA]])&amp;"-"&amp;MONTH(Datos_Consumo[[#This Row],[FECHA]])</f>
        <v>2016-6</v>
      </c>
    </row>
    <row r="131" spans="1:4" x14ac:dyDescent="0.25">
      <c r="A131" t="s">
        <v>1543</v>
      </c>
      <c r="B131">
        <v>81</v>
      </c>
      <c r="C131" s="56">
        <v>42552</v>
      </c>
      <c r="D131" s="3" t="str">
        <f>YEAR(Datos_Consumo[[#This Row],[FECHA]])&amp;"-"&amp;MONTH(Datos_Consumo[[#This Row],[FECHA]])</f>
        <v>2016-7</v>
      </c>
    </row>
    <row r="132" spans="1:4" x14ac:dyDescent="0.25">
      <c r="A132" t="s">
        <v>1543</v>
      </c>
      <c r="B132">
        <v>34</v>
      </c>
      <c r="C132" s="56">
        <v>42583</v>
      </c>
      <c r="D132" s="3" t="str">
        <f>YEAR(Datos_Consumo[[#This Row],[FECHA]])&amp;"-"&amp;MONTH(Datos_Consumo[[#This Row],[FECHA]])</f>
        <v>2016-8</v>
      </c>
    </row>
    <row r="133" spans="1:4" x14ac:dyDescent="0.25">
      <c r="A133" t="s">
        <v>1543</v>
      </c>
      <c r="B133">
        <v>106</v>
      </c>
      <c r="C133" s="56">
        <v>42614</v>
      </c>
      <c r="D133" s="3" t="str">
        <f>YEAR(Datos_Consumo[[#This Row],[FECHA]])&amp;"-"&amp;MONTH(Datos_Consumo[[#This Row],[FECHA]])</f>
        <v>2016-9</v>
      </c>
    </row>
    <row r="134" spans="1:4" x14ac:dyDescent="0.25">
      <c r="A134" t="s">
        <v>1544</v>
      </c>
      <c r="B134">
        <v>100</v>
      </c>
      <c r="C134" s="56">
        <v>42522</v>
      </c>
      <c r="D134" s="3" t="str">
        <f>YEAR(Datos_Consumo[[#This Row],[FECHA]])&amp;"-"&amp;MONTH(Datos_Consumo[[#This Row],[FECHA]])</f>
        <v>2016-6</v>
      </c>
    </row>
    <row r="135" spans="1:4" x14ac:dyDescent="0.25">
      <c r="A135" t="s">
        <v>1544</v>
      </c>
      <c r="B135">
        <v>100</v>
      </c>
      <c r="C135" s="56">
        <v>42522</v>
      </c>
      <c r="D135" s="3" t="str">
        <f>YEAR(Datos_Consumo[[#This Row],[FECHA]])&amp;"-"&amp;MONTH(Datos_Consumo[[#This Row],[FECHA]])</f>
        <v>2016-6</v>
      </c>
    </row>
    <row r="136" spans="1:4" x14ac:dyDescent="0.25">
      <c r="A136" t="s">
        <v>1544</v>
      </c>
      <c r="B136">
        <v>100</v>
      </c>
      <c r="C136" s="56">
        <v>42552</v>
      </c>
      <c r="D136" s="3" t="str">
        <f>YEAR(Datos_Consumo[[#This Row],[FECHA]])&amp;"-"&amp;MONTH(Datos_Consumo[[#This Row],[FECHA]])</f>
        <v>2016-7</v>
      </c>
    </row>
    <row r="137" spans="1:4" x14ac:dyDescent="0.25">
      <c r="A137" t="s">
        <v>1544</v>
      </c>
      <c r="B137">
        <v>100</v>
      </c>
      <c r="C137" s="56">
        <v>42552</v>
      </c>
      <c r="D137" s="3" t="str">
        <f>YEAR(Datos_Consumo[[#This Row],[FECHA]])&amp;"-"&amp;MONTH(Datos_Consumo[[#This Row],[FECHA]])</f>
        <v>2016-7</v>
      </c>
    </row>
    <row r="138" spans="1:4" x14ac:dyDescent="0.25">
      <c r="A138" t="s">
        <v>1545</v>
      </c>
      <c r="B138">
        <v>3</v>
      </c>
      <c r="C138" s="56">
        <v>42491</v>
      </c>
      <c r="D138" s="3" t="str">
        <f>YEAR(Datos_Consumo[[#This Row],[FECHA]])&amp;"-"&amp;MONTH(Datos_Consumo[[#This Row],[FECHA]])</f>
        <v>2016-5</v>
      </c>
    </row>
    <row r="139" spans="1:4" x14ac:dyDescent="0.25">
      <c r="A139" t="s">
        <v>1545</v>
      </c>
      <c r="B139">
        <v>2</v>
      </c>
      <c r="C139" s="56">
        <v>42522</v>
      </c>
      <c r="D139" s="3" t="str">
        <f>YEAR(Datos_Consumo[[#This Row],[FECHA]])&amp;"-"&amp;MONTH(Datos_Consumo[[#This Row],[FECHA]])</f>
        <v>2016-6</v>
      </c>
    </row>
    <row r="140" spans="1:4" x14ac:dyDescent="0.25">
      <c r="A140" t="s">
        <v>1545</v>
      </c>
      <c r="B140">
        <v>1</v>
      </c>
      <c r="C140" s="56">
        <v>42583</v>
      </c>
      <c r="D140" s="3" t="str">
        <f>YEAR(Datos_Consumo[[#This Row],[FECHA]])&amp;"-"&amp;MONTH(Datos_Consumo[[#This Row],[FECHA]])</f>
        <v>2016-8</v>
      </c>
    </row>
    <row r="141" spans="1:4" x14ac:dyDescent="0.25">
      <c r="A141" t="s">
        <v>1546</v>
      </c>
      <c r="B141">
        <v>8</v>
      </c>
      <c r="C141" s="56">
        <v>42491</v>
      </c>
      <c r="D141" s="3" t="str">
        <f>YEAR(Datos_Consumo[[#This Row],[FECHA]])&amp;"-"&amp;MONTH(Datos_Consumo[[#This Row],[FECHA]])</f>
        <v>2016-5</v>
      </c>
    </row>
    <row r="142" spans="1:4" x14ac:dyDescent="0.25">
      <c r="A142" t="s">
        <v>1546</v>
      </c>
      <c r="B142">
        <v>1</v>
      </c>
      <c r="C142" s="56">
        <v>42522</v>
      </c>
      <c r="D142" s="3" t="str">
        <f>YEAR(Datos_Consumo[[#This Row],[FECHA]])&amp;"-"&amp;MONTH(Datos_Consumo[[#This Row],[FECHA]])</f>
        <v>2016-6</v>
      </c>
    </row>
    <row r="143" spans="1:4" x14ac:dyDescent="0.25">
      <c r="A143" t="s">
        <v>1546</v>
      </c>
      <c r="B143">
        <v>2</v>
      </c>
      <c r="C143" s="56">
        <v>42552</v>
      </c>
      <c r="D143" s="3" t="str">
        <f>YEAR(Datos_Consumo[[#This Row],[FECHA]])&amp;"-"&amp;MONTH(Datos_Consumo[[#This Row],[FECHA]])</f>
        <v>2016-7</v>
      </c>
    </row>
    <row r="144" spans="1:4" x14ac:dyDescent="0.25">
      <c r="A144" t="s">
        <v>1547</v>
      </c>
      <c r="B144">
        <v>12</v>
      </c>
      <c r="C144" s="56">
        <v>42491</v>
      </c>
      <c r="D144" s="3" t="str">
        <f>YEAR(Datos_Consumo[[#This Row],[FECHA]])&amp;"-"&amp;MONTH(Datos_Consumo[[#This Row],[FECHA]])</f>
        <v>2016-5</v>
      </c>
    </row>
    <row r="145" spans="1:4" x14ac:dyDescent="0.25">
      <c r="A145" t="s">
        <v>1547</v>
      </c>
      <c r="B145">
        <v>10</v>
      </c>
      <c r="C145" s="56">
        <v>42522</v>
      </c>
      <c r="D145" s="3" t="str">
        <f>YEAR(Datos_Consumo[[#This Row],[FECHA]])&amp;"-"&amp;MONTH(Datos_Consumo[[#This Row],[FECHA]])</f>
        <v>2016-6</v>
      </c>
    </row>
    <row r="146" spans="1:4" x14ac:dyDescent="0.25">
      <c r="A146" t="s">
        <v>1547</v>
      </c>
      <c r="B146">
        <v>4</v>
      </c>
      <c r="C146" s="56">
        <v>42552</v>
      </c>
      <c r="D146" s="3" t="str">
        <f>YEAR(Datos_Consumo[[#This Row],[FECHA]])&amp;"-"&amp;MONTH(Datos_Consumo[[#This Row],[FECHA]])</f>
        <v>2016-7</v>
      </c>
    </row>
    <row r="147" spans="1:4" x14ac:dyDescent="0.25">
      <c r="A147" t="s">
        <v>1548</v>
      </c>
      <c r="B147">
        <v>2</v>
      </c>
      <c r="C147" s="56">
        <v>42522</v>
      </c>
      <c r="D147" s="3" t="str">
        <f>YEAR(Datos_Consumo[[#This Row],[FECHA]])&amp;"-"&amp;MONTH(Datos_Consumo[[#This Row],[FECHA]])</f>
        <v>2016-6</v>
      </c>
    </row>
    <row r="148" spans="1:4" x14ac:dyDescent="0.25">
      <c r="A148" t="s">
        <v>1548</v>
      </c>
      <c r="B148">
        <v>1</v>
      </c>
      <c r="C148" s="56">
        <v>42583</v>
      </c>
      <c r="D148" s="3" t="str">
        <f>YEAR(Datos_Consumo[[#This Row],[FECHA]])&amp;"-"&amp;MONTH(Datos_Consumo[[#This Row],[FECHA]])</f>
        <v>2016-8</v>
      </c>
    </row>
    <row r="149" spans="1:4" x14ac:dyDescent="0.25">
      <c r="A149" t="s">
        <v>1549</v>
      </c>
      <c r="B149">
        <v>2</v>
      </c>
      <c r="C149" s="56">
        <v>42491</v>
      </c>
      <c r="D149" s="3" t="str">
        <f>YEAR(Datos_Consumo[[#This Row],[FECHA]])&amp;"-"&amp;MONTH(Datos_Consumo[[#This Row],[FECHA]])</f>
        <v>2016-5</v>
      </c>
    </row>
    <row r="150" spans="1:4" x14ac:dyDescent="0.25">
      <c r="A150" t="s">
        <v>1549</v>
      </c>
      <c r="B150">
        <v>7</v>
      </c>
      <c r="C150" s="56">
        <v>42522</v>
      </c>
      <c r="D150" s="3" t="str">
        <f>YEAR(Datos_Consumo[[#This Row],[FECHA]])&amp;"-"&amp;MONTH(Datos_Consumo[[#This Row],[FECHA]])</f>
        <v>2016-6</v>
      </c>
    </row>
    <row r="151" spans="1:4" x14ac:dyDescent="0.25">
      <c r="A151" t="s">
        <v>1550</v>
      </c>
      <c r="B151">
        <v>10</v>
      </c>
      <c r="C151" s="56">
        <v>42491</v>
      </c>
      <c r="D151" s="3" t="str">
        <f>YEAR(Datos_Consumo[[#This Row],[FECHA]])&amp;"-"&amp;MONTH(Datos_Consumo[[#This Row],[FECHA]])</f>
        <v>2016-5</v>
      </c>
    </row>
    <row r="152" spans="1:4" x14ac:dyDescent="0.25">
      <c r="A152" t="s">
        <v>1550</v>
      </c>
      <c r="B152">
        <v>5</v>
      </c>
      <c r="C152" s="56">
        <v>42552</v>
      </c>
      <c r="D152" s="3" t="str">
        <f>YEAR(Datos_Consumo[[#This Row],[FECHA]])&amp;"-"&amp;MONTH(Datos_Consumo[[#This Row],[FECHA]])</f>
        <v>2016-7</v>
      </c>
    </row>
    <row r="153" spans="1:4" x14ac:dyDescent="0.25">
      <c r="A153" t="s">
        <v>1550</v>
      </c>
      <c r="B153">
        <v>50</v>
      </c>
      <c r="C153" s="56">
        <v>42583</v>
      </c>
      <c r="D153" s="3" t="str">
        <f>YEAR(Datos_Consumo[[#This Row],[FECHA]])&amp;"-"&amp;MONTH(Datos_Consumo[[#This Row],[FECHA]])</f>
        <v>2016-8</v>
      </c>
    </row>
    <row r="154" spans="1:4" x14ac:dyDescent="0.25">
      <c r="A154" t="s">
        <v>1551</v>
      </c>
      <c r="B154">
        <v>1001</v>
      </c>
      <c r="C154" s="56">
        <v>42491</v>
      </c>
      <c r="D154" s="3" t="str">
        <f>YEAR(Datos_Consumo[[#This Row],[FECHA]])&amp;"-"&amp;MONTH(Datos_Consumo[[#This Row],[FECHA]])</f>
        <v>2016-5</v>
      </c>
    </row>
    <row r="155" spans="1:4" x14ac:dyDescent="0.25">
      <c r="A155" t="s">
        <v>1551</v>
      </c>
      <c r="B155">
        <v>225</v>
      </c>
      <c r="C155" s="56">
        <v>42583</v>
      </c>
      <c r="D155" s="3" t="str">
        <f>YEAR(Datos_Consumo[[#This Row],[FECHA]])&amp;"-"&amp;MONTH(Datos_Consumo[[#This Row],[FECHA]])</f>
        <v>2016-8</v>
      </c>
    </row>
    <row r="156" spans="1:4" x14ac:dyDescent="0.25">
      <c r="A156" t="s">
        <v>1552</v>
      </c>
      <c r="B156">
        <v>27</v>
      </c>
      <c r="C156" s="56">
        <v>42491</v>
      </c>
      <c r="D156" s="3" t="str">
        <f>YEAR(Datos_Consumo[[#This Row],[FECHA]])&amp;"-"&amp;MONTH(Datos_Consumo[[#This Row],[FECHA]])</f>
        <v>2016-5</v>
      </c>
    </row>
    <row r="157" spans="1:4" x14ac:dyDescent="0.25">
      <c r="A157" t="s">
        <v>1552</v>
      </c>
      <c r="B157">
        <v>115</v>
      </c>
      <c r="C157" s="56">
        <v>42522</v>
      </c>
      <c r="D157" s="3" t="str">
        <f>YEAR(Datos_Consumo[[#This Row],[FECHA]])&amp;"-"&amp;MONTH(Datos_Consumo[[#This Row],[FECHA]])</f>
        <v>2016-6</v>
      </c>
    </row>
    <row r="158" spans="1:4" x14ac:dyDescent="0.25">
      <c r="A158" t="s">
        <v>1552</v>
      </c>
      <c r="B158">
        <v>1007</v>
      </c>
      <c r="C158" s="56">
        <v>42552</v>
      </c>
      <c r="D158" s="3" t="str">
        <f>YEAR(Datos_Consumo[[#This Row],[FECHA]])&amp;"-"&amp;MONTH(Datos_Consumo[[#This Row],[FECHA]])</f>
        <v>2016-7</v>
      </c>
    </row>
    <row r="159" spans="1:4" x14ac:dyDescent="0.25">
      <c r="A159" t="s">
        <v>1552</v>
      </c>
      <c r="B159">
        <v>454</v>
      </c>
      <c r="C159" s="56">
        <v>42583</v>
      </c>
      <c r="D159" s="3" t="str">
        <f>YEAR(Datos_Consumo[[#This Row],[FECHA]])&amp;"-"&amp;MONTH(Datos_Consumo[[#This Row],[FECHA]])</f>
        <v>2016-8</v>
      </c>
    </row>
    <row r="160" spans="1:4" x14ac:dyDescent="0.25">
      <c r="A160" t="s">
        <v>1553</v>
      </c>
      <c r="B160">
        <v>5</v>
      </c>
      <c r="C160" s="56">
        <v>42491</v>
      </c>
      <c r="D160" s="3" t="str">
        <f>YEAR(Datos_Consumo[[#This Row],[FECHA]])&amp;"-"&amp;MONTH(Datos_Consumo[[#This Row],[FECHA]])</f>
        <v>2016-5</v>
      </c>
    </row>
    <row r="161" spans="1:4" x14ac:dyDescent="0.25">
      <c r="A161" t="s">
        <v>1553</v>
      </c>
      <c r="B161">
        <v>1</v>
      </c>
      <c r="C161" s="56">
        <v>42552</v>
      </c>
      <c r="D161" s="3" t="str">
        <f>YEAR(Datos_Consumo[[#This Row],[FECHA]])&amp;"-"&amp;MONTH(Datos_Consumo[[#This Row],[FECHA]])</f>
        <v>2016-7</v>
      </c>
    </row>
    <row r="162" spans="1:4" x14ac:dyDescent="0.25">
      <c r="A162" t="s">
        <v>1553</v>
      </c>
      <c r="B162">
        <v>4</v>
      </c>
      <c r="C162" s="56">
        <v>42583</v>
      </c>
      <c r="D162" s="3" t="str">
        <f>YEAR(Datos_Consumo[[#This Row],[FECHA]])&amp;"-"&amp;MONTH(Datos_Consumo[[#This Row],[FECHA]])</f>
        <v>2016-8</v>
      </c>
    </row>
    <row r="163" spans="1:4" x14ac:dyDescent="0.25">
      <c r="A163" t="s">
        <v>1554</v>
      </c>
      <c r="B163">
        <v>1</v>
      </c>
      <c r="C163" s="56">
        <v>42491</v>
      </c>
      <c r="D163" s="3" t="str">
        <f>YEAR(Datos_Consumo[[#This Row],[FECHA]])&amp;"-"&amp;MONTH(Datos_Consumo[[#This Row],[FECHA]])</f>
        <v>2016-5</v>
      </c>
    </row>
    <row r="164" spans="1:4" x14ac:dyDescent="0.25">
      <c r="A164" t="s">
        <v>1554</v>
      </c>
      <c r="B164">
        <v>42</v>
      </c>
      <c r="C164" s="56">
        <v>42522</v>
      </c>
      <c r="D164" s="3" t="str">
        <f>YEAR(Datos_Consumo[[#This Row],[FECHA]])&amp;"-"&amp;MONTH(Datos_Consumo[[#This Row],[FECHA]])</f>
        <v>2016-6</v>
      </c>
    </row>
    <row r="165" spans="1:4" x14ac:dyDescent="0.25">
      <c r="A165" t="s">
        <v>1554</v>
      </c>
      <c r="B165">
        <v>42</v>
      </c>
      <c r="C165" s="56">
        <v>42583</v>
      </c>
      <c r="D165" s="3" t="str">
        <f>YEAR(Datos_Consumo[[#This Row],[FECHA]])&amp;"-"&amp;MONTH(Datos_Consumo[[#This Row],[FECHA]])</f>
        <v>2016-8</v>
      </c>
    </row>
    <row r="166" spans="1:4" x14ac:dyDescent="0.25">
      <c r="A166" t="s">
        <v>1555</v>
      </c>
      <c r="B166">
        <v>7</v>
      </c>
      <c r="C166" s="56">
        <v>42491</v>
      </c>
      <c r="D166" s="3" t="str">
        <f>YEAR(Datos_Consumo[[#This Row],[FECHA]])&amp;"-"&amp;MONTH(Datos_Consumo[[#This Row],[FECHA]])</f>
        <v>2016-5</v>
      </c>
    </row>
    <row r="167" spans="1:4" x14ac:dyDescent="0.25">
      <c r="A167" t="s">
        <v>1555</v>
      </c>
      <c r="B167">
        <v>90</v>
      </c>
      <c r="C167" s="56">
        <v>42522</v>
      </c>
      <c r="D167" s="3" t="str">
        <f>YEAR(Datos_Consumo[[#This Row],[FECHA]])&amp;"-"&amp;MONTH(Datos_Consumo[[#This Row],[FECHA]])</f>
        <v>2016-6</v>
      </c>
    </row>
    <row r="168" spans="1:4" x14ac:dyDescent="0.25">
      <c r="A168" t="s">
        <v>1555</v>
      </c>
      <c r="B168">
        <v>1</v>
      </c>
      <c r="C168" s="56">
        <v>42552</v>
      </c>
      <c r="D168" s="3" t="str">
        <f>YEAR(Datos_Consumo[[#This Row],[FECHA]])&amp;"-"&amp;MONTH(Datos_Consumo[[#This Row],[FECHA]])</f>
        <v>2016-7</v>
      </c>
    </row>
    <row r="169" spans="1:4" x14ac:dyDescent="0.25">
      <c r="A169" t="s">
        <v>1555</v>
      </c>
      <c r="B169">
        <v>133</v>
      </c>
      <c r="C169" s="56">
        <v>42583</v>
      </c>
      <c r="D169" s="3" t="str">
        <f>YEAR(Datos_Consumo[[#This Row],[FECHA]])&amp;"-"&amp;MONTH(Datos_Consumo[[#This Row],[FECHA]])</f>
        <v>2016-8</v>
      </c>
    </row>
    <row r="170" spans="1:4" x14ac:dyDescent="0.25">
      <c r="A170" t="s">
        <v>1556</v>
      </c>
      <c r="B170">
        <v>51</v>
      </c>
      <c r="C170" s="56">
        <v>42491</v>
      </c>
      <c r="D170" s="3" t="str">
        <f>YEAR(Datos_Consumo[[#This Row],[FECHA]])&amp;"-"&amp;MONTH(Datos_Consumo[[#This Row],[FECHA]])</f>
        <v>2016-5</v>
      </c>
    </row>
    <row r="171" spans="1:4" x14ac:dyDescent="0.25">
      <c r="A171" t="s">
        <v>1556</v>
      </c>
      <c r="B171">
        <v>87</v>
      </c>
      <c r="C171" s="56">
        <v>42522</v>
      </c>
      <c r="D171" s="3" t="str">
        <f>YEAR(Datos_Consumo[[#This Row],[FECHA]])&amp;"-"&amp;MONTH(Datos_Consumo[[#This Row],[FECHA]])</f>
        <v>2016-6</v>
      </c>
    </row>
    <row r="172" spans="1:4" x14ac:dyDescent="0.25">
      <c r="A172" t="s">
        <v>1556</v>
      </c>
      <c r="B172">
        <v>603</v>
      </c>
      <c r="C172" s="56">
        <v>42552</v>
      </c>
      <c r="D172" s="3" t="str">
        <f>YEAR(Datos_Consumo[[#This Row],[FECHA]])&amp;"-"&amp;MONTH(Datos_Consumo[[#This Row],[FECHA]])</f>
        <v>2016-7</v>
      </c>
    </row>
    <row r="173" spans="1:4" x14ac:dyDescent="0.25">
      <c r="A173" t="s">
        <v>1556</v>
      </c>
      <c r="B173">
        <v>252</v>
      </c>
      <c r="C173" s="56">
        <v>42583</v>
      </c>
      <c r="D173" s="3" t="str">
        <f>YEAR(Datos_Consumo[[#This Row],[FECHA]])&amp;"-"&amp;MONTH(Datos_Consumo[[#This Row],[FECHA]])</f>
        <v>2016-8</v>
      </c>
    </row>
    <row r="174" spans="1:4" x14ac:dyDescent="0.25">
      <c r="A174" t="s">
        <v>1557</v>
      </c>
      <c r="B174">
        <v>6</v>
      </c>
      <c r="C174" s="56">
        <v>42522</v>
      </c>
      <c r="D174" s="3" t="str">
        <f>YEAR(Datos_Consumo[[#This Row],[FECHA]])&amp;"-"&amp;MONTH(Datos_Consumo[[#This Row],[FECHA]])</f>
        <v>2016-6</v>
      </c>
    </row>
    <row r="175" spans="1:4" x14ac:dyDescent="0.25">
      <c r="A175" t="s">
        <v>1557</v>
      </c>
      <c r="B175">
        <v>5</v>
      </c>
      <c r="C175" s="56">
        <v>42583</v>
      </c>
      <c r="D175" s="3" t="str">
        <f>YEAR(Datos_Consumo[[#This Row],[FECHA]])&amp;"-"&amp;MONTH(Datos_Consumo[[#This Row],[FECHA]])</f>
        <v>2016-8</v>
      </c>
    </row>
    <row r="176" spans="1:4" x14ac:dyDescent="0.25">
      <c r="A176" t="s">
        <v>1558</v>
      </c>
      <c r="B176">
        <v>1009</v>
      </c>
      <c r="C176" s="56">
        <v>42491</v>
      </c>
      <c r="D176" s="3" t="str">
        <f>YEAR(Datos_Consumo[[#This Row],[FECHA]])&amp;"-"&amp;MONTH(Datos_Consumo[[#This Row],[FECHA]])</f>
        <v>2016-5</v>
      </c>
    </row>
    <row r="177" spans="1:4" x14ac:dyDescent="0.25">
      <c r="A177" t="s">
        <v>1558</v>
      </c>
      <c r="B177">
        <v>108</v>
      </c>
      <c r="C177" s="56">
        <v>42522</v>
      </c>
      <c r="D177" s="3" t="str">
        <f>YEAR(Datos_Consumo[[#This Row],[FECHA]])&amp;"-"&amp;MONTH(Datos_Consumo[[#This Row],[FECHA]])</f>
        <v>2016-6</v>
      </c>
    </row>
    <row r="178" spans="1:4" x14ac:dyDescent="0.25">
      <c r="A178" t="s">
        <v>1558</v>
      </c>
      <c r="B178">
        <v>619</v>
      </c>
      <c r="C178" s="56">
        <v>42552</v>
      </c>
      <c r="D178" s="3" t="str">
        <f>YEAR(Datos_Consumo[[#This Row],[FECHA]])&amp;"-"&amp;MONTH(Datos_Consumo[[#This Row],[FECHA]])</f>
        <v>2016-7</v>
      </c>
    </row>
    <row r="179" spans="1:4" x14ac:dyDescent="0.25">
      <c r="A179" t="s">
        <v>1558</v>
      </c>
      <c r="B179">
        <v>166</v>
      </c>
      <c r="C179" s="56">
        <v>42583</v>
      </c>
      <c r="D179" s="3" t="str">
        <f>YEAR(Datos_Consumo[[#This Row],[FECHA]])&amp;"-"&amp;MONTH(Datos_Consumo[[#This Row],[FECHA]])</f>
        <v>2016-8</v>
      </c>
    </row>
    <row r="180" spans="1:4" x14ac:dyDescent="0.25">
      <c r="A180" t="s">
        <v>1558</v>
      </c>
      <c r="B180">
        <v>4004</v>
      </c>
      <c r="C180" s="56">
        <v>42614</v>
      </c>
      <c r="D180" s="3" t="str">
        <f>YEAR(Datos_Consumo[[#This Row],[FECHA]])&amp;"-"&amp;MONTH(Datos_Consumo[[#This Row],[FECHA]])</f>
        <v>2016-9</v>
      </c>
    </row>
    <row r="181" spans="1:4" x14ac:dyDescent="0.25">
      <c r="A181" t="s">
        <v>1559</v>
      </c>
      <c r="B181">
        <v>10</v>
      </c>
      <c r="C181" s="56">
        <v>42491</v>
      </c>
      <c r="D181" s="3" t="str">
        <f>YEAR(Datos_Consumo[[#This Row],[FECHA]])&amp;"-"&amp;MONTH(Datos_Consumo[[#This Row],[FECHA]])</f>
        <v>2016-5</v>
      </c>
    </row>
    <row r="182" spans="1:4" x14ac:dyDescent="0.25">
      <c r="A182" t="s">
        <v>1559</v>
      </c>
      <c r="B182">
        <v>3</v>
      </c>
      <c r="C182" s="56">
        <v>42522</v>
      </c>
      <c r="D182" s="3" t="str">
        <f>YEAR(Datos_Consumo[[#This Row],[FECHA]])&amp;"-"&amp;MONTH(Datos_Consumo[[#This Row],[FECHA]])</f>
        <v>2016-6</v>
      </c>
    </row>
    <row r="183" spans="1:4" x14ac:dyDescent="0.25">
      <c r="A183" t="s">
        <v>1559</v>
      </c>
      <c r="B183">
        <v>1</v>
      </c>
      <c r="C183" s="56">
        <v>42583</v>
      </c>
      <c r="D183" s="3" t="str">
        <f>YEAR(Datos_Consumo[[#This Row],[FECHA]])&amp;"-"&amp;MONTH(Datos_Consumo[[#This Row],[FECHA]])</f>
        <v>2016-8</v>
      </c>
    </row>
    <row r="184" spans="1:4" x14ac:dyDescent="0.25">
      <c r="A184" t="s">
        <v>1560</v>
      </c>
      <c r="B184">
        <v>1</v>
      </c>
      <c r="C184" s="56">
        <v>42522</v>
      </c>
      <c r="D184" s="3" t="str">
        <f>YEAR(Datos_Consumo[[#This Row],[FECHA]])&amp;"-"&amp;MONTH(Datos_Consumo[[#This Row],[FECHA]])</f>
        <v>2016-6</v>
      </c>
    </row>
    <row r="185" spans="1:4" x14ac:dyDescent="0.25">
      <c r="A185" t="s">
        <v>1561</v>
      </c>
      <c r="B185">
        <v>6</v>
      </c>
      <c r="C185" s="56">
        <v>42491</v>
      </c>
      <c r="D185" s="3" t="str">
        <f>YEAR(Datos_Consumo[[#This Row],[FECHA]])&amp;"-"&amp;MONTH(Datos_Consumo[[#This Row],[FECHA]])</f>
        <v>2016-5</v>
      </c>
    </row>
    <row r="186" spans="1:4" x14ac:dyDescent="0.25">
      <c r="A186" t="s">
        <v>1561</v>
      </c>
      <c r="B186">
        <v>1</v>
      </c>
      <c r="C186" s="56">
        <v>42522</v>
      </c>
      <c r="D186" s="3" t="str">
        <f>YEAR(Datos_Consumo[[#This Row],[FECHA]])&amp;"-"&amp;MONTH(Datos_Consumo[[#This Row],[FECHA]])</f>
        <v>2016-6</v>
      </c>
    </row>
    <row r="187" spans="1:4" x14ac:dyDescent="0.25">
      <c r="A187" t="s">
        <v>1561</v>
      </c>
      <c r="B187">
        <v>1</v>
      </c>
      <c r="C187" s="56">
        <v>42552</v>
      </c>
      <c r="D187" s="3" t="str">
        <f>YEAR(Datos_Consumo[[#This Row],[FECHA]])&amp;"-"&amp;MONTH(Datos_Consumo[[#This Row],[FECHA]])</f>
        <v>2016-7</v>
      </c>
    </row>
    <row r="188" spans="1:4" x14ac:dyDescent="0.25">
      <c r="A188" t="s">
        <v>1561</v>
      </c>
      <c r="B188">
        <v>6</v>
      </c>
      <c r="C188" s="56">
        <v>42583</v>
      </c>
      <c r="D188" s="3" t="str">
        <f>YEAR(Datos_Consumo[[#This Row],[FECHA]])&amp;"-"&amp;MONTH(Datos_Consumo[[#This Row],[FECHA]])</f>
        <v>2016-8</v>
      </c>
    </row>
    <row r="189" spans="1:4" x14ac:dyDescent="0.25">
      <c r="A189" t="s">
        <v>1562</v>
      </c>
      <c r="B189">
        <v>27</v>
      </c>
      <c r="C189" s="56">
        <v>42491</v>
      </c>
      <c r="D189" s="3" t="str">
        <f>YEAR(Datos_Consumo[[#This Row],[FECHA]])&amp;"-"&amp;MONTH(Datos_Consumo[[#This Row],[FECHA]])</f>
        <v>2016-5</v>
      </c>
    </row>
    <row r="190" spans="1:4" x14ac:dyDescent="0.25">
      <c r="A190" t="s">
        <v>1562</v>
      </c>
      <c r="B190">
        <v>32</v>
      </c>
      <c r="C190" s="56">
        <v>42522</v>
      </c>
      <c r="D190" s="3" t="str">
        <f>YEAR(Datos_Consumo[[#This Row],[FECHA]])&amp;"-"&amp;MONTH(Datos_Consumo[[#This Row],[FECHA]])</f>
        <v>2016-6</v>
      </c>
    </row>
    <row r="191" spans="1:4" x14ac:dyDescent="0.25">
      <c r="A191" t="s">
        <v>1562</v>
      </c>
      <c r="B191">
        <v>10</v>
      </c>
      <c r="C191" s="56">
        <v>42552</v>
      </c>
      <c r="D191" s="3" t="str">
        <f>YEAR(Datos_Consumo[[#This Row],[FECHA]])&amp;"-"&amp;MONTH(Datos_Consumo[[#This Row],[FECHA]])</f>
        <v>2016-7</v>
      </c>
    </row>
    <row r="192" spans="1:4" x14ac:dyDescent="0.25">
      <c r="A192" t="s">
        <v>1562</v>
      </c>
      <c r="B192">
        <v>21</v>
      </c>
      <c r="C192" s="56">
        <v>42583</v>
      </c>
      <c r="D192" s="3" t="str">
        <f>YEAR(Datos_Consumo[[#This Row],[FECHA]])&amp;"-"&amp;MONTH(Datos_Consumo[[#This Row],[FECHA]])</f>
        <v>2016-8</v>
      </c>
    </row>
    <row r="193" spans="1:4" x14ac:dyDescent="0.25">
      <c r="A193" t="s">
        <v>1562</v>
      </c>
      <c r="B193">
        <v>4000</v>
      </c>
      <c r="C193" s="56">
        <v>42614</v>
      </c>
      <c r="D193" s="3" t="str">
        <f>YEAR(Datos_Consumo[[#This Row],[FECHA]])&amp;"-"&amp;MONTH(Datos_Consumo[[#This Row],[FECHA]])</f>
        <v>2016-9</v>
      </c>
    </row>
    <row r="194" spans="1:4" x14ac:dyDescent="0.25">
      <c r="A194" t="s">
        <v>1563</v>
      </c>
      <c r="B194">
        <v>3</v>
      </c>
      <c r="C194" s="56">
        <v>42491</v>
      </c>
      <c r="D194" s="3" t="str">
        <f>YEAR(Datos_Consumo[[#This Row],[FECHA]])&amp;"-"&amp;MONTH(Datos_Consumo[[#This Row],[FECHA]])</f>
        <v>2016-5</v>
      </c>
    </row>
    <row r="195" spans="1:4" x14ac:dyDescent="0.25">
      <c r="A195" t="s">
        <v>1563</v>
      </c>
      <c r="B195">
        <v>1</v>
      </c>
      <c r="C195" s="56">
        <v>42522</v>
      </c>
      <c r="D195" s="3" t="str">
        <f>YEAR(Datos_Consumo[[#This Row],[FECHA]])&amp;"-"&amp;MONTH(Datos_Consumo[[#This Row],[FECHA]])</f>
        <v>2016-6</v>
      </c>
    </row>
    <row r="196" spans="1:4" x14ac:dyDescent="0.25">
      <c r="A196" t="s">
        <v>1563</v>
      </c>
      <c r="B196">
        <v>1</v>
      </c>
      <c r="C196" s="56">
        <v>42552</v>
      </c>
      <c r="D196" s="3" t="str">
        <f>YEAR(Datos_Consumo[[#This Row],[FECHA]])&amp;"-"&amp;MONTH(Datos_Consumo[[#This Row],[FECHA]])</f>
        <v>2016-7</v>
      </c>
    </row>
    <row r="197" spans="1:4" x14ac:dyDescent="0.25">
      <c r="A197" t="s">
        <v>1563</v>
      </c>
      <c r="B197">
        <v>450</v>
      </c>
      <c r="C197" s="56">
        <v>42583</v>
      </c>
      <c r="D197" s="3" t="str">
        <f>YEAR(Datos_Consumo[[#This Row],[FECHA]])&amp;"-"&amp;MONTH(Datos_Consumo[[#This Row],[FECHA]])</f>
        <v>2016-8</v>
      </c>
    </row>
    <row r="198" spans="1:4" x14ac:dyDescent="0.25">
      <c r="A198" t="s">
        <v>2405</v>
      </c>
      <c r="B198">
        <v>1</v>
      </c>
      <c r="C198" s="56">
        <v>42522</v>
      </c>
      <c r="D198" s="3" t="str">
        <f>YEAR(Datos_Consumo[[#This Row],[FECHA]])&amp;"-"&amp;MONTH(Datos_Consumo[[#This Row],[FECHA]])</f>
        <v>2016-6</v>
      </c>
    </row>
    <row r="199" spans="1:4" x14ac:dyDescent="0.25">
      <c r="A199" t="s">
        <v>1564</v>
      </c>
      <c r="B199">
        <v>2500</v>
      </c>
      <c r="C199" s="56">
        <v>42491</v>
      </c>
      <c r="D199" s="3" t="str">
        <f>YEAR(Datos_Consumo[[#This Row],[FECHA]])&amp;"-"&amp;MONTH(Datos_Consumo[[#This Row],[FECHA]])</f>
        <v>2016-5</v>
      </c>
    </row>
    <row r="200" spans="1:4" x14ac:dyDescent="0.25">
      <c r="A200" t="s">
        <v>1564</v>
      </c>
      <c r="B200">
        <v>2500</v>
      </c>
      <c r="C200" s="56">
        <v>42491</v>
      </c>
      <c r="D200" s="3" t="str">
        <f>YEAR(Datos_Consumo[[#This Row],[FECHA]])&amp;"-"&amp;MONTH(Datos_Consumo[[#This Row],[FECHA]])</f>
        <v>2016-5</v>
      </c>
    </row>
    <row r="201" spans="1:4" x14ac:dyDescent="0.25">
      <c r="A201" t="s">
        <v>1564</v>
      </c>
      <c r="B201">
        <v>1</v>
      </c>
      <c r="C201" s="56">
        <v>42522</v>
      </c>
      <c r="D201" s="3" t="str">
        <f>YEAR(Datos_Consumo[[#This Row],[FECHA]])&amp;"-"&amp;MONTH(Datos_Consumo[[#This Row],[FECHA]])</f>
        <v>2016-6</v>
      </c>
    </row>
    <row r="202" spans="1:4" x14ac:dyDescent="0.25">
      <c r="A202" t="s">
        <v>1564</v>
      </c>
      <c r="B202">
        <v>5</v>
      </c>
      <c r="C202" s="56">
        <v>42583</v>
      </c>
      <c r="D202" s="3" t="str">
        <f>YEAR(Datos_Consumo[[#This Row],[FECHA]])&amp;"-"&amp;MONTH(Datos_Consumo[[#This Row],[FECHA]])</f>
        <v>2016-8</v>
      </c>
    </row>
    <row r="203" spans="1:4" x14ac:dyDescent="0.25">
      <c r="A203" t="s">
        <v>1565</v>
      </c>
      <c r="B203">
        <v>2334</v>
      </c>
      <c r="C203" s="56">
        <v>42491</v>
      </c>
      <c r="D203" s="3" t="str">
        <f>YEAR(Datos_Consumo[[#This Row],[FECHA]])&amp;"-"&amp;MONTH(Datos_Consumo[[#This Row],[FECHA]])</f>
        <v>2016-5</v>
      </c>
    </row>
    <row r="204" spans="1:4" x14ac:dyDescent="0.25">
      <c r="A204" t="s">
        <v>1565</v>
      </c>
      <c r="B204">
        <v>2344</v>
      </c>
      <c r="C204" s="56">
        <v>42491</v>
      </c>
      <c r="D204" s="3" t="str">
        <f>YEAR(Datos_Consumo[[#This Row],[FECHA]])&amp;"-"&amp;MONTH(Datos_Consumo[[#This Row],[FECHA]])</f>
        <v>2016-5</v>
      </c>
    </row>
    <row r="205" spans="1:4" x14ac:dyDescent="0.25">
      <c r="A205" t="s">
        <v>1565</v>
      </c>
      <c r="B205">
        <v>23</v>
      </c>
      <c r="C205" s="56">
        <v>42522</v>
      </c>
      <c r="D205" s="3" t="str">
        <f>YEAR(Datos_Consumo[[#This Row],[FECHA]])&amp;"-"&amp;MONTH(Datos_Consumo[[#This Row],[FECHA]])</f>
        <v>2016-6</v>
      </c>
    </row>
    <row r="206" spans="1:4" x14ac:dyDescent="0.25">
      <c r="A206" t="s">
        <v>1565</v>
      </c>
      <c r="B206">
        <v>6</v>
      </c>
      <c r="C206" s="56">
        <v>42583</v>
      </c>
      <c r="D206" s="3" t="str">
        <f>YEAR(Datos_Consumo[[#This Row],[FECHA]])&amp;"-"&amp;MONTH(Datos_Consumo[[#This Row],[FECHA]])</f>
        <v>2016-8</v>
      </c>
    </row>
    <row r="207" spans="1:4" x14ac:dyDescent="0.25">
      <c r="A207" t="s">
        <v>1565</v>
      </c>
      <c r="B207">
        <v>5</v>
      </c>
      <c r="C207" s="56">
        <v>42614</v>
      </c>
      <c r="D207" s="3" t="str">
        <f>YEAR(Datos_Consumo[[#This Row],[FECHA]])&amp;"-"&amp;MONTH(Datos_Consumo[[#This Row],[FECHA]])</f>
        <v>2016-9</v>
      </c>
    </row>
    <row r="208" spans="1:4" x14ac:dyDescent="0.25">
      <c r="A208" t="s">
        <v>1566</v>
      </c>
      <c r="B208">
        <v>335</v>
      </c>
      <c r="C208" s="56">
        <v>42491</v>
      </c>
      <c r="D208" s="3" t="str">
        <f>YEAR(Datos_Consumo[[#This Row],[FECHA]])&amp;"-"&amp;MONTH(Datos_Consumo[[#This Row],[FECHA]])</f>
        <v>2016-5</v>
      </c>
    </row>
    <row r="209" spans="1:4" x14ac:dyDescent="0.25">
      <c r="A209" t="s">
        <v>1566</v>
      </c>
      <c r="B209">
        <v>2000</v>
      </c>
      <c r="C209" s="56">
        <v>42583</v>
      </c>
      <c r="D209" s="3" t="str">
        <f>YEAR(Datos_Consumo[[#This Row],[FECHA]])&amp;"-"&amp;MONTH(Datos_Consumo[[#This Row],[FECHA]])</f>
        <v>2016-8</v>
      </c>
    </row>
    <row r="210" spans="1:4" x14ac:dyDescent="0.25">
      <c r="A210" t="s">
        <v>1567</v>
      </c>
      <c r="B210">
        <v>1</v>
      </c>
      <c r="C210" s="56">
        <v>42583</v>
      </c>
      <c r="D210" s="3" t="str">
        <f>YEAR(Datos_Consumo[[#This Row],[FECHA]])&amp;"-"&amp;MONTH(Datos_Consumo[[#This Row],[FECHA]])</f>
        <v>2016-8</v>
      </c>
    </row>
    <row r="211" spans="1:4" x14ac:dyDescent="0.25">
      <c r="A211" t="s">
        <v>1568</v>
      </c>
      <c r="B211">
        <v>4</v>
      </c>
      <c r="C211" s="56">
        <v>42491</v>
      </c>
      <c r="D211" s="3" t="str">
        <f>YEAR(Datos_Consumo[[#This Row],[FECHA]])&amp;"-"&amp;MONTH(Datos_Consumo[[#This Row],[FECHA]])</f>
        <v>2016-5</v>
      </c>
    </row>
    <row r="212" spans="1:4" x14ac:dyDescent="0.25">
      <c r="A212" t="s">
        <v>1568</v>
      </c>
      <c r="B212">
        <v>1</v>
      </c>
      <c r="C212" s="56">
        <v>42522</v>
      </c>
      <c r="D212" s="3" t="str">
        <f>YEAR(Datos_Consumo[[#This Row],[FECHA]])&amp;"-"&amp;MONTH(Datos_Consumo[[#This Row],[FECHA]])</f>
        <v>2016-6</v>
      </c>
    </row>
    <row r="213" spans="1:4" x14ac:dyDescent="0.25">
      <c r="A213" t="s">
        <v>1568</v>
      </c>
      <c r="B213">
        <v>7</v>
      </c>
      <c r="C213" s="56">
        <v>42552</v>
      </c>
      <c r="D213" s="3" t="str">
        <f>YEAR(Datos_Consumo[[#This Row],[FECHA]])&amp;"-"&amp;MONTH(Datos_Consumo[[#This Row],[FECHA]])</f>
        <v>2016-7</v>
      </c>
    </row>
    <row r="214" spans="1:4" x14ac:dyDescent="0.25">
      <c r="A214" t="s">
        <v>1568</v>
      </c>
      <c r="B214">
        <v>500</v>
      </c>
      <c r="C214" s="56">
        <v>42583</v>
      </c>
      <c r="D214" s="3" t="str">
        <f>YEAR(Datos_Consumo[[#This Row],[FECHA]])&amp;"-"&amp;MONTH(Datos_Consumo[[#This Row],[FECHA]])</f>
        <v>2016-8</v>
      </c>
    </row>
    <row r="215" spans="1:4" x14ac:dyDescent="0.25">
      <c r="A215" t="s">
        <v>1569</v>
      </c>
      <c r="B215">
        <v>14</v>
      </c>
      <c r="C215" s="56">
        <v>42491</v>
      </c>
      <c r="D215" s="3" t="str">
        <f>YEAR(Datos_Consumo[[#This Row],[FECHA]])&amp;"-"&amp;MONTH(Datos_Consumo[[#This Row],[FECHA]])</f>
        <v>2016-5</v>
      </c>
    </row>
    <row r="216" spans="1:4" x14ac:dyDescent="0.25">
      <c r="A216" t="s">
        <v>1569</v>
      </c>
      <c r="B216">
        <v>11</v>
      </c>
      <c r="C216" s="56">
        <v>42522</v>
      </c>
      <c r="D216" s="3" t="str">
        <f>YEAR(Datos_Consumo[[#This Row],[FECHA]])&amp;"-"&amp;MONTH(Datos_Consumo[[#This Row],[FECHA]])</f>
        <v>2016-6</v>
      </c>
    </row>
    <row r="217" spans="1:4" x14ac:dyDescent="0.25">
      <c r="A217" t="s">
        <v>1569</v>
      </c>
      <c r="B217">
        <v>55</v>
      </c>
      <c r="C217" s="56">
        <v>42552</v>
      </c>
      <c r="D217" s="3" t="str">
        <f>YEAR(Datos_Consumo[[#This Row],[FECHA]])&amp;"-"&amp;MONTH(Datos_Consumo[[#This Row],[FECHA]])</f>
        <v>2016-7</v>
      </c>
    </row>
    <row r="218" spans="1:4" x14ac:dyDescent="0.25">
      <c r="A218" t="s">
        <v>1569</v>
      </c>
      <c r="B218">
        <v>39</v>
      </c>
      <c r="C218" s="56">
        <v>42583</v>
      </c>
      <c r="D218" s="3" t="str">
        <f>YEAR(Datos_Consumo[[#This Row],[FECHA]])&amp;"-"&amp;MONTH(Datos_Consumo[[#This Row],[FECHA]])</f>
        <v>2016-8</v>
      </c>
    </row>
    <row r="219" spans="1:4" x14ac:dyDescent="0.25">
      <c r="A219" t="s">
        <v>1569</v>
      </c>
      <c r="B219">
        <v>6</v>
      </c>
      <c r="C219" s="56">
        <v>42614</v>
      </c>
      <c r="D219" s="3" t="str">
        <f>YEAR(Datos_Consumo[[#This Row],[FECHA]])&amp;"-"&amp;MONTH(Datos_Consumo[[#This Row],[FECHA]])</f>
        <v>2016-9</v>
      </c>
    </row>
    <row r="220" spans="1:4" x14ac:dyDescent="0.25">
      <c r="A220" t="s">
        <v>1570</v>
      </c>
      <c r="B220">
        <v>217</v>
      </c>
      <c r="C220" s="56">
        <v>42491</v>
      </c>
      <c r="D220" s="3" t="str">
        <f>YEAR(Datos_Consumo[[#This Row],[FECHA]])&amp;"-"&amp;MONTH(Datos_Consumo[[#This Row],[FECHA]])</f>
        <v>2016-5</v>
      </c>
    </row>
    <row r="221" spans="1:4" x14ac:dyDescent="0.25">
      <c r="A221" t="s">
        <v>1570</v>
      </c>
      <c r="B221">
        <v>31</v>
      </c>
      <c r="C221" s="56">
        <v>42522</v>
      </c>
      <c r="D221" s="3" t="str">
        <f>YEAR(Datos_Consumo[[#This Row],[FECHA]])&amp;"-"&amp;MONTH(Datos_Consumo[[#This Row],[FECHA]])</f>
        <v>2016-6</v>
      </c>
    </row>
    <row r="222" spans="1:4" x14ac:dyDescent="0.25">
      <c r="A222" t="s">
        <v>1570</v>
      </c>
      <c r="B222">
        <v>4</v>
      </c>
      <c r="C222" s="56">
        <v>42552</v>
      </c>
      <c r="D222" s="3" t="str">
        <f>YEAR(Datos_Consumo[[#This Row],[FECHA]])&amp;"-"&amp;MONTH(Datos_Consumo[[#This Row],[FECHA]])</f>
        <v>2016-7</v>
      </c>
    </row>
    <row r="223" spans="1:4" x14ac:dyDescent="0.25">
      <c r="A223" t="s">
        <v>1570</v>
      </c>
      <c r="B223">
        <v>214</v>
      </c>
      <c r="C223" s="56">
        <v>42583</v>
      </c>
      <c r="D223" s="3" t="str">
        <f>YEAR(Datos_Consumo[[#This Row],[FECHA]])&amp;"-"&amp;MONTH(Datos_Consumo[[#This Row],[FECHA]])</f>
        <v>2016-8</v>
      </c>
    </row>
    <row r="224" spans="1:4" x14ac:dyDescent="0.25">
      <c r="A224" t="s">
        <v>1570</v>
      </c>
      <c r="B224">
        <v>10</v>
      </c>
      <c r="C224" s="56">
        <v>42614</v>
      </c>
      <c r="D224" s="3" t="str">
        <f>YEAR(Datos_Consumo[[#This Row],[FECHA]])&amp;"-"&amp;MONTH(Datos_Consumo[[#This Row],[FECHA]])</f>
        <v>2016-9</v>
      </c>
    </row>
    <row r="225" spans="1:4" x14ac:dyDescent="0.25">
      <c r="A225" t="s">
        <v>1571</v>
      </c>
      <c r="B225">
        <v>13</v>
      </c>
      <c r="C225" s="56">
        <v>42491</v>
      </c>
      <c r="D225" s="3" t="str">
        <f>YEAR(Datos_Consumo[[#This Row],[FECHA]])&amp;"-"&amp;MONTH(Datos_Consumo[[#This Row],[FECHA]])</f>
        <v>2016-5</v>
      </c>
    </row>
    <row r="226" spans="1:4" x14ac:dyDescent="0.25">
      <c r="A226" t="s">
        <v>1571</v>
      </c>
      <c r="B226">
        <v>3</v>
      </c>
      <c r="C226" s="56">
        <v>42522</v>
      </c>
      <c r="D226" s="3" t="str">
        <f>YEAR(Datos_Consumo[[#This Row],[FECHA]])&amp;"-"&amp;MONTH(Datos_Consumo[[#This Row],[FECHA]])</f>
        <v>2016-6</v>
      </c>
    </row>
    <row r="227" spans="1:4" x14ac:dyDescent="0.25">
      <c r="A227" t="s">
        <v>1571</v>
      </c>
      <c r="B227">
        <v>14</v>
      </c>
      <c r="C227" s="56">
        <v>42552</v>
      </c>
      <c r="D227" s="3" t="str">
        <f>YEAR(Datos_Consumo[[#This Row],[FECHA]])&amp;"-"&amp;MONTH(Datos_Consumo[[#This Row],[FECHA]])</f>
        <v>2016-7</v>
      </c>
    </row>
    <row r="228" spans="1:4" x14ac:dyDescent="0.25">
      <c r="A228" t="s">
        <v>1571</v>
      </c>
      <c r="B228">
        <v>8</v>
      </c>
      <c r="C228" s="56">
        <v>42583</v>
      </c>
      <c r="D228" s="3" t="str">
        <f>YEAR(Datos_Consumo[[#This Row],[FECHA]])&amp;"-"&amp;MONTH(Datos_Consumo[[#This Row],[FECHA]])</f>
        <v>2016-8</v>
      </c>
    </row>
    <row r="229" spans="1:4" x14ac:dyDescent="0.25">
      <c r="A229" t="s">
        <v>1571</v>
      </c>
      <c r="B229">
        <v>5</v>
      </c>
      <c r="C229" s="56">
        <v>42614</v>
      </c>
      <c r="D229" s="3" t="str">
        <f>YEAR(Datos_Consumo[[#This Row],[FECHA]])&amp;"-"&amp;MONTH(Datos_Consumo[[#This Row],[FECHA]])</f>
        <v>2016-9</v>
      </c>
    </row>
    <row r="230" spans="1:4" x14ac:dyDescent="0.25">
      <c r="A230" t="s">
        <v>1572</v>
      </c>
      <c r="B230">
        <v>9</v>
      </c>
      <c r="C230" s="56">
        <v>42491</v>
      </c>
      <c r="D230" s="3" t="str">
        <f>YEAR(Datos_Consumo[[#This Row],[FECHA]])&amp;"-"&amp;MONTH(Datos_Consumo[[#This Row],[FECHA]])</f>
        <v>2016-5</v>
      </c>
    </row>
    <row r="231" spans="1:4" x14ac:dyDescent="0.25">
      <c r="A231" t="s">
        <v>1572</v>
      </c>
      <c r="B231">
        <v>156</v>
      </c>
      <c r="C231" s="56">
        <v>42522</v>
      </c>
      <c r="D231" s="3" t="str">
        <f>YEAR(Datos_Consumo[[#This Row],[FECHA]])&amp;"-"&amp;MONTH(Datos_Consumo[[#This Row],[FECHA]])</f>
        <v>2016-6</v>
      </c>
    </row>
    <row r="232" spans="1:4" x14ac:dyDescent="0.25">
      <c r="A232" t="s">
        <v>1572</v>
      </c>
      <c r="B232">
        <v>13</v>
      </c>
      <c r="C232" s="56">
        <v>42552</v>
      </c>
      <c r="D232" s="3" t="str">
        <f>YEAR(Datos_Consumo[[#This Row],[FECHA]])&amp;"-"&amp;MONTH(Datos_Consumo[[#This Row],[FECHA]])</f>
        <v>2016-7</v>
      </c>
    </row>
    <row r="233" spans="1:4" x14ac:dyDescent="0.25">
      <c r="A233" t="s">
        <v>1572</v>
      </c>
      <c r="B233">
        <v>515</v>
      </c>
      <c r="C233" s="56">
        <v>42583</v>
      </c>
      <c r="D233" s="3" t="str">
        <f>YEAR(Datos_Consumo[[#This Row],[FECHA]])&amp;"-"&amp;MONTH(Datos_Consumo[[#This Row],[FECHA]])</f>
        <v>2016-8</v>
      </c>
    </row>
    <row r="234" spans="1:4" x14ac:dyDescent="0.25">
      <c r="A234" t="s">
        <v>1573</v>
      </c>
      <c r="B234">
        <v>13</v>
      </c>
      <c r="C234" s="56">
        <v>42491</v>
      </c>
      <c r="D234" s="3" t="str">
        <f>YEAR(Datos_Consumo[[#This Row],[FECHA]])&amp;"-"&amp;MONTH(Datos_Consumo[[#This Row],[FECHA]])</f>
        <v>2016-5</v>
      </c>
    </row>
    <row r="235" spans="1:4" x14ac:dyDescent="0.25">
      <c r="A235" t="s">
        <v>1573</v>
      </c>
      <c r="B235">
        <v>10</v>
      </c>
      <c r="C235" s="56">
        <v>42522</v>
      </c>
      <c r="D235" s="3" t="str">
        <f>YEAR(Datos_Consumo[[#This Row],[FECHA]])&amp;"-"&amp;MONTH(Datos_Consumo[[#This Row],[FECHA]])</f>
        <v>2016-6</v>
      </c>
    </row>
    <row r="236" spans="1:4" x14ac:dyDescent="0.25">
      <c r="A236" t="s">
        <v>1573</v>
      </c>
      <c r="B236">
        <v>5</v>
      </c>
      <c r="C236" s="56">
        <v>42583</v>
      </c>
      <c r="D236" s="3" t="str">
        <f>YEAR(Datos_Consumo[[#This Row],[FECHA]])&amp;"-"&amp;MONTH(Datos_Consumo[[#This Row],[FECHA]])</f>
        <v>2016-8</v>
      </c>
    </row>
    <row r="237" spans="1:4" x14ac:dyDescent="0.25">
      <c r="A237" t="s">
        <v>1574</v>
      </c>
      <c r="B237">
        <v>3</v>
      </c>
      <c r="C237" s="56">
        <v>42491</v>
      </c>
      <c r="D237" s="3" t="str">
        <f>YEAR(Datos_Consumo[[#This Row],[FECHA]])&amp;"-"&amp;MONTH(Datos_Consumo[[#This Row],[FECHA]])</f>
        <v>2016-5</v>
      </c>
    </row>
    <row r="238" spans="1:4" x14ac:dyDescent="0.25">
      <c r="A238" t="s">
        <v>1575</v>
      </c>
      <c r="B238">
        <v>5</v>
      </c>
      <c r="C238" s="56">
        <v>42491</v>
      </c>
      <c r="D238" s="3" t="str">
        <f>YEAR(Datos_Consumo[[#This Row],[FECHA]])&amp;"-"&amp;MONTH(Datos_Consumo[[#This Row],[FECHA]])</f>
        <v>2016-5</v>
      </c>
    </row>
    <row r="239" spans="1:4" x14ac:dyDescent="0.25">
      <c r="A239" t="s">
        <v>1575</v>
      </c>
      <c r="B239">
        <v>1</v>
      </c>
      <c r="C239" s="56">
        <v>42552</v>
      </c>
      <c r="D239" s="3" t="str">
        <f>YEAR(Datos_Consumo[[#This Row],[FECHA]])&amp;"-"&amp;MONTH(Datos_Consumo[[#This Row],[FECHA]])</f>
        <v>2016-7</v>
      </c>
    </row>
    <row r="240" spans="1:4" x14ac:dyDescent="0.25">
      <c r="A240" t="s">
        <v>1575</v>
      </c>
      <c r="B240">
        <v>1</v>
      </c>
      <c r="C240" s="56">
        <v>42614</v>
      </c>
      <c r="D240" s="3" t="str">
        <f>YEAR(Datos_Consumo[[#This Row],[FECHA]])&amp;"-"&amp;MONTH(Datos_Consumo[[#This Row],[FECHA]])</f>
        <v>2016-9</v>
      </c>
    </row>
    <row r="241" spans="1:4" x14ac:dyDescent="0.25">
      <c r="A241" t="s">
        <v>1576</v>
      </c>
      <c r="B241">
        <v>182</v>
      </c>
      <c r="C241" s="56">
        <v>42491</v>
      </c>
      <c r="D241" s="3" t="str">
        <f>YEAR(Datos_Consumo[[#This Row],[FECHA]])&amp;"-"&amp;MONTH(Datos_Consumo[[#This Row],[FECHA]])</f>
        <v>2016-5</v>
      </c>
    </row>
    <row r="242" spans="1:4" x14ac:dyDescent="0.25">
      <c r="A242" t="s">
        <v>1576</v>
      </c>
      <c r="B242">
        <v>33</v>
      </c>
      <c r="C242" s="56">
        <v>42522</v>
      </c>
      <c r="D242" s="3" t="str">
        <f>YEAR(Datos_Consumo[[#This Row],[FECHA]])&amp;"-"&amp;MONTH(Datos_Consumo[[#This Row],[FECHA]])</f>
        <v>2016-6</v>
      </c>
    </row>
    <row r="243" spans="1:4" x14ac:dyDescent="0.25">
      <c r="A243" t="s">
        <v>1576</v>
      </c>
      <c r="B243">
        <v>15</v>
      </c>
      <c r="C243" s="56">
        <v>42552</v>
      </c>
      <c r="D243" s="3" t="str">
        <f>YEAR(Datos_Consumo[[#This Row],[FECHA]])&amp;"-"&amp;MONTH(Datos_Consumo[[#This Row],[FECHA]])</f>
        <v>2016-7</v>
      </c>
    </row>
    <row r="244" spans="1:4" x14ac:dyDescent="0.25">
      <c r="A244" t="s">
        <v>1576</v>
      </c>
      <c r="B244">
        <v>30</v>
      </c>
      <c r="C244" s="56">
        <v>42583</v>
      </c>
      <c r="D244" s="3" t="str">
        <f>YEAR(Datos_Consumo[[#This Row],[FECHA]])&amp;"-"&amp;MONTH(Datos_Consumo[[#This Row],[FECHA]])</f>
        <v>2016-8</v>
      </c>
    </row>
    <row r="245" spans="1:4" x14ac:dyDescent="0.25">
      <c r="A245" t="s">
        <v>1576</v>
      </c>
      <c r="B245">
        <v>8</v>
      </c>
      <c r="C245" s="56">
        <v>42614</v>
      </c>
      <c r="D245" s="3" t="str">
        <f>YEAR(Datos_Consumo[[#This Row],[FECHA]])&amp;"-"&amp;MONTH(Datos_Consumo[[#This Row],[FECHA]])</f>
        <v>2016-9</v>
      </c>
    </row>
    <row r="246" spans="1:4" x14ac:dyDescent="0.25">
      <c r="A246" t="s">
        <v>1577</v>
      </c>
      <c r="B246">
        <v>4</v>
      </c>
      <c r="C246" s="56">
        <v>42491</v>
      </c>
      <c r="D246" s="3" t="str">
        <f>YEAR(Datos_Consumo[[#This Row],[FECHA]])&amp;"-"&amp;MONTH(Datos_Consumo[[#This Row],[FECHA]])</f>
        <v>2016-5</v>
      </c>
    </row>
    <row r="247" spans="1:4" x14ac:dyDescent="0.25">
      <c r="A247" t="s">
        <v>1577</v>
      </c>
      <c r="B247">
        <v>21</v>
      </c>
      <c r="C247" s="56">
        <v>42522</v>
      </c>
      <c r="D247" s="3" t="str">
        <f>YEAR(Datos_Consumo[[#This Row],[FECHA]])&amp;"-"&amp;MONTH(Datos_Consumo[[#This Row],[FECHA]])</f>
        <v>2016-6</v>
      </c>
    </row>
    <row r="248" spans="1:4" x14ac:dyDescent="0.25">
      <c r="A248" t="s">
        <v>1577</v>
      </c>
      <c r="B248">
        <v>28</v>
      </c>
      <c r="C248" s="56">
        <v>42583</v>
      </c>
      <c r="D248" s="3" t="str">
        <f>YEAR(Datos_Consumo[[#This Row],[FECHA]])&amp;"-"&amp;MONTH(Datos_Consumo[[#This Row],[FECHA]])</f>
        <v>2016-8</v>
      </c>
    </row>
    <row r="249" spans="1:4" x14ac:dyDescent="0.25">
      <c r="A249" t="s">
        <v>1578</v>
      </c>
      <c r="B249">
        <v>3</v>
      </c>
      <c r="C249" s="56">
        <v>42491</v>
      </c>
      <c r="D249" s="3" t="str">
        <f>YEAR(Datos_Consumo[[#This Row],[FECHA]])&amp;"-"&amp;MONTH(Datos_Consumo[[#This Row],[FECHA]])</f>
        <v>2016-5</v>
      </c>
    </row>
    <row r="250" spans="1:4" x14ac:dyDescent="0.25">
      <c r="A250" t="s">
        <v>1579</v>
      </c>
      <c r="B250">
        <v>2</v>
      </c>
      <c r="C250" s="56">
        <v>42491</v>
      </c>
      <c r="D250" s="3" t="str">
        <f>YEAR(Datos_Consumo[[#This Row],[FECHA]])&amp;"-"&amp;MONTH(Datos_Consumo[[#This Row],[FECHA]])</f>
        <v>2016-5</v>
      </c>
    </row>
    <row r="251" spans="1:4" x14ac:dyDescent="0.25">
      <c r="A251" t="s">
        <v>1579</v>
      </c>
      <c r="B251">
        <v>7</v>
      </c>
      <c r="C251" s="56">
        <v>42522</v>
      </c>
      <c r="D251" s="3" t="str">
        <f>YEAR(Datos_Consumo[[#This Row],[FECHA]])&amp;"-"&amp;MONTH(Datos_Consumo[[#This Row],[FECHA]])</f>
        <v>2016-6</v>
      </c>
    </row>
    <row r="252" spans="1:4" x14ac:dyDescent="0.25">
      <c r="A252" t="s">
        <v>1579</v>
      </c>
      <c r="B252">
        <v>22</v>
      </c>
      <c r="C252" s="56">
        <v>42552</v>
      </c>
      <c r="D252" s="3" t="str">
        <f>YEAR(Datos_Consumo[[#This Row],[FECHA]])&amp;"-"&amp;MONTH(Datos_Consumo[[#This Row],[FECHA]])</f>
        <v>2016-7</v>
      </c>
    </row>
    <row r="253" spans="1:4" x14ac:dyDescent="0.25">
      <c r="A253" t="s">
        <v>1579</v>
      </c>
      <c r="B253">
        <v>4</v>
      </c>
      <c r="C253" s="56">
        <v>42583</v>
      </c>
      <c r="D253" s="3" t="str">
        <f>YEAR(Datos_Consumo[[#This Row],[FECHA]])&amp;"-"&amp;MONTH(Datos_Consumo[[#This Row],[FECHA]])</f>
        <v>2016-8</v>
      </c>
    </row>
    <row r="254" spans="1:4" x14ac:dyDescent="0.25">
      <c r="A254" t="s">
        <v>1579</v>
      </c>
      <c r="B254">
        <v>3</v>
      </c>
      <c r="C254" s="56">
        <v>42614</v>
      </c>
      <c r="D254" s="3" t="str">
        <f>YEAR(Datos_Consumo[[#This Row],[FECHA]])&amp;"-"&amp;MONTH(Datos_Consumo[[#This Row],[FECHA]])</f>
        <v>2016-9</v>
      </c>
    </row>
    <row r="255" spans="1:4" x14ac:dyDescent="0.25">
      <c r="A255" t="s">
        <v>1580</v>
      </c>
      <c r="B255">
        <v>20</v>
      </c>
      <c r="C255" s="56">
        <v>42491</v>
      </c>
      <c r="D255" s="3" t="str">
        <f>YEAR(Datos_Consumo[[#This Row],[FECHA]])&amp;"-"&amp;MONTH(Datos_Consumo[[#This Row],[FECHA]])</f>
        <v>2016-5</v>
      </c>
    </row>
    <row r="256" spans="1:4" x14ac:dyDescent="0.25">
      <c r="A256" t="s">
        <v>1580</v>
      </c>
      <c r="B256">
        <v>23</v>
      </c>
      <c r="C256" s="56">
        <v>42522</v>
      </c>
      <c r="D256" s="3" t="str">
        <f>YEAR(Datos_Consumo[[#This Row],[FECHA]])&amp;"-"&amp;MONTH(Datos_Consumo[[#This Row],[FECHA]])</f>
        <v>2016-6</v>
      </c>
    </row>
    <row r="257" spans="1:4" x14ac:dyDescent="0.25">
      <c r="A257" t="s">
        <v>1580</v>
      </c>
      <c r="B257">
        <v>15</v>
      </c>
      <c r="C257" s="56">
        <v>42552</v>
      </c>
      <c r="D257" s="3" t="str">
        <f>YEAR(Datos_Consumo[[#This Row],[FECHA]])&amp;"-"&amp;MONTH(Datos_Consumo[[#This Row],[FECHA]])</f>
        <v>2016-7</v>
      </c>
    </row>
    <row r="258" spans="1:4" x14ac:dyDescent="0.25">
      <c r="A258" t="s">
        <v>1580</v>
      </c>
      <c r="B258">
        <v>45</v>
      </c>
      <c r="C258" s="56">
        <v>42583</v>
      </c>
      <c r="D258" s="3" t="str">
        <f>YEAR(Datos_Consumo[[#This Row],[FECHA]])&amp;"-"&amp;MONTH(Datos_Consumo[[#This Row],[FECHA]])</f>
        <v>2016-8</v>
      </c>
    </row>
    <row r="259" spans="1:4" x14ac:dyDescent="0.25">
      <c r="A259" t="s">
        <v>1580</v>
      </c>
      <c r="B259">
        <v>10</v>
      </c>
      <c r="C259" s="56">
        <v>42614</v>
      </c>
      <c r="D259" s="3" t="str">
        <f>YEAR(Datos_Consumo[[#This Row],[FECHA]])&amp;"-"&amp;MONTH(Datos_Consumo[[#This Row],[FECHA]])</f>
        <v>2016-9</v>
      </c>
    </row>
    <row r="260" spans="1:4" x14ac:dyDescent="0.25">
      <c r="A260" t="s">
        <v>1581</v>
      </c>
      <c r="B260">
        <v>5</v>
      </c>
      <c r="C260" s="56">
        <v>42491</v>
      </c>
      <c r="D260" s="3" t="str">
        <f>YEAR(Datos_Consumo[[#This Row],[FECHA]])&amp;"-"&amp;MONTH(Datos_Consumo[[#This Row],[FECHA]])</f>
        <v>2016-5</v>
      </c>
    </row>
    <row r="261" spans="1:4" x14ac:dyDescent="0.25">
      <c r="A261" t="s">
        <v>1581</v>
      </c>
      <c r="B261">
        <v>43</v>
      </c>
      <c r="C261" s="56">
        <v>42522</v>
      </c>
      <c r="D261" s="3" t="str">
        <f>YEAR(Datos_Consumo[[#This Row],[FECHA]])&amp;"-"&amp;MONTH(Datos_Consumo[[#This Row],[FECHA]])</f>
        <v>2016-6</v>
      </c>
    </row>
    <row r="262" spans="1:4" x14ac:dyDescent="0.25">
      <c r="A262" t="s">
        <v>1581</v>
      </c>
      <c r="B262">
        <v>1</v>
      </c>
      <c r="C262" s="56">
        <v>42552</v>
      </c>
      <c r="D262" s="3" t="str">
        <f>YEAR(Datos_Consumo[[#This Row],[FECHA]])&amp;"-"&amp;MONTH(Datos_Consumo[[#This Row],[FECHA]])</f>
        <v>2016-7</v>
      </c>
    </row>
    <row r="263" spans="1:4" x14ac:dyDescent="0.25">
      <c r="A263" t="s">
        <v>1581</v>
      </c>
      <c r="B263">
        <v>242</v>
      </c>
      <c r="C263" s="56">
        <v>42583</v>
      </c>
      <c r="D263" s="3" t="str">
        <f>YEAR(Datos_Consumo[[#This Row],[FECHA]])&amp;"-"&amp;MONTH(Datos_Consumo[[#This Row],[FECHA]])</f>
        <v>2016-8</v>
      </c>
    </row>
    <row r="264" spans="1:4" x14ac:dyDescent="0.25">
      <c r="A264" t="s">
        <v>1582</v>
      </c>
      <c r="B264">
        <v>1</v>
      </c>
      <c r="C264" s="56">
        <v>42491</v>
      </c>
      <c r="D264" s="3" t="str">
        <f>YEAR(Datos_Consumo[[#This Row],[FECHA]])&amp;"-"&amp;MONTH(Datos_Consumo[[#This Row],[FECHA]])</f>
        <v>2016-5</v>
      </c>
    </row>
    <row r="265" spans="1:4" x14ac:dyDescent="0.25">
      <c r="A265" t="s">
        <v>1582</v>
      </c>
      <c r="B265">
        <v>3</v>
      </c>
      <c r="C265" s="56">
        <v>42522</v>
      </c>
      <c r="D265" s="3" t="str">
        <f>YEAR(Datos_Consumo[[#This Row],[FECHA]])&amp;"-"&amp;MONTH(Datos_Consumo[[#This Row],[FECHA]])</f>
        <v>2016-6</v>
      </c>
    </row>
    <row r="266" spans="1:4" x14ac:dyDescent="0.25">
      <c r="A266" t="s">
        <v>1582</v>
      </c>
      <c r="B266">
        <v>8</v>
      </c>
      <c r="C266" s="56">
        <v>42552</v>
      </c>
      <c r="D266" s="3" t="str">
        <f>YEAR(Datos_Consumo[[#This Row],[FECHA]])&amp;"-"&amp;MONTH(Datos_Consumo[[#This Row],[FECHA]])</f>
        <v>2016-7</v>
      </c>
    </row>
    <row r="267" spans="1:4" x14ac:dyDescent="0.25">
      <c r="A267" t="s">
        <v>1583</v>
      </c>
      <c r="B267">
        <v>252</v>
      </c>
      <c r="C267" s="56">
        <v>42491</v>
      </c>
      <c r="D267" s="3" t="str">
        <f>YEAR(Datos_Consumo[[#This Row],[FECHA]])&amp;"-"&amp;MONTH(Datos_Consumo[[#This Row],[FECHA]])</f>
        <v>2016-5</v>
      </c>
    </row>
    <row r="268" spans="1:4" x14ac:dyDescent="0.25">
      <c r="A268" t="s">
        <v>1583</v>
      </c>
      <c r="B268">
        <v>53</v>
      </c>
      <c r="C268" s="56">
        <v>42522</v>
      </c>
      <c r="D268" s="3" t="str">
        <f>YEAR(Datos_Consumo[[#This Row],[FECHA]])&amp;"-"&amp;MONTH(Datos_Consumo[[#This Row],[FECHA]])</f>
        <v>2016-6</v>
      </c>
    </row>
    <row r="269" spans="1:4" x14ac:dyDescent="0.25">
      <c r="A269" t="s">
        <v>1583</v>
      </c>
      <c r="B269">
        <v>27</v>
      </c>
      <c r="C269" s="56">
        <v>42552</v>
      </c>
      <c r="D269" s="3" t="str">
        <f>YEAR(Datos_Consumo[[#This Row],[FECHA]])&amp;"-"&amp;MONTH(Datos_Consumo[[#This Row],[FECHA]])</f>
        <v>2016-7</v>
      </c>
    </row>
    <row r="270" spans="1:4" x14ac:dyDescent="0.25">
      <c r="A270" t="s">
        <v>1583</v>
      </c>
      <c r="B270">
        <v>39</v>
      </c>
      <c r="C270" s="56">
        <v>42583</v>
      </c>
      <c r="D270" s="3" t="str">
        <f>YEAR(Datos_Consumo[[#This Row],[FECHA]])&amp;"-"&amp;MONTH(Datos_Consumo[[#This Row],[FECHA]])</f>
        <v>2016-8</v>
      </c>
    </row>
    <row r="271" spans="1:4" x14ac:dyDescent="0.25">
      <c r="A271" t="s">
        <v>1583</v>
      </c>
      <c r="B271">
        <v>23</v>
      </c>
      <c r="C271" s="56">
        <v>42614</v>
      </c>
      <c r="D271" s="3" t="str">
        <f>YEAR(Datos_Consumo[[#This Row],[FECHA]])&amp;"-"&amp;MONTH(Datos_Consumo[[#This Row],[FECHA]])</f>
        <v>2016-9</v>
      </c>
    </row>
    <row r="272" spans="1:4" x14ac:dyDescent="0.25">
      <c r="A272" t="s">
        <v>1584</v>
      </c>
      <c r="B272">
        <v>33</v>
      </c>
      <c r="C272" s="56">
        <v>42491</v>
      </c>
      <c r="D272" s="3" t="str">
        <f>YEAR(Datos_Consumo[[#This Row],[FECHA]])&amp;"-"&amp;MONTH(Datos_Consumo[[#This Row],[FECHA]])</f>
        <v>2016-5</v>
      </c>
    </row>
    <row r="273" spans="1:4" x14ac:dyDescent="0.25">
      <c r="A273" t="s">
        <v>1584</v>
      </c>
      <c r="B273">
        <v>5</v>
      </c>
      <c r="C273" s="56">
        <v>42522</v>
      </c>
      <c r="D273" s="3" t="str">
        <f>YEAR(Datos_Consumo[[#This Row],[FECHA]])&amp;"-"&amp;MONTH(Datos_Consumo[[#This Row],[FECHA]])</f>
        <v>2016-6</v>
      </c>
    </row>
    <row r="274" spans="1:4" x14ac:dyDescent="0.25">
      <c r="A274" t="s">
        <v>1584</v>
      </c>
      <c r="B274">
        <v>3</v>
      </c>
      <c r="C274" s="56">
        <v>42552</v>
      </c>
      <c r="D274" s="3" t="str">
        <f>YEAR(Datos_Consumo[[#This Row],[FECHA]])&amp;"-"&amp;MONTH(Datos_Consumo[[#This Row],[FECHA]])</f>
        <v>2016-7</v>
      </c>
    </row>
    <row r="275" spans="1:4" x14ac:dyDescent="0.25">
      <c r="A275" t="s">
        <v>1584</v>
      </c>
      <c r="B275">
        <v>454</v>
      </c>
      <c r="C275" s="56">
        <v>42583</v>
      </c>
      <c r="D275" s="3" t="str">
        <f>YEAR(Datos_Consumo[[#This Row],[FECHA]])&amp;"-"&amp;MONTH(Datos_Consumo[[#This Row],[FECHA]])</f>
        <v>2016-8</v>
      </c>
    </row>
    <row r="276" spans="1:4" x14ac:dyDescent="0.25">
      <c r="A276" t="s">
        <v>1584</v>
      </c>
      <c r="B276">
        <v>3761</v>
      </c>
      <c r="C276" s="56">
        <v>42614</v>
      </c>
      <c r="D276" s="3" t="str">
        <f>YEAR(Datos_Consumo[[#This Row],[FECHA]])&amp;"-"&amp;MONTH(Datos_Consumo[[#This Row],[FECHA]])</f>
        <v>2016-9</v>
      </c>
    </row>
    <row r="277" spans="1:4" x14ac:dyDescent="0.25">
      <c r="A277" t="s">
        <v>1585</v>
      </c>
      <c r="B277">
        <v>3</v>
      </c>
      <c r="C277" s="56">
        <v>42491</v>
      </c>
      <c r="D277" s="3" t="str">
        <f>YEAR(Datos_Consumo[[#This Row],[FECHA]])&amp;"-"&amp;MONTH(Datos_Consumo[[#This Row],[FECHA]])</f>
        <v>2016-5</v>
      </c>
    </row>
    <row r="278" spans="1:4" x14ac:dyDescent="0.25">
      <c r="A278" t="s">
        <v>1585</v>
      </c>
      <c r="B278">
        <v>2</v>
      </c>
      <c r="C278" s="56">
        <v>42552</v>
      </c>
      <c r="D278" s="3" t="str">
        <f>YEAR(Datos_Consumo[[#This Row],[FECHA]])&amp;"-"&amp;MONTH(Datos_Consumo[[#This Row],[FECHA]])</f>
        <v>2016-7</v>
      </c>
    </row>
    <row r="279" spans="1:4" x14ac:dyDescent="0.25">
      <c r="A279" t="s">
        <v>1585</v>
      </c>
      <c r="B279">
        <v>1</v>
      </c>
      <c r="C279" s="56">
        <v>42583</v>
      </c>
      <c r="D279" s="3" t="str">
        <f>YEAR(Datos_Consumo[[#This Row],[FECHA]])&amp;"-"&amp;MONTH(Datos_Consumo[[#This Row],[FECHA]])</f>
        <v>2016-8</v>
      </c>
    </row>
    <row r="280" spans="1:4" x14ac:dyDescent="0.25">
      <c r="A280" t="s">
        <v>1586</v>
      </c>
      <c r="B280">
        <v>106</v>
      </c>
      <c r="C280" s="56">
        <v>42491</v>
      </c>
      <c r="D280" s="3" t="str">
        <f>YEAR(Datos_Consumo[[#This Row],[FECHA]])&amp;"-"&amp;MONTH(Datos_Consumo[[#This Row],[FECHA]])</f>
        <v>2016-5</v>
      </c>
    </row>
    <row r="281" spans="1:4" x14ac:dyDescent="0.25">
      <c r="A281" t="s">
        <v>1586</v>
      </c>
      <c r="B281">
        <v>58</v>
      </c>
      <c r="C281" s="56">
        <v>42522</v>
      </c>
      <c r="D281" s="3" t="str">
        <f>YEAR(Datos_Consumo[[#This Row],[FECHA]])&amp;"-"&amp;MONTH(Datos_Consumo[[#This Row],[FECHA]])</f>
        <v>2016-6</v>
      </c>
    </row>
    <row r="282" spans="1:4" x14ac:dyDescent="0.25">
      <c r="A282" t="s">
        <v>1586</v>
      </c>
      <c r="B282">
        <v>690</v>
      </c>
      <c r="C282" s="56">
        <v>42552</v>
      </c>
      <c r="D282" s="3" t="str">
        <f>YEAR(Datos_Consumo[[#This Row],[FECHA]])&amp;"-"&amp;MONTH(Datos_Consumo[[#This Row],[FECHA]])</f>
        <v>2016-7</v>
      </c>
    </row>
    <row r="283" spans="1:4" x14ac:dyDescent="0.25">
      <c r="A283" t="s">
        <v>1586</v>
      </c>
      <c r="B283">
        <v>67</v>
      </c>
      <c r="C283" s="56">
        <v>42583</v>
      </c>
      <c r="D283" s="3" t="str">
        <f>YEAR(Datos_Consumo[[#This Row],[FECHA]])&amp;"-"&amp;MONTH(Datos_Consumo[[#This Row],[FECHA]])</f>
        <v>2016-8</v>
      </c>
    </row>
    <row r="284" spans="1:4" x14ac:dyDescent="0.25">
      <c r="A284" t="s">
        <v>2406</v>
      </c>
      <c r="B284">
        <v>3</v>
      </c>
      <c r="C284" s="56">
        <v>42552</v>
      </c>
      <c r="D284" s="3" t="str">
        <f>YEAR(Datos_Consumo[[#This Row],[FECHA]])&amp;"-"&amp;MONTH(Datos_Consumo[[#This Row],[FECHA]])</f>
        <v>2016-7</v>
      </c>
    </row>
    <row r="285" spans="1:4" x14ac:dyDescent="0.25">
      <c r="A285" t="s">
        <v>2406</v>
      </c>
      <c r="B285">
        <v>12</v>
      </c>
      <c r="C285" s="56">
        <v>42583</v>
      </c>
      <c r="D285" s="3" t="str">
        <f>YEAR(Datos_Consumo[[#This Row],[FECHA]])&amp;"-"&amp;MONTH(Datos_Consumo[[#This Row],[FECHA]])</f>
        <v>2016-8</v>
      </c>
    </row>
    <row r="286" spans="1:4" x14ac:dyDescent="0.25">
      <c r="A286" t="s">
        <v>2407</v>
      </c>
      <c r="B286">
        <v>3</v>
      </c>
      <c r="C286" s="56">
        <v>42552</v>
      </c>
      <c r="D286" s="3" t="str">
        <f>YEAR(Datos_Consumo[[#This Row],[FECHA]])&amp;"-"&amp;MONTH(Datos_Consumo[[#This Row],[FECHA]])</f>
        <v>2016-7</v>
      </c>
    </row>
    <row r="287" spans="1:4" x14ac:dyDescent="0.25">
      <c r="A287" t="s">
        <v>2407</v>
      </c>
      <c r="B287">
        <v>12</v>
      </c>
      <c r="C287" s="56">
        <v>42583</v>
      </c>
      <c r="D287" s="3" t="str">
        <f>YEAR(Datos_Consumo[[#This Row],[FECHA]])&amp;"-"&amp;MONTH(Datos_Consumo[[#This Row],[FECHA]])</f>
        <v>2016-8</v>
      </c>
    </row>
    <row r="288" spans="1:4" x14ac:dyDescent="0.25">
      <c r="A288" t="s">
        <v>2408</v>
      </c>
      <c r="B288">
        <v>3</v>
      </c>
      <c r="C288" s="56">
        <v>42552</v>
      </c>
      <c r="D288" s="3" t="str">
        <f>YEAR(Datos_Consumo[[#This Row],[FECHA]])&amp;"-"&amp;MONTH(Datos_Consumo[[#This Row],[FECHA]])</f>
        <v>2016-7</v>
      </c>
    </row>
    <row r="289" spans="1:4" x14ac:dyDescent="0.25">
      <c r="A289" t="s">
        <v>2409</v>
      </c>
      <c r="B289">
        <v>3</v>
      </c>
      <c r="C289" s="56">
        <v>42552</v>
      </c>
      <c r="D289" s="3" t="str">
        <f>YEAR(Datos_Consumo[[#This Row],[FECHA]])&amp;"-"&amp;MONTH(Datos_Consumo[[#This Row],[FECHA]])</f>
        <v>2016-7</v>
      </c>
    </row>
    <row r="290" spans="1:4" x14ac:dyDescent="0.25">
      <c r="A290" t="s">
        <v>2410</v>
      </c>
      <c r="B290">
        <v>3</v>
      </c>
      <c r="C290" s="56">
        <v>42552</v>
      </c>
      <c r="D290" s="3" t="str">
        <f>YEAR(Datos_Consumo[[#This Row],[FECHA]])&amp;"-"&amp;MONTH(Datos_Consumo[[#This Row],[FECHA]])</f>
        <v>2016-7</v>
      </c>
    </row>
    <row r="291" spans="1:4" x14ac:dyDescent="0.25">
      <c r="A291" t="s">
        <v>2410</v>
      </c>
      <c r="B291">
        <v>12</v>
      </c>
      <c r="C291" s="56">
        <v>42583</v>
      </c>
      <c r="D291" s="3" t="str">
        <f>YEAR(Datos_Consumo[[#This Row],[FECHA]])&amp;"-"&amp;MONTH(Datos_Consumo[[#This Row],[FECHA]])</f>
        <v>2016-8</v>
      </c>
    </row>
    <row r="292" spans="1:4" x14ac:dyDescent="0.25">
      <c r="A292" t="s">
        <v>2411</v>
      </c>
      <c r="B292">
        <v>3</v>
      </c>
      <c r="C292" s="56">
        <v>42552</v>
      </c>
      <c r="D292" s="3" t="str">
        <f>YEAR(Datos_Consumo[[#This Row],[FECHA]])&amp;"-"&amp;MONTH(Datos_Consumo[[#This Row],[FECHA]])</f>
        <v>2016-7</v>
      </c>
    </row>
    <row r="293" spans="1:4" x14ac:dyDescent="0.25">
      <c r="A293" t="s">
        <v>2412</v>
      </c>
      <c r="B293">
        <v>24</v>
      </c>
      <c r="C293" s="56">
        <v>42583</v>
      </c>
      <c r="D293" s="3" t="str">
        <f>YEAR(Datos_Consumo[[#This Row],[FECHA]])&amp;"-"&amp;MONTH(Datos_Consumo[[#This Row],[FECHA]])</f>
        <v>2016-8</v>
      </c>
    </row>
    <row r="294" spans="1:4" x14ac:dyDescent="0.25">
      <c r="A294" t="s">
        <v>2413</v>
      </c>
      <c r="B294">
        <v>2</v>
      </c>
      <c r="C294" s="56">
        <v>42552</v>
      </c>
      <c r="D294" s="3" t="str">
        <f>YEAR(Datos_Consumo[[#This Row],[FECHA]])&amp;"-"&amp;MONTH(Datos_Consumo[[#This Row],[FECHA]])</f>
        <v>2016-7</v>
      </c>
    </row>
    <row r="295" spans="1:4" x14ac:dyDescent="0.25">
      <c r="A295" t="s">
        <v>2414</v>
      </c>
      <c r="B295">
        <v>2</v>
      </c>
      <c r="C295" s="56">
        <v>42552</v>
      </c>
      <c r="D295" s="3" t="str">
        <f>YEAR(Datos_Consumo[[#This Row],[FECHA]])&amp;"-"&amp;MONTH(Datos_Consumo[[#This Row],[FECHA]])</f>
        <v>2016-7</v>
      </c>
    </row>
    <row r="296" spans="1:4" x14ac:dyDescent="0.25">
      <c r="A296" t="s">
        <v>1587</v>
      </c>
      <c r="B296">
        <v>56</v>
      </c>
      <c r="C296" s="56">
        <v>42491</v>
      </c>
      <c r="D296" s="3" t="str">
        <f>YEAR(Datos_Consumo[[#This Row],[FECHA]])&amp;"-"&amp;MONTH(Datos_Consumo[[#This Row],[FECHA]])</f>
        <v>2016-5</v>
      </c>
    </row>
    <row r="297" spans="1:4" x14ac:dyDescent="0.25">
      <c r="A297" t="s">
        <v>1587</v>
      </c>
      <c r="B297">
        <v>194</v>
      </c>
      <c r="C297" s="56">
        <v>42522</v>
      </c>
      <c r="D297" s="3" t="str">
        <f>YEAR(Datos_Consumo[[#This Row],[FECHA]])&amp;"-"&amp;MONTH(Datos_Consumo[[#This Row],[FECHA]])</f>
        <v>2016-6</v>
      </c>
    </row>
    <row r="298" spans="1:4" x14ac:dyDescent="0.25">
      <c r="A298" t="s">
        <v>1587</v>
      </c>
      <c r="B298">
        <v>166</v>
      </c>
      <c r="C298" s="56">
        <v>42552</v>
      </c>
      <c r="D298" s="3" t="str">
        <f>YEAR(Datos_Consumo[[#This Row],[FECHA]])&amp;"-"&amp;MONTH(Datos_Consumo[[#This Row],[FECHA]])</f>
        <v>2016-7</v>
      </c>
    </row>
    <row r="299" spans="1:4" x14ac:dyDescent="0.25">
      <c r="A299" t="s">
        <v>1587</v>
      </c>
      <c r="B299">
        <v>110</v>
      </c>
      <c r="C299" s="56">
        <v>42583</v>
      </c>
      <c r="D299" s="3" t="str">
        <f>YEAR(Datos_Consumo[[#This Row],[FECHA]])&amp;"-"&amp;MONTH(Datos_Consumo[[#This Row],[FECHA]])</f>
        <v>2016-8</v>
      </c>
    </row>
    <row r="300" spans="1:4" x14ac:dyDescent="0.25">
      <c r="A300" t="s">
        <v>2415</v>
      </c>
      <c r="B300">
        <v>10</v>
      </c>
      <c r="C300" s="56">
        <v>42522</v>
      </c>
      <c r="D300" s="3" t="str">
        <f>YEAR(Datos_Consumo[[#This Row],[FECHA]])&amp;"-"&amp;MONTH(Datos_Consumo[[#This Row],[FECHA]])</f>
        <v>2016-6</v>
      </c>
    </row>
    <row r="301" spans="1:4" x14ac:dyDescent="0.25">
      <c r="A301" t="s">
        <v>2415</v>
      </c>
      <c r="B301">
        <v>3</v>
      </c>
      <c r="C301" s="56">
        <v>42552</v>
      </c>
      <c r="D301" s="3" t="str">
        <f>YEAR(Datos_Consumo[[#This Row],[FECHA]])&amp;"-"&amp;MONTH(Datos_Consumo[[#This Row],[FECHA]])</f>
        <v>2016-7</v>
      </c>
    </row>
    <row r="302" spans="1:4" x14ac:dyDescent="0.25">
      <c r="A302" t="s">
        <v>2415</v>
      </c>
      <c r="B302">
        <v>5</v>
      </c>
      <c r="C302" s="56">
        <v>42583</v>
      </c>
      <c r="D302" s="3" t="str">
        <f>YEAR(Datos_Consumo[[#This Row],[FECHA]])&amp;"-"&amp;MONTH(Datos_Consumo[[#This Row],[FECHA]])</f>
        <v>2016-8</v>
      </c>
    </row>
    <row r="303" spans="1:4" x14ac:dyDescent="0.25">
      <c r="A303" t="s">
        <v>1588</v>
      </c>
      <c r="B303">
        <v>150</v>
      </c>
      <c r="C303" s="56">
        <v>42491</v>
      </c>
      <c r="D303" s="3" t="str">
        <f>YEAR(Datos_Consumo[[#This Row],[FECHA]])&amp;"-"&amp;MONTH(Datos_Consumo[[#This Row],[FECHA]])</f>
        <v>2016-5</v>
      </c>
    </row>
    <row r="304" spans="1:4" x14ac:dyDescent="0.25">
      <c r="A304" t="s">
        <v>1588</v>
      </c>
      <c r="B304">
        <v>12</v>
      </c>
      <c r="C304" s="56">
        <v>42552</v>
      </c>
      <c r="D304" s="3" t="str">
        <f>YEAR(Datos_Consumo[[#This Row],[FECHA]])&amp;"-"&amp;MONTH(Datos_Consumo[[#This Row],[FECHA]])</f>
        <v>2016-7</v>
      </c>
    </row>
    <row r="305" spans="1:4" x14ac:dyDescent="0.25">
      <c r="A305" t="s">
        <v>1589</v>
      </c>
      <c r="B305">
        <v>177</v>
      </c>
      <c r="C305" s="56">
        <v>42491</v>
      </c>
      <c r="D305" s="3" t="str">
        <f>YEAR(Datos_Consumo[[#This Row],[FECHA]])&amp;"-"&amp;MONTH(Datos_Consumo[[#This Row],[FECHA]])</f>
        <v>2016-5</v>
      </c>
    </row>
    <row r="306" spans="1:4" x14ac:dyDescent="0.25">
      <c r="A306" t="s">
        <v>1589</v>
      </c>
      <c r="B306">
        <v>25</v>
      </c>
      <c r="C306" s="56">
        <v>42522</v>
      </c>
      <c r="D306" s="3" t="str">
        <f>YEAR(Datos_Consumo[[#This Row],[FECHA]])&amp;"-"&amp;MONTH(Datos_Consumo[[#This Row],[FECHA]])</f>
        <v>2016-6</v>
      </c>
    </row>
    <row r="307" spans="1:4" x14ac:dyDescent="0.25">
      <c r="A307" t="s">
        <v>1589</v>
      </c>
      <c r="B307">
        <v>20</v>
      </c>
      <c r="C307" s="56">
        <v>42552</v>
      </c>
      <c r="D307" s="3" t="str">
        <f>YEAR(Datos_Consumo[[#This Row],[FECHA]])&amp;"-"&amp;MONTH(Datos_Consumo[[#This Row],[FECHA]])</f>
        <v>2016-7</v>
      </c>
    </row>
    <row r="308" spans="1:4" x14ac:dyDescent="0.25">
      <c r="A308" t="s">
        <v>1589</v>
      </c>
      <c r="B308">
        <v>12</v>
      </c>
      <c r="C308" s="56">
        <v>42583</v>
      </c>
      <c r="D308" s="3" t="str">
        <f>YEAR(Datos_Consumo[[#This Row],[FECHA]])&amp;"-"&amp;MONTH(Datos_Consumo[[#This Row],[FECHA]])</f>
        <v>2016-8</v>
      </c>
    </row>
    <row r="309" spans="1:4" x14ac:dyDescent="0.25">
      <c r="A309" t="s">
        <v>1589</v>
      </c>
      <c r="B309">
        <v>6</v>
      </c>
      <c r="C309" s="56">
        <v>42614</v>
      </c>
      <c r="D309" s="3" t="str">
        <f>YEAR(Datos_Consumo[[#This Row],[FECHA]])&amp;"-"&amp;MONTH(Datos_Consumo[[#This Row],[FECHA]])</f>
        <v>2016-9</v>
      </c>
    </row>
    <row r="310" spans="1:4" x14ac:dyDescent="0.25">
      <c r="A310" t="s">
        <v>1590</v>
      </c>
      <c r="B310">
        <v>187</v>
      </c>
      <c r="C310" s="56">
        <v>42491</v>
      </c>
      <c r="D310" s="3" t="str">
        <f>YEAR(Datos_Consumo[[#This Row],[FECHA]])&amp;"-"&amp;MONTH(Datos_Consumo[[#This Row],[FECHA]])</f>
        <v>2016-5</v>
      </c>
    </row>
    <row r="311" spans="1:4" x14ac:dyDescent="0.25">
      <c r="A311" t="s">
        <v>1590</v>
      </c>
      <c r="B311">
        <v>26</v>
      </c>
      <c r="C311" s="56">
        <v>42522</v>
      </c>
      <c r="D311" s="3" t="str">
        <f>YEAR(Datos_Consumo[[#This Row],[FECHA]])&amp;"-"&amp;MONTH(Datos_Consumo[[#This Row],[FECHA]])</f>
        <v>2016-6</v>
      </c>
    </row>
    <row r="312" spans="1:4" x14ac:dyDescent="0.25">
      <c r="A312" t="s">
        <v>1590</v>
      </c>
      <c r="B312">
        <v>26</v>
      </c>
      <c r="C312" s="56">
        <v>42552</v>
      </c>
      <c r="D312" s="3" t="str">
        <f>YEAR(Datos_Consumo[[#This Row],[FECHA]])&amp;"-"&amp;MONTH(Datos_Consumo[[#This Row],[FECHA]])</f>
        <v>2016-7</v>
      </c>
    </row>
    <row r="313" spans="1:4" x14ac:dyDescent="0.25">
      <c r="A313" t="s">
        <v>1590</v>
      </c>
      <c r="B313">
        <v>12</v>
      </c>
      <c r="C313" s="56">
        <v>42583</v>
      </c>
      <c r="D313" s="3" t="str">
        <f>YEAR(Datos_Consumo[[#This Row],[FECHA]])&amp;"-"&amp;MONTH(Datos_Consumo[[#This Row],[FECHA]])</f>
        <v>2016-8</v>
      </c>
    </row>
    <row r="314" spans="1:4" x14ac:dyDescent="0.25">
      <c r="A314" t="s">
        <v>1590</v>
      </c>
      <c r="B314">
        <v>7</v>
      </c>
      <c r="C314" s="56">
        <v>42614</v>
      </c>
      <c r="D314" s="3" t="str">
        <f>YEAR(Datos_Consumo[[#This Row],[FECHA]])&amp;"-"&amp;MONTH(Datos_Consumo[[#This Row],[FECHA]])</f>
        <v>2016-9</v>
      </c>
    </row>
    <row r="315" spans="1:4" x14ac:dyDescent="0.25">
      <c r="A315" t="s">
        <v>1591</v>
      </c>
      <c r="B315">
        <v>51</v>
      </c>
      <c r="C315" s="56">
        <v>42491</v>
      </c>
      <c r="D315" s="3" t="str">
        <f>YEAR(Datos_Consumo[[#This Row],[FECHA]])&amp;"-"&amp;MONTH(Datos_Consumo[[#This Row],[FECHA]])</f>
        <v>2016-5</v>
      </c>
    </row>
    <row r="316" spans="1:4" x14ac:dyDescent="0.25">
      <c r="A316" t="s">
        <v>1591</v>
      </c>
      <c r="B316">
        <v>2</v>
      </c>
      <c r="C316" s="56">
        <v>42614</v>
      </c>
      <c r="D316" s="3" t="str">
        <f>YEAR(Datos_Consumo[[#This Row],[FECHA]])&amp;"-"&amp;MONTH(Datos_Consumo[[#This Row],[FECHA]])</f>
        <v>2016-9</v>
      </c>
    </row>
    <row r="317" spans="1:4" x14ac:dyDescent="0.25">
      <c r="A317" t="s">
        <v>1592</v>
      </c>
      <c r="B317">
        <v>1</v>
      </c>
      <c r="C317" s="56">
        <v>42491</v>
      </c>
      <c r="D317" s="3" t="str">
        <f>YEAR(Datos_Consumo[[#This Row],[FECHA]])&amp;"-"&amp;MONTH(Datos_Consumo[[#This Row],[FECHA]])</f>
        <v>2016-5</v>
      </c>
    </row>
    <row r="318" spans="1:4" x14ac:dyDescent="0.25">
      <c r="A318" t="s">
        <v>1593</v>
      </c>
      <c r="B318">
        <v>1</v>
      </c>
      <c r="C318" s="56">
        <v>42491</v>
      </c>
      <c r="D318" s="3" t="str">
        <f>YEAR(Datos_Consumo[[#This Row],[FECHA]])&amp;"-"&amp;MONTH(Datos_Consumo[[#This Row],[FECHA]])</f>
        <v>2016-5</v>
      </c>
    </row>
    <row r="319" spans="1:4" x14ac:dyDescent="0.25">
      <c r="A319" t="s">
        <v>2416</v>
      </c>
      <c r="B319">
        <v>1</v>
      </c>
      <c r="C319" s="56">
        <v>42552</v>
      </c>
      <c r="D319" s="3" t="str">
        <f>YEAR(Datos_Consumo[[#This Row],[FECHA]])&amp;"-"&amp;MONTH(Datos_Consumo[[#This Row],[FECHA]])</f>
        <v>2016-7</v>
      </c>
    </row>
    <row r="320" spans="1:4" x14ac:dyDescent="0.25">
      <c r="A320" t="s">
        <v>1594</v>
      </c>
      <c r="B320">
        <v>1</v>
      </c>
      <c r="C320" s="56">
        <v>42491</v>
      </c>
      <c r="D320" s="3" t="str">
        <f>YEAR(Datos_Consumo[[#This Row],[FECHA]])&amp;"-"&amp;MONTH(Datos_Consumo[[#This Row],[FECHA]])</f>
        <v>2016-5</v>
      </c>
    </row>
    <row r="321" spans="1:4" x14ac:dyDescent="0.25">
      <c r="A321" t="s">
        <v>1594</v>
      </c>
      <c r="B321">
        <v>126</v>
      </c>
      <c r="C321" s="56">
        <v>42522</v>
      </c>
      <c r="D321" s="3" t="str">
        <f>YEAR(Datos_Consumo[[#This Row],[FECHA]])&amp;"-"&amp;MONTH(Datos_Consumo[[#This Row],[FECHA]])</f>
        <v>2016-6</v>
      </c>
    </row>
    <row r="322" spans="1:4" x14ac:dyDescent="0.25">
      <c r="A322" t="s">
        <v>1594</v>
      </c>
      <c r="B322">
        <v>400</v>
      </c>
      <c r="C322" s="56">
        <v>42552</v>
      </c>
      <c r="D322" s="3" t="str">
        <f>YEAR(Datos_Consumo[[#This Row],[FECHA]])&amp;"-"&amp;MONTH(Datos_Consumo[[#This Row],[FECHA]])</f>
        <v>2016-7</v>
      </c>
    </row>
    <row r="323" spans="1:4" x14ac:dyDescent="0.25">
      <c r="A323" t="s">
        <v>1594</v>
      </c>
      <c r="B323">
        <v>505</v>
      </c>
      <c r="C323" s="56">
        <v>42552</v>
      </c>
      <c r="D323" s="3" t="str">
        <f>YEAR(Datos_Consumo[[#This Row],[FECHA]])&amp;"-"&amp;MONTH(Datos_Consumo[[#This Row],[FECHA]])</f>
        <v>2016-7</v>
      </c>
    </row>
    <row r="324" spans="1:4" x14ac:dyDescent="0.25">
      <c r="A324" t="s">
        <v>1594</v>
      </c>
      <c r="B324">
        <v>1</v>
      </c>
      <c r="C324" s="56">
        <v>42583</v>
      </c>
      <c r="D324" s="3" t="str">
        <f>YEAR(Datos_Consumo[[#This Row],[FECHA]])&amp;"-"&amp;MONTH(Datos_Consumo[[#This Row],[FECHA]])</f>
        <v>2016-8</v>
      </c>
    </row>
    <row r="325" spans="1:4" x14ac:dyDescent="0.25">
      <c r="A325" t="s">
        <v>1594</v>
      </c>
      <c r="B325">
        <v>400</v>
      </c>
      <c r="C325" s="56">
        <v>42614</v>
      </c>
      <c r="D325" s="3" t="str">
        <f>YEAR(Datos_Consumo[[#This Row],[FECHA]])&amp;"-"&amp;MONTH(Datos_Consumo[[#This Row],[FECHA]])</f>
        <v>2016-9</v>
      </c>
    </row>
    <row r="326" spans="1:4" x14ac:dyDescent="0.25">
      <c r="A326" t="s">
        <v>1594</v>
      </c>
      <c r="B326">
        <v>405</v>
      </c>
      <c r="C326" s="56">
        <v>42614</v>
      </c>
      <c r="D326" s="3" t="str">
        <f>YEAR(Datos_Consumo[[#This Row],[FECHA]])&amp;"-"&amp;MONTH(Datos_Consumo[[#This Row],[FECHA]])</f>
        <v>2016-9</v>
      </c>
    </row>
    <row r="327" spans="1:4" x14ac:dyDescent="0.25">
      <c r="A327" t="s">
        <v>1595</v>
      </c>
      <c r="B327">
        <v>1</v>
      </c>
      <c r="C327" s="56">
        <v>42491</v>
      </c>
      <c r="D327" s="3" t="str">
        <f>YEAR(Datos_Consumo[[#This Row],[FECHA]])&amp;"-"&amp;MONTH(Datos_Consumo[[#This Row],[FECHA]])</f>
        <v>2016-5</v>
      </c>
    </row>
    <row r="328" spans="1:4" x14ac:dyDescent="0.25">
      <c r="A328" t="s">
        <v>1595</v>
      </c>
      <c r="B328">
        <v>100</v>
      </c>
      <c r="C328" s="56">
        <v>42522</v>
      </c>
      <c r="D328" s="3" t="str">
        <f>YEAR(Datos_Consumo[[#This Row],[FECHA]])&amp;"-"&amp;MONTH(Datos_Consumo[[#This Row],[FECHA]])</f>
        <v>2016-6</v>
      </c>
    </row>
    <row r="329" spans="1:4" x14ac:dyDescent="0.25">
      <c r="A329" t="s">
        <v>1595</v>
      </c>
      <c r="B329">
        <v>200</v>
      </c>
      <c r="C329" s="56">
        <v>42552</v>
      </c>
      <c r="D329" s="3" t="str">
        <f>YEAR(Datos_Consumo[[#This Row],[FECHA]])&amp;"-"&amp;MONTH(Datos_Consumo[[#This Row],[FECHA]])</f>
        <v>2016-7</v>
      </c>
    </row>
    <row r="330" spans="1:4" x14ac:dyDescent="0.25">
      <c r="A330" t="s">
        <v>1596</v>
      </c>
      <c r="B330">
        <v>5752</v>
      </c>
      <c r="C330" s="56">
        <v>42491</v>
      </c>
      <c r="D330" s="3" t="str">
        <f>YEAR(Datos_Consumo[[#This Row],[FECHA]])&amp;"-"&amp;MONTH(Datos_Consumo[[#This Row],[FECHA]])</f>
        <v>2016-5</v>
      </c>
    </row>
    <row r="331" spans="1:4" x14ac:dyDescent="0.25">
      <c r="A331" t="s">
        <v>1596</v>
      </c>
      <c r="B331">
        <v>10127</v>
      </c>
      <c r="C331" s="56">
        <v>42522</v>
      </c>
      <c r="D331" s="3" t="str">
        <f>YEAR(Datos_Consumo[[#This Row],[FECHA]])&amp;"-"&amp;MONTH(Datos_Consumo[[#This Row],[FECHA]])</f>
        <v>2016-6</v>
      </c>
    </row>
    <row r="332" spans="1:4" x14ac:dyDescent="0.25">
      <c r="A332" t="s">
        <v>1596</v>
      </c>
      <c r="B332">
        <v>9350</v>
      </c>
      <c r="C332" s="56">
        <v>42552</v>
      </c>
      <c r="D332" s="3" t="str">
        <f>YEAR(Datos_Consumo[[#This Row],[FECHA]])&amp;"-"&amp;MONTH(Datos_Consumo[[#This Row],[FECHA]])</f>
        <v>2016-7</v>
      </c>
    </row>
    <row r="333" spans="1:4" x14ac:dyDescent="0.25">
      <c r="A333" t="s">
        <v>1596</v>
      </c>
      <c r="B333">
        <v>5714</v>
      </c>
      <c r="C333" s="56">
        <v>42583</v>
      </c>
      <c r="D333" s="3" t="str">
        <f>YEAR(Datos_Consumo[[#This Row],[FECHA]])&amp;"-"&amp;MONTH(Datos_Consumo[[#This Row],[FECHA]])</f>
        <v>2016-8</v>
      </c>
    </row>
    <row r="334" spans="1:4" x14ac:dyDescent="0.25">
      <c r="A334" t="s">
        <v>1596</v>
      </c>
      <c r="B334">
        <v>5087</v>
      </c>
      <c r="C334" s="56">
        <v>42614</v>
      </c>
      <c r="D334" s="3" t="str">
        <f>YEAR(Datos_Consumo[[#This Row],[FECHA]])&amp;"-"&amp;MONTH(Datos_Consumo[[#This Row],[FECHA]])</f>
        <v>2016-9</v>
      </c>
    </row>
    <row r="335" spans="1:4" x14ac:dyDescent="0.25">
      <c r="A335" t="s">
        <v>2417</v>
      </c>
      <c r="B335">
        <v>23900</v>
      </c>
      <c r="C335" s="56">
        <v>42552</v>
      </c>
      <c r="D335" s="3" t="str">
        <f>YEAR(Datos_Consumo[[#This Row],[FECHA]])&amp;"-"&amp;MONTH(Datos_Consumo[[#This Row],[FECHA]])</f>
        <v>2016-7</v>
      </c>
    </row>
    <row r="336" spans="1:4" x14ac:dyDescent="0.25">
      <c r="A336" t="s">
        <v>2417</v>
      </c>
      <c r="B336">
        <v>23900</v>
      </c>
      <c r="C336" s="56">
        <v>42583</v>
      </c>
      <c r="D336" s="3" t="str">
        <f>YEAR(Datos_Consumo[[#This Row],[FECHA]])&amp;"-"&amp;MONTH(Datos_Consumo[[#This Row],[FECHA]])</f>
        <v>2016-8</v>
      </c>
    </row>
    <row r="337" spans="1:4" x14ac:dyDescent="0.25">
      <c r="A337" t="s">
        <v>1597</v>
      </c>
      <c r="B337">
        <v>1</v>
      </c>
      <c r="C337" s="56">
        <v>42491</v>
      </c>
      <c r="D337" s="3" t="str">
        <f>YEAR(Datos_Consumo[[#This Row],[FECHA]])&amp;"-"&amp;MONTH(Datos_Consumo[[#This Row],[FECHA]])</f>
        <v>2016-5</v>
      </c>
    </row>
    <row r="338" spans="1:4" x14ac:dyDescent="0.25">
      <c r="A338" t="s">
        <v>1597</v>
      </c>
      <c r="B338">
        <v>30</v>
      </c>
      <c r="C338" s="56">
        <v>42583</v>
      </c>
      <c r="D338" s="3" t="str">
        <f>YEAR(Datos_Consumo[[#This Row],[FECHA]])&amp;"-"&amp;MONTH(Datos_Consumo[[#This Row],[FECHA]])</f>
        <v>2016-8</v>
      </c>
    </row>
    <row r="339" spans="1:4" x14ac:dyDescent="0.25">
      <c r="A339" t="s">
        <v>1598</v>
      </c>
      <c r="B339">
        <v>1</v>
      </c>
      <c r="C339" s="56">
        <v>42522</v>
      </c>
      <c r="D339" s="3" t="str">
        <f>YEAR(Datos_Consumo[[#This Row],[FECHA]])&amp;"-"&amp;MONTH(Datos_Consumo[[#This Row],[FECHA]])</f>
        <v>2016-6</v>
      </c>
    </row>
    <row r="340" spans="1:4" x14ac:dyDescent="0.25">
      <c r="A340" t="s">
        <v>1598</v>
      </c>
      <c r="B340">
        <v>1</v>
      </c>
      <c r="C340" s="56">
        <v>42552</v>
      </c>
      <c r="D340" s="3" t="str">
        <f>YEAR(Datos_Consumo[[#This Row],[FECHA]])&amp;"-"&amp;MONTH(Datos_Consumo[[#This Row],[FECHA]])</f>
        <v>2016-7</v>
      </c>
    </row>
    <row r="341" spans="1:4" x14ac:dyDescent="0.25">
      <c r="A341" t="s">
        <v>1599</v>
      </c>
      <c r="B341">
        <v>1</v>
      </c>
      <c r="C341" s="56">
        <v>42491</v>
      </c>
      <c r="D341" s="3" t="str">
        <f>YEAR(Datos_Consumo[[#This Row],[FECHA]])&amp;"-"&amp;MONTH(Datos_Consumo[[#This Row],[FECHA]])</f>
        <v>2016-5</v>
      </c>
    </row>
    <row r="342" spans="1:4" x14ac:dyDescent="0.25">
      <c r="A342" t="s">
        <v>1599</v>
      </c>
      <c r="B342">
        <v>1</v>
      </c>
      <c r="C342" s="56">
        <v>42522</v>
      </c>
      <c r="D342" s="3" t="str">
        <f>YEAR(Datos_Consumo[[#This Row],[FECHA]])&amp;"-"&amp;MONTH(Datos_Consumo[[#This Row],[FECHA]])</f>
        <v>2016-6</v>
      </c>
    </row>
    <row r="343" spans="1:4" x14ac:dyDescent="0.25">
      <c r="A343" t="s">
        <v>1599</v>
      </c>
      <c r="B343">
        <v>1</v>
      </c>
      <c r="C343" s="56">
        <v>42552</v>
      </c>
      <c r="D343" s="3" t="str">
        <f>YEAR(Datos_Consumo[[#This Row],[FECHA]])&amp;"-"&amp;MONTH(Datos_Consumo[[#This Row],[FECHA]])</f>
        <v>2016-7</v>
      </c>
    </row>
    <row r="344" spans="1:4" x14ac:dyDescent="0.25">
      <c r="A344" t="s">
        <v>1600</v>
      </c>
      <c r="B344">
        <v>1</v>
      </c>
      <c r="C344" s="56">
        <v>42522</v>
      </c>
      <c r="D344" s="3" t="str">
        <f>YEAR(Datos_Consumo[[#This Row],[FECHA]])&amp;"-"&amp;MONTH(Datos_Consumo[[#This Row],[FECHA]])</f>
        <v>2016-6</v>
      </c>
    </row>
    <row r="345" spans="1:4" x14ac:dyDescent="0.25">
      <c r="A345" t="s">
        <v>1600</v>
      </c>
      <c r="B345">
        <v>5</v>
      </c>
      <c r="C345" s="56">
        <v>42552</v>
      </c>
      <c r="D345" s="3" t="str">
        <f>YEAR(Datos_Consumo[[#This Row],[FECHA]])&amp;"-"&amp;MONTH(Datos_Consumo[[#This Row],[FECHA]])</f>
        <v>2016-7</v>
      </c>
    </row>
    <row r="346" spans="1:4" x14ac:dyDescent="0.25">
      <c r="A346" t="s">
        <v>1600</v>
      </c>
      <c r="B346">
        <v>7</v>
      </c>
      <c r="C346" s="56">
        <v>42583</v>
      </c>
      <c r="D346" s="3" t="str">
        <f>YEAR(Datos_Consumo[[#This Row],[FECHA]])&amp;"-"&amp;MONTH(Datos_Consumo[[#This Row],[FECHA]])</f>
        <v>2016-8</v>
      </c>
    </row>
    <row r="347" spans="1:4" x14ac:dyDescent="0.25">
      <c r="A347" t="s">
        <v>2418</v>
      </c>
      <c r="B347">
        <v>3</v>
      </c>
      <c r="C347" s="56">
        <v>42552</v>
      </c>
      <c r="D347" s="3" t="str">
        <f>YEAR(Datos_Consumo[[#This Row],[FECHA]])&amp;"-"&amp;MONTH(Datos_Consumo[[#This Row],[FECHA]])</f>
        <v>2016-7</v>
      </c>
    </row>
    <row r="348" spans="1:4" x14ac:dyDescent="0.25">
      <c r="A348" t="s">
        <v>2418</v>
      </c>
      <c r="B348">
        <v>2</v>
      </c>
      <c r="C348" s="56">
        <v>42583</v>
      </c>
      <c r="D348" s="3" t="str">
        <f>YEAR(Datos_Consumo[[#This Row],[FECHA]])&amp;"-"&amp;MONTH(Datos_Consumo[[#This Row],[FECHA]])</f>
        <v>2016-8</v>
      </c>
    </row>
    <row r="349" spans="1:4" x14ac:dyDescent="0.25">
      <c r="A349" t="s">
        <v>2419</v>
      </c>
      <c r="B349">
        <v>2</v>
      </c>
      <c r="C349" s="56">
        <v>42583</v>
      </c>
      <c r="D349" s="3" t="str">
        <f>YEAR(Datos_Consumo[[#This Row],[FECHA]])&amp;"-"&amp;MONTH(Datos_Consumo[[#This Row],[FECHA]])</f>
        <v>2016-8</v>
      </c>
    </row>
    <row r="350" spans="1:4" x14ac:dyDescent="0.25">
      <c r="A350" t="s">
        <v>1601</v>
      </c>
      <c r="B350">
        <v>4</v>
      </c>
      <c r="C350" s="56">
        <v>42522</v>
      </c>
      <c r="D350" s="3" t="str">
        <f>YEAR(Datos_Consumo[[#This Row],[FECHA]])&amp;"-"&amp;MONTH(Datos_Consumo[[#This Row],[FECHA]])</f>
        <v>2016-6</v>
      </c>
    </row>
    <row r="351" spans="1:4" x14ac:dyDescent="0.25">
      <c r="A351" t="s">
        <v>1602</v>
      </c>
      <c r="B351">
        <v>4</v>
      </c>
      <c r="C351" s="56">
        <v>42522</v>
      </c>
      <c r="D351" s="3" t="str">
        <f>YEAR(Datos_Consumo[[#This Row],[FECHA]])&amp;"-"&amp;MONTH(Datos_Consumo[[#This Row],[FECHA]])</f>
        <v>2016-6</v>
      </c>
    </row>
    <row r="352" spans="1:4" x14ac:dyDescent="0.25">
      <c r="A352" t="s">
        <v>1603</v>
      </c>
      <c r="B352">
        <v>1</v>
      </c>
      <c r="C352" s="56">
        <v>42491</v>
      </c>
      <c r="D352" s="3" t="str">
        <f>YEAR(Datos_Consumo[[#This Row],[FECHA]])&amp;"-"&amp;MONTH(Datos_Consumo[[#This Row],[FECHA]])</f>
        <v>2016-5</v>
      </c>
    </row>
    <row r="353" spans="1:4" x14ac:dyDescent="0.25">
      <c r="A353" t="s">
        <v>1604</v>
      </c>
      <c r="B353">
        <v>2</v>
      </c>
      <c r="C353" s="56">
        <v>42491</v>
      </c>
      <c r="D353" s="3" t="str">
        <f>YEAR(Datos_Consumo[[#This Row],[FECHA]])&amp;"-"&amp;MONTH(Datos_Consumo[[#This Row],[FECHA]])</f>
        <v>2016-5</v>
      </c>
    </row>
    <row r="354" spans="1:4" x14ac:dyDescent="0.25">
      <c r="A354" t="s">
        <v>1604</v>
      </c>
      <c r="B354">
        <v>2</v>
      </c>
      <c r="C354" s="56">
        <v>42522</v>
      </c>
      <c r="D354" s="3" t="str">
        <f>YEAR(Datos_Consumo[[#This Row],[FECHA]])&amp;"-"&amp;MONTH(Datos_Consumo[[#This Row],[FECHA]])</f>
        <v>2016-6</v>
      </c>
    </row>
    <row r="355" spans="1:4" x14ac:dyDescent="0.25">
      <c r="A355" t="s">
        <v>1604</v>
      </c>
      <c r="B355">
        <v>10</v>
      </c>
      <c r="C355" s="56">
        <v>42552</v>
      </c>
      <c r="D355" s="3" t="str">
        <f>YEAR(Datos_Consumo[[#This Row],[FECHA]])&amp;"-"&amp;MONTH(Datos_Consumo[[#This Row],[FECHA]])</f>
        <v>2016-7</v>
      </c>
    </row>
    <row r="356" spans="1:4" x14ac:dyDescent="0.25">
      <c r="A356" t="s">
        <v>1604</v>
      </c>
      <c r="B356">
        <v>23</v>
      </c>
      <c r="C356" s="56">
        <v>42583</v>
      </c>
      <c r="D356" s="3" t="str">
        <f>YEAR(Datos_Consumo[[#This Row],[FECHA]])&amp;"-"&amp;MONTH(Datos_Consumo[[#This Row],[FECHA]])</f>
        <v>2016-8</v>
      </c>
    </row>
    <row r="357" spans="1:4" x14ac:dyDescent="0.25">
      <c r="A357" t="s">
        <v>1604</v>
      </c>
      <c r="B357">
        <v>1</v>
      </c>
      <c r="C357" s="56">
        <v>42614</v>
      </c>
      <c r="D357" s="3" t="str">
        <f>YEAR(Datos_Consumo[[#This Row],[FECHA]])&amp;"-"&amp;MONTH(Datos_Consumo[[#This Row],[FECHA]])</f>
        <v>2016-9</v>
      </c>
    </row>
    <row r="358" spans="1:4" x14ac:dyDescent="0.25">
      <c r="A358" t="s">
        <v>1605</v>
      </c>
      <c r="B358">
        <v>2</v>
      </c>
      <c r="C358" s="56">
        <v>42491</v>
      </c>
      <c r="D358" s="3" t="str">
        <f>YEAR(Datos_Consumo[[#This Row],[FECHA]])&amp;"-"&amp;MONTH(Datos_Consumo[[#This Row],[FECHA]])</f>
        <v>2016-5</v>
      </c>
    </row>
    <row r="359" spans="1:4" x14ac:dyDescent="0.25">
      <c r="A359" t="s">
        <v>1605</v>
      </c>
      <c r="B359">
        <v>30</v>
      </c>
      <c r="C359" s="56">
        <v>42522</v>
      </c>
      <c r="D359" s="3" t="str">
        <f>YEAR(Datos_Consumo[[#This Row],[FECHA]])&amp;"-"&amp;MONTH(Datos_Consumo[[#This Row],[FECHA]])</f>
        <v>2016-6</v>
      </c>
    </row>
    <row r="360" spans="1:4" x14ac:dyDescent="0.25">
      <c r="A360" t="s">
        <v>1605</v>
      </c>
      <c r="B360">
        <v>10</v>
      </c>
      <c r="C360" s="56">
        <v>42552</v>
      </c>
      <c r="D360" s="3" t="str">
        <f>YEAR(Datos_Consumo[[#This Row],[FECHA]])&amp;"-"&amp;MONTH(Datos_Consumo[[#This Row],[FECHA]])</f>
        <v>2016-7</v>
      </c>
    </row>
    <row r="361" spans="1:4" x14ac:dyDescent="0.25">
      <c r="A361" t="s">
        <v>1605</v>
      </c>
      <c r="B361">
        <v>35</v>
      </c>
      <c r="C361" s="56">
        <v>42583</v>
      </c>
      <c r="D361" s="3" t="str">
        <f>YEAR(Datos_Consumo[[#This Row],[FECHA]])&amp;"-"&amp;MONTH(Datos_Consumo[[#This Row],[FECHA]])</f>
        <v>2016-8</v>
      </c>
    </row>
    <row r="362" spans="1:4" x14ac:dyDescent="0.25">
      <c r="A362" t="s">
        <v>1605</v>
      </c>
      <c r="B362">
        <v>20</v>
      </c>
      <c r="C362" s="56">
        <v>42614</v>
      </c>
      <c r="D362" s="3" t="str">
        <f>YEAR(Datos_Consumo[[#This Row],[FECHA]])&amp;"-"&amp;MONTH(Datos_Consumo[[#This Row],[FECHA]])</f>
        <v>2016-9</v>
      </c>
    </row>
    <row r="363" spans="1:4" x14ac:dyDescent="0.25">
      <c r="A363" t="s">
        <v>1606</v>
      </c>
      <c r="B363">
        <v>22</v>
      </c>
      <c r="C363" s="56">
        <v>42491</v>
      </c>
      <c r="D363" s="3" t="str">
        <f>YEAR(Datos_Consumo[[#This Row],[FECHA]])&amp;"-"&amp;MONTH(Datos_Consumo[[#This Row],[FECHA]])</f>
        <v>2016-5</v>
      </c>
    </row>
    <row r="364" spans="1:4" x14ac:dyDescent="0.25">
      <c r="A364" t="s">
        <v>1606</v>
      </c>
      <c r="B364">
        <v>13</v>
      </c>
      <c r="C364" s="56">
        <v>42522</v>
      </c>
      <c r="D364" s="3" t="str">
        <f>YEAR(Datos_Consumo[[#This Row],[FECHA]])&amp;"-"&amp;MONTH(Datos_Consumo[[#This Row],[FECHA]])</f>
        <v>2016-6</v>
      </c>
    </row>
    <row r="365" spans="1:4" x14ac:dyDescent="0.25">
      <c r="A365" t="s">
        <v>1606</v>
      </c>
      <c r="B365">
        <v>25</v>
      </c>
      <c r="C365" s="56">
        <v>42583</v>
      </c>
      <c r="D365" s="3" t="str">
        <f>YEAR(Datos_Consumo[[#This Row],[FECHA]])&amp;"-"&amp;MONTH(Datos_Consumo[[#This Row],[FECHA]])</f>
        <v>2016-8</v>
      </c>
    </row>
    <row r="366" spans="1:4" x14ac:dyDescent="0.25">
      <c r="A366" t="s">
        <v>1606</v>
      </c>
      <c r="B366">
        <v>1</v>
      </c>
      <c r="C366" s="56">
        <v>42614</v>
      </c>
      <c r="D366" s="3" t="str">
        <f>YEAR(Datos_Consumo[[#This Row],[FECHA]])&amp;"-"&amp;MONTH(Datos_Consumo[[#This Row],[FECHA]])</f>
        <v>2016-9</v>
      </c>
    </row>
    <row r="367" spans="1:4" x14ac:dyDescent="0.25">
      <c r="A367" t="s">
        <v>2420</v>
      </c>
      <c r="B367">
        <v>2</v>
      </c>
      <c r="C367" s="56">
        <v>42522</v>
      </c>
      <c r="D367" s="3" t="str">
        <f>YEAR(Datos_Consumo[[#This Row],[FECHA]])&amp;"-"&amp;MONTH(Datos_Consumo[[#This Row],[FECHA]])</f>
        <v>2016-6</v>
      </c>
    </row>
    <row r="368" spans="1:4" x14ac:dyDescent="0.25">
      <c r="A368" t="s">
        <v>2420</v>
      </c>
      <c r="B368">
        <v>4</v>
      </c>
      <c r="C368" s="56">
        <v>42583</v>
      </c>
      <c r="D368" s="3" t="str">
        <f>YEAR(Datos_Consumo[[#This Row],[FECHA]])&amp;"-"&amp;MONTH(Datos_Consumo[[#This Row],[FECHA]])</f>
        <v>2016-8</v>
      </c>
    </row>
    <row r="369" spans="1:4" x14ac:dyDescent="0.25">
      <c r="A369" t="s">
        <v>1607</v>
      </c>
      <c r="B369">
        <v>19</v>
      </c>
      <c r="C369" s="56">
        <v>42491</v>
      </c>
      <c r="D369" s="3" t="str">
        <f>YEAR(Datos_Consumo[[#This Row],[FECHA]])&amp;"-"&amp;MONTH(Datos_Consumo[[#This Row],[FECHA]])</f>
        <v>2016-5</v>
      </c>
    </row>
    <row r="370" spans="1:4" x14ac:dyDescent="0.25">
      <c r="A370" t="s">
        <v>1607</v>
      </c>
      <c r="B370">
        <v>15</v>
      </c>
      <c r="C370" s="56">
        <v>42552</v>
      </c>
      <c r="D370" s="3" t="str">
        <f>YEAR(Datos_Consumo[[#This Row],[FECHA]])&amp;"-"&amp;MONTH(Datos_Consumo[[#This Row],[FECHA]])</f>
        <v>2016-7</v>
      </c>
    </row>
    <row r="371" spans="1:4" x14ac:dyDescent="0.25">
      <c r="A371" t="s">
        <v>1607</v>
      </c>
      <c r="B371">
        <v>14</v>
      </c>
      <c r="C371" s="56">
        <v>42583</v>
      </c>
      <c r="D371" s="3" t="str">
        <f>YEAR(Datos_Consumo[[#This Row],[FECHA]])&amp;"-"&amp;MONTH(Datos_Consumo[[#This Row],[FECHA]])</f>
        <v>2016-8</v>
      </c>
    </row>
    <row r="372" spans="1:4" x14ac:dyDescent="0.25">
      <c r="A372" t="s">
        <v>2421</v>
      </c>
      <c r="B372">
        <v>2</v>
      </c>
      <c r="C372" s="56">
        <v>42522</v>
      </c>
      <c r="D372" s="3" t="str">
        <f>YEAR(Datos_Consumo[[#This Row],[FECHA]])&amp;"-"&amp;MONTH(Datos_Consumo[[#This Row],[FECHA]])</f>
        <v>2016-6</v>
      </c>
    </row>
    <row r="373" spans="1:4" x14ac:dyDescent="0.25">
      <c r="A373" t="s">
        <v>2421</v>
      </c>
      <c r="B373">
        <v>15</v>
      </c>
      <c r="C373" s="56">
        <v>42552</v>
      </c>
      <c r="D373" s="3" t="str">
        <f>YEAR(Datos_Consumo[[#This Row],[FECHA]])&amp;"-"&amp;MONTH(Datos_Consumo[[#This Row],[FECHA]])</f>
        <v>2016-7</v>
      </c>
    </row>
    <row r="374" spans="1:4" x14ac:dyDescent="0.25">
      <c r="A374" t="s">
        <v>2421</v>
      </c>
      <c r="B374">
        <v>15</v>
      </c>
      <c r="C374" s="56">
        <v>42583</v>
      </c>
      <c r="D374" s="3" t="str">
        <f>YEAR(Datos_Consumo[[#This Row],[FECHA]])&amp;"-"&amp;MONTH(Datos_Consumo[[#This Row],[FECHA]])</f>
        <v>2016-8</v>
      </c>
    </row>
    <row r="375" spans="1:4" x14ac:dyDescent="0.25">
      <c r="A375" t="s">
        <v>2421</v>
      </c>
      <c r="B375">
        <v>10</v>
      </c>
      <c r="C375" s="56">
        <v>42614</v>
      </c>
      <c r="D375" s="3" t="str">
        <f>YEAR(Datos_Consumo[[#This Row],[FECHA]])&amp;"-"&amp;MONTH(Datos_Consumo[[#This Row],[FECHA]])</f>
        <v>2016-9</v>
      </c>
    </row>
    <row r="376" spans="1:4" x14ac:dyDescent="0.25">
      <c r="A376" t="s">
        <v>1608</v>
      </c>
      <c r="B376">
        <v>10</v>
      </c>
      <c r="C376" s="56">
        <v>42491</v>
      </c>
      <c r="D376" s="3" t="str">
        <f>YEAR(Datos_Consumo[[#This Row],[FECHA]])&amp;"-"&amp;MONTH(Datos_Consumo[[#This Row],[FECHA]])</f>
        <v>2016-5</v>
      </c>
    </row>
    <row r="377" spans="1:4" x14ac:dyDescent="0.25">
      <c r="A377" t="s">
        <v>1608</v>
      </c>
      <c r="B377">
        <v>7</v>
      </c>
      <c r="C377" s="56">
        <v>42522</v>
      </c>
      <c r="D377" s="3" t="str">
        <f>YEAR(Datos_Consumo[[#This Row],[FECHA]])&amp;"-"&amp;MONTH(Datos_Consumo[[#This Row],[FECHA]])</f>
        <v>2016-6</v>
      </c>
    </row>
    <row r="378" spans="1:4" x14ac:dyDescent="0.25">
      <c r="A378" t="s">
        <v>1608</v>
      </c>
      <c r="B378">
        <v>10</v>
      </c>
      <c r="C378" s="56">
        <v>42552</v>
      </c>
      <c r="D378" s="3" t="str">
        <f>YEAR(Datos_Consumo[[#This Row],[FECHA]])&amp;"-"&amp;MONTH(Datos_Consumo[[#This Row],[FECHA]])</f>
        <v>2016-7</v>
      </c>
    </row>
    <row r="379" spans="1:4" x14ac:dyDescent="0.25">
      <c r="A379" t="s">
        <v>1608</v>
      </c>
      <c r="B379">
        <v>11</v>
      </c>
      <c r="C379" s="56">
        <v>42583</v>
      </c>
      <c r="D379" s="3" t="str">
        <f>YEAR(Datos_Consumo[[#This Row],[FECHA]])&amp;"-"&amp;MONTH(Datos_Consumo[[#This Row],[FECHA]])</f>
        <v>2016-8</v>
      </c>
    </row>
    <row r="380" spans="1:4" x14ac:dyDescent="0.25">
      <c r="A380" t="s">
        <v>2422</v>
      </c>
      <c r="B380">
        <v>25</v>
      </c>
      <c r="C380" s="56">
        <v>42552</v>
      </c>
      <c r="D380" s="3" t="str">
        <f>YEAR(Datos_Consumo[[#This Row],[FECHA]])&amp;"-"&amp;MONTH(Datos_Consumo[[#This Row],[FECHA]])</f>
        <v>2016-7</v>
      </c>
    </row>
    <row r="381" spans="1:4" x14ac:dyDescent="0.25">
      <c r="A381" t="s">
        <v>2422</v>
      </c>
      <c r="B381">
        <v>10</v>
      </c>
      <c r="C381" s="56">
        <v>42614</v>
      </c>
      <c r="D381" s="3" t="str">
        <f>YEAR(Datos_Consumo[[#This Row],[FECHA]])&amp;"-"&amp;MONTH(Datos_Consumo[[#This Row],[FECHA]])</f>
        <v>2016-9</v>
      </c>
    </row>
    <row r="382" spans="1:4" x14ac:dyDescent="0.25">
      <c r="A382" t="s">
        <v>1609</v>
      </c>
      <c r="B382">
        <v>10</v>
      </c>
      <c r="C382" s="56">
        <v>42522</v>
      </c>
      <c r="D382" s="3" t="str">
        <f>YEAR(Datos_Consumo[[#This Row],[FECHA]])&amp;"-"&amp;MONTH(Datos_Consumo[[#This Row],[FECHA]])</f>
        <v>2016-6</v>
      </c>
    </row>
    <row r="383" spans="1:4" x14ac:dyDescent="0.25">
      <c r="A383" t="s">
        <v>1609</v>
      </c>
      <c r="B383">
        <v>5</v>
      </c>
      <c r="C383" s="56">
        <v>42552</v>
      </c>
      <c r="D383" s="3" t="str">
        <f>YEAR(Datos_Consumo[[#This Row],[FECHA]])&amp;"-"&amp;MONTH(Datos_Consumo[[#This Row],[FECHA]])</f>
        <v>2016-7</v>
      </c>
    </row>
    <row r="384" spans="1:4" x14ac:dyDescent="0.25">
      <c r="A384" t="s">
        <v>1609</v>
      </c>
      <c r="B384">
        <v>25</v>
      </c>
      <c r="C384" s="56">
        <v>42583</v>
      </c>
      <c r="D384" s="3" t="str">
        <f>YEAR(Datos_Consumo[[#This Row],[FECHA]])&amp;"-"&amp;MONTH(Datos_Consumo[[#This Row],[FECHA]])</f>
        <v>2016-8</v>
      </c>
    </row>
    <row r="385" spans="1:4" x14ac:dyDescent="0.25">
      <c r="A385" t="s">
        <v>2423</v>
      </c>
      <c r="B385">
        <v>10</v>
      </c>
      <c r="C385" s="56">
        <v>42583</v>
      </c>
      <c r="D385" s="3" t="str">
        <f>YEAR(Datos_Consumo[[#This Row],[FECHA]])&amp;"-"&amp;MONTH(Datos_Consumo[[#This Row],[FECHA]])</f>
        <v>2016-8</v>
      </c>
    </row>
    <row r="386" spans="1:4" x14ac:dyDescent="0.25">
      <c r="A386" t="s">
        <v>2423</v>
      </c>
      <c r="B386">
        <v>4</v>
      </c>
      <c r="C386" s="56">
        <v>42614</v>
      </c>
      <c r="D386" s="3" t="str">
        <f>YEAR(Datos_Consumo[[#This Row],[FECHA]])&amp;"-"&amp;MONTH(Datos_Consumo[[#This Row],[FECHA]])</f>
        <v>2016-9</v>
      </c>
    </row>
    <row r="387" spans="1:4" x14ac:dyDescent="0.25">
      <c r="A387" t="s">
        <v>1610</v>
      </c>
      <c r="B387">
        <v>10</v>
      </c>
      <c r="C387" s="56">
        <v>42614</v>
      </c>
      <c r="D387" s="3" t="str">
        <f>YEAR(Datos_Consumo[[#This Row],[FECHA]])&amp;"-"&amp;MONTH(Datos_Consumo[[#This Row],[FECHA]])</f>
        <v>2016-9</v>
      </c>
    </row>
    <row r="388" spans="1:4" x14ac:dyDescent="0.25">
      <c r="A388" t="s">
        <v>1611</v>
      </c>
      <c r="B388">
        <v>10</v>
      </c>
      <c r="C388" s="56">
        <v>42491</v>
      </c>
      <c r="D388" s="3" t="str">
        <f>YEAR(Datos_Consumo[[#This Row],[FECHA]])&amp;"-"&amp;MONTH(Datos_Consumo[[#This Row],[FECHA]])</f>
        <v>2016-5</v>
      </c>
    </row>
    <row r="389" spans="1:4" x14ac:dyDescent="0.25">
      <c r="A389" t="s">
        <v>1611</v>
      </c>
      <c r="B389">
        <v>5</v>
      </c>
      <c r="C389" s="56">
        <v>42552</v>
      </c>
      <c r="D389" s="3" t="str">
        <f>YEAR(Datos_Consumo[[#This Row],[FECHA]])&amp;"-"&amp;MONTH(Datos_Consumo[[#This Row],[FECHA]])</f>
        <v>2016-7</v>
      </c>
    </row>
    <row r="390" spans="1:4" x14ac:dyDescent="0.25">
      <c r="A390" t="s">
        <v>2424</v>
      </c>
      <c r="B390">
        <v>15</v>
      </c>
      <c r="C390" s="56">
        <v>42552</v>
      </c>
      <c r="D390" s="3" t="str">
        <f>YEAR(Datos_Consumo[[#This Row],[FECHA]])&amp;"-"&amp;MONTH(Datos_Consumo[[#This Row],[FECHA]])</f>
        <v>2016-7</v>
      </c>
    </row>
    <row r="391" spans="1:4" x14ac:dyDescent="0.25">
      <c r="A391" t="s">
        <v>2424</v>
      </c>
      <c r="B391">
        <v>45</v>
      </c>
      <c r="C391" s="56">
        <v>42583</v>
      </c>
      <c r="D391" s="3" t="str">
        <f>YEAR(Datos_Consumo[[#This Row],[FECHA]])&amp;"-"&amp;MONTH(Datos_Consumo[[#This Row],[FECHA]])</f>
        <v>2016-8</v>
      </c>
    </row>
    <row r="392" spans="1:4" x14ac:dyDescent="0.25">
      <c r="A392" t="s">
        <v>1612</v>
      </c>
      <c r="B392">
        <v>20</v>
      </c>
      <c r="C392" s="56">
        <v>42522</v>
      </c>
      <c r="D392" s="3" t="str">
        <f>YEAR(Datos_Consumo[[#This Row],[FECHA]])&amp;"-"&amp;MONTH(Datos_Consumo[[#This Row],[FECHA]])</f>
        <v>2016-6</v>
      </c>
    </row>
    <row r="393" spans="1:4" x14ac:dyDescent="0.25">
      <c r="A393" t="s">
        <v>1612</v>
      </c>
      <c r="B393">
        <v>10</v>
      </c>
      <c r="C393" s="56">
        <v>42583</v>
      </c>
      <c r="D393" s="3" t="str">
        <f>YEAR(Datos_Consumo[[#This Row],[FECHA]])&amp;"-"&amp;MONTH(Datos_Consumo[[#This Row],[FECHA]])</f>
        <v>2016-8</v>
      </c>
    </row>
    <row r="394" spans="1:4" x14ac:dyDescent="0.25">
      <c r="A394" t="s">
        <v>1613</v>
      </c>
      <c r="B394">
        <v>17</v>
      </c>
      <c r="C394" s="56">
        <v>42583</v>
      </c>
      <c r="D394" s="3" t="str">
        <f>YEAR(Datos_Consumo[[#This Row],[FECHA]])&amp;"-"&amp;MONTH(Datos_Consumo[[#This Row],[FECHA]])</f>
        <v>2016-8</v>
      </c>
    </row>
    <row r="395" spans="1:4" x14ac:dyDescent="0.25">
      <c r="A395" t="s">
        <v>2425</v>
      </c>
      <c r="B395">
        <v>5</v>
      </c>
      <c r="C395" s="56">
        <v>42552</v>
      </c>
      <c r="D395" s="3" t="str">
        <f>YEAR(Datos_Consumo[[#This Row],[FECHA]])&amp;"-"&amp;MONTH(Datos_Consumo[[#This Row],[FECHA]])</f>
        <v>2016-7</v>
      </c>
    </row>
    <row r="396" spans="1:4" x14ac:dyDescent="0.25">
      <c r="A396" t="s">
        <v>2425</v>
      </c>
      <c r="B396">
        <v>17</v>
      </c>
      <c r="C396" s="56">
        <v>42583</v>
      </c>
      <c r="D396" s="3" t="str">
        <f>YEAR(Datos_Consumo[[#This Row],[FECHA]])&amp;"-"&amp;MONTH(Datos_Consumo[[#This Row],[FECHA]])</f>
        <v>2016-8</v>
      </c>
    </row>
    <row r="397" spans="1:4" x14ac:dyDescent="0.25">
      <c r="A397" t="s">
        <v>1614</v>
      </c>
      <c r="B397">
        <v>5</v>
      </c>
      <c r="C397" s="56">
        <v>42491</v>
      </c>
      <c r="D397" s="3" t="str">
        <f>YEAR(Datos_Consumo[[#This Row],[FECHA]])&amp;"-"&amp;MONTH(Datos_Consumo[[#This Row],[FECHA]])</f>
        <v>2016-5</v>
      </c>
    </row>
    <row r="398" spans="1:4" x14ac:dyDescent="0.25">
      <c r="A398" t="s">
        <v>1614</v>
      </c>
      <c r="B398">
        <v>1</v>
      </c>
      <c r="C398" s="56">
        <v>42522</v>
      </c>
      <c r="D398" s="3" t="str">
        <f>YEAR(Datos_Consumo[[#This Row],[FECHA]])&amp;"-"&amp;MONTH(Datos_Consumo[[#This Row],[FECHA]])</f>
        <v>2016-6</v>
      </c>
    </row>
    <row r="399" spans="1:4" x14ac:dyDescent="0.25">
      <c r="A399" t="s">
        <v>1614</v>
      </c>
      <c r="B399">
        <v>5</v>
      </c>
      <c r="C399" s="56">
        <v>42552</v>
      </c>
      <c r="D399" s="3" t="str">
        <f>YEAR(Datos_Consumo[[#This Row],[FECHA]])&amp;"-"&amp;MONTH(Datos_Consumo[[#This Row],[FECHA]])</f>
        <v>2016-7</v>
      </c>
    </row>
    <row r="400" spans="1:4" x14ac:dyDescent="0.25">
      <c r="A400" t="s">
        <v>1614</v>
      </c>
      <c r="B400">
        <v>3</v>
      </c>
      <c r="C400" s="56">
        <v>42583</v>
      </c>
      <c r="D400" s="3" t="str">
        <f>YEAR(Datos_Consumo[[#This Row],[FECHA]])&amp;"-"&amp;MONTH(Datos_Consumo[[#This Row],[FECHA]])</f>
        <v>2016-8</v>
      </c>
    </row>
    <row r="401" spans="1:4" x14ac:dyDescent="0.25">
      <c r="A401" t="s">
        <v>1614</v>
      </c>
      <c r="B401">
        <v>10</v>
      </c>
      <c r="C401" s="56">
        <v>42614</v>
      </c>
      <c r="D401" s="3" t="str">
        <f>YEAR(Datos_Consumo[[#This Row],[FECHA]])&amp;"-"&amp;MONTH(Datos_Consumo[[#This Row],[FECHA]])</f>
        <v>2016-9</v>
      </c>
    </row>
    <row r="402" spans="1:4" x14ac:dyDescent="0.25">
      <c r="A402" t="s">
        <v>2426</v>
      </c>
      <c r="B402">
        <v>1</v>
      </c>
      <c r="C402" s="56">
        <v>42522</v>
      </c>
      <c r="D402" s="3" t="str">
        <f>YEAR(Datos_Consumo[[#This Row],[FECHA]])&amp;"-"&amp;MONTH(Datos_Consumo[[#This Row],[FECHA]])</f>
        <v>2016-6</v>
      </c>
    </row>
    <row r="403" spans="1:4" x14ac:dyDescent="0.25">
      <c r="A403" t="s">
        <v>2426</v>
      </c>
      <c r="B403">
        <v>201</v>
      </c>
      <c r="C403" s="56">
        <v>42583</v>
      </c>
      <c r="D403" s="3" t="str">
        <f>YEAR(Datos_Consumo[[#This Row],[FECHA]])&amp;"-"&amp;MONTH(Datos_Consumo[[#This Row],[FECHA]])</f>
        <v>2016-8</v>
      </c>
    </row>
    <row r="404" spans="1:4" x14ac:dyDescent="0.25">
      <c r="A404" t="s">
        <v>1615</v>
      </c>
      <c r="B404">
        <v>3</v>
      </c>
      <c r="C404" s="56">
        <v>42522</v>
      </c>
      <c r="D404" s="3" t="str">
        <f>YEAR(Datos_Consumo[[#This Row],[FECHA]])&amp;"-"&amp;MONTH(Datos_Consumo[[#This Row],[FECHA]])</f>
        <v>2016-6</v>
      </c>
    </row>
    <row r="405" spans="1:4" x14ac:dyDescent="0.25">
      <c r="A405" t="s">
        <v>1615</v>
      </c>
      <c r="B405">
        <v>1</v>
      </c>
      <c r="C405" s="56">
        <v>42552</v>
      </c>
      <c r="D405" s="3" t="str">
        <f>YEAR(Datos_Consumo[[#This Row],[FECHA]])&amp;"-"&amp;MONTH(Datos_Consumo[[#This Row],[FECHA]])</f>
        <v>2016-7</v>
      </c>
    </row>
    <row r="406" spans="1:4" x14ac:dyDescent="0.25">
      <c r="A406" t="s">
        <v>1616</v>
      </c>
      <c r="B406">
        <v>21</v>
      </c>
      <c r="C406" s="56">
        <v>42491</v>
      </c>
      <c r="D406" s="3" t="str">
        <f>YEAR(Datos_Consumo[[#This Row],[FECHA]])&amp;"-"&amp;MONTH(Datos_Consumo[[#This Row],[FECHA]])</f>
        <v>2016-5</v>
      </c>
    </row>
    <row r="407" spans="1:4" x14ac:dyDescent="0.25">
      <c r="A407" t="s">
        <v>1616</v>
      </c>
      <c r="B407">
        <v>9</v>
      </c>
      <c r="C407" s="56">
        <v>42522</v>
      </c>
      <c r="D407" s="3" t="str">
        <f>YEAR(Datos_Consumo[[#This Row],[FECHA]])&amp;"-"&amp;MONTH(Datos_Consumo[[#This Row],[FECHA]])</f>
        <v>2016-6</v>
      </c>
    </row>
    <row r="408" spans="1:4" x14ac:dyDescent="0.25">
      <c r="A408" t="s">
        <v>1616</v>
      </c>
      <c r="B408">
        <v>20</v>
      </c>
      <c r="C408" s="56">
        <v>42552</v>
      </c>
      <c r="D408" s="3" t="str">
        <f>YEAR(Datos_Consumo[[#This Row],[FECHA]])&amp;"-"&amp;MONTH(Datos_Consumo[[#This Row],[FECHA]])</f>
        <v>2016-7</v>
      </c>
    </row>
    <row r="409" spans="1:4" x14ac:dyDescent="0.25">
      <c r="A409" t="s">
        <v>1616</v>
      </c>
      <c r="B409">
        <v>20</v>
      </c>
      <c r="C409" s="56">
        <v>42583</v>
      </c>
      <c r="D409" s="3" t="str">
        <f>YEAR(Datos_Consumo[[#This Row],[FECHA]])&amp;"-"&amp;MONTH(Datos_Consumo[[#This Row],[FECHA]])</f>
        <v>2016-8</v>
      </c>
    </row>
    <row r="410" spans="1:4" x14ac:dyDescent="0.25">
      <c r="A410" t="s">
        <v>1617</v>
      </c>
      <c r="B410">
        <v>40</v>
      </c>
      <c r="C410" s="56">
        <v>42491</v>
      </c>
      <c r="D410" s="3" t="str">
        <f>YEAR(Datos_Consumo[[#This Row],[FECHA]])&amp;"-"&amp;MONTH(Datos_Consumo[[#This Row],[FECHA]])</f>
        <v>2016-5</v>
      </c>
    </row>
    <row r="411" spans="1:4" x14ac:dyDescent="0.25">
      <c r="A411" t="s">
        <v>1617</v>
      </c>
      <c r="B411">
        <v>10</v>
      </c>
      <c r="C411" s="56">
        <v>42522</v>
      </c>
      <c r="D411" s="3" t="str">
        <f>YEAR(Datos_Consumo[[#This Row],[FECHA]])&amp;"-"&amp;MONTH(Datos_Consumo[[#This Row],[FECHA]])</f>
        <v>2016-6</v>
      </c>
    </row>
    <row r="412" spans="1:4" x14ac:dyDescent="0.25">
      <c r="A412" t="s">
        <v>1617</v>
      </c>
      <c r="B412">
        <v>30</v>
      </c>
      <c r="C412" s="56">
        <v>42552</v>
      </c>
      <c r="D412" s="3" t="str">
        <f>YEAR(Datos_Consumo[[#This Row],[FECHA]])&amp;"-"&amp;MONTH(Datos_Consumo[[#This Row],[FECHA]])</f>
        <v>2016-7</v>
      </c>
    </row>
    <row r="413" spans="1:4" x14ac:dyDescent="0.25">
      <c r="A413" t="s">
        <v>1617</v>
      </c>
      <c r="B413">
        <v>40</v>
      </c>
      <c r="C413" s="56">
        <v>42614</v>
      </c>
      <c r="D413" s="3" t="str">
        <f>YEAR(Datos_Consumo[[#This Row],[FECHA]])&amp;"-"&amp;MONTH(Datos_Consumo[[#This Row],[FECHA]])</f>
        <v>2016-9</v>
      </c>
    </row>
    <row r="414" spans="1:4" x14ac:dyDescent="0.25">
      <c r="A414" t="s">
        <v>2427</v>
      </c>
      <c r="B414">
        <v>2</v>
      </c>
      <c r="C414" s="56">
        <v>42583</v>
      </c>
      <c r="D414" s="3" t="str">
        <f>YEAR(Datos_Consumo[[#This Row],[FECHA]])&amp;"-"&amp;MONTH(Datos_Consumo[[#This Row],[FECHA]])</f>
        <v>2016-8</v>
      </c>
    </row>
    <row r="415" spans="1:4" x14ac:dyDescent="0.25">
      <c r="A415" t="s">
        <v>1618</v>
      </c>
      <c r="B415">
        <v>15</v>
      </c>
      <c r="C415" s="56">
        <v>42491</v>
      </c>
      <c r="D415" s="3" t="str">
        <f>YEAR(Datos_Consumo[[#This Row],[FECHA]])&amp;"-"&amp;MONTH(Datos_Consumo[[#This Row],[FECHA]])</f>
        <v>2016-5</v>
      </c>
    </row>
    <row r="416" spans="1:4" x14ac:dyDescent="0.25">
      <c r="A416" t="s">
        <v>1618</v>
      </c>
      <c r="B416">
        <v>56</v>
      </c>
      <c r="C416" s="56">
        <v>42522</v>
      </c>
      <c r="D416" s="3" t="str">
        <f>YEAR(Datos_Consumo[[#This Row],[FECHA]])&amp;"-"&amp;MONTH(Datos_Consumo[[#This Row],[FECHA]])</f>
        <v>2016-6</v>
      </c>
    </row>
    <row r="417" spans="1:4" x14ac:dyDescent="0.25">
      <c r="A417" t="s">
        <v>1618</v>
      </c>
      <c r="B417">
        <v>30</v>
      </c>
      <c r="C417" s="56">
        <v>42552</v>
      </c>
      <c r="D417" s="3" t="str">
        <f>YEAR(Datos_Consumo[[#This Row],[FECHA]])&amp;"-"&amp;MONTH(Datos_Consumo[[#This Row],[FECHA]])</f>
        <v>2016-7</v>
      </c>
    </row>
    <row r="418" spans="1:4" x14ac:dyDescent="0.25">
      <c r="A418" t="s">
        <v>1619</v>
      </c>
      <c r="B418">
        <v>7</v>
      </c>
      <c r="C418" s="56">
        <v>42522</v>
      </c>
      <c r="D418" s="3" t="str">
        <f>YEAR(Datos_Consumo[[#This Row],[FECHA]])&amp;"-"&amp;MONTH(Datos_Consumo[[#This Row],[FECHA]])</f>
        <v>2016-6</v>
      </c>
    </row>
    <row r="419" spans="1:4" x14ac:dyDescent="0.25">
      <c r="A419" t="s">
        <v>1620</v>
      </c>
      <c r="B419">
        <v>21</v>
      </c>
      <c r="C419" s="56">
        <v>42491</v>
      </c>
      <c r="D419" s="3" t="str">
        <f>YEAR(Datos_Consumo[[#This Row],[FECHA]])&amp;"-"&amp;MONTH(Datos_Consumo[[#This Row],[FECHA]])</f>
        <v>2016-5</v>
      </c>
    </row>
    <row r="420" spans="1:4" x14ac:dyDescent="0.25">
      <c r="A420" t="s">
        <v>1620</v>
      </c>
      <c r="B420">
        <v>13</v>
      </c>
      <c r="C420" s="56">
        <v>42522</v>
      </c>
      <c r="D420" s="3" t="str">
        <f>YEAR(Datos_Consumo[[#This Row],[FECHA]])&amp;"-"&amp;MONTH(Datos_Consumo[[#This Row],[FECHA]])</f>
        <v>2016-6</v>
      </c>
    </row>
    <row r="421" spans="1:4" x14ac:dyDescent="0.25">
      <c r="A421" t="s">
        <v>1620</v>
      </c>
      <c r="B421">
        <v>29</v>
      </c>
      <c r="C421" s="56">
        <v>42552</v>
      </c>
      <c r="D421" s="3" t="str">
        <f>YEAR(Datos_Consumo[[#This Row],[FECHA]])&amp;"-"&amp;MONTH(Datos_Consumo[[#This Row],[FECHA]])</f>
        <v>2016-7</v>
      </c>
    </row>
    <row r="422" spans="1:4" x14ac:dyDescent="0.25">
      <c r="A422" t="s">
        <v>1620</v>
      </c>
      <c r="B422">
        <v>26</v>
      </c>
      <c r="C422" s="56">
        <v>42583</v>
      </c>
      <c r="D422" s="3" t="str">
        <f>YEAR(Datos_Consumo[[#This Row],[FECHA]])&amp;"-"&amp;MONTH(Datos_Consumo[[#This Row],[FECHA]])</f>
        <v>2016-8</v>
      </c>
    </row>
    <row r="423" spans="1:4" x14ac:dyDescent="0.25">
      <c r="A423" t="s">
        <v>1620</v>
      </c>
      <c r="B423">
        <v>8</v>
      </c>
      <c r="C423" s="56">
        <v>42614</v>
      </c>
      <c r="D423" s="3" t="str">
        <f>YEAR(Datos_Consumo[[#This Row],[FECHA]])&amp;"-"&amp;MONTH(Datos_Consumo[[#This Row],[FECHA]])</f>
        <v>2016-9</v>
      </c>
    </row>
    <row r="424" spans="1:4" x14ac:dyDescent="0.25">
      <c r="A424" t="s">
        <v>1621</v>
      </c>
      <c r="B424">
        <v>136</v>
      </c>
      <c r="C424" s="56">
        <v>42491</v>
      </c>
      <c r="D424" s="3" t="str">
        <f>YEAR(Datos_Consumo[[#This Row],[FECHA]])&amp;"-"&amp;MONTH(Datos_Consumo[[#This Row],[FECHA]])</f>
        <v>2016-5</v>
      </c>
    </row>
    <row r="425" spans="1:4" x14ac:dyDescent="0.25">
      <c r="A425" t="s">
        <v>1621</v>
      </c>
      <c r="B425">
        <v>85</v>
      </c>
      <c r="C425" s="56">
        <v>42522</v>
      </c>
      <c r="D425" s="3" t="str">
        <f>YEAR(Datos_Consumo[[#This Row],[FECHA]])&amp;"-"&amp;MONTH(Datos_Consumo[[#This Row],[FECHA]])</f>
        <v>2016-6</v>
      </c>
    </row>
    <row r="426" spans="1:4" x14ac:dyDescent="0.25">
      <c r="A426" t="s">
        <v>1621</v>
      </c>
      <c r="B426">
        <v>1204</v>
      </c>
      <c r="C426" s="56">
        <v>42552</v>
      </c>
      <c r="D426" s="3" t="str">
        <f>YEAR(Datos_Consumo[[#This Row],[FECHA]])&amp;"-"&amp;MONTH(Datos_Consumo[[#This Row],[FECHA]])</f>
        <v>2016-7</v>
      </c>
    </row>
    <row r="427" spans="1:4" x14ac:dyDescent="0.25">
      <c r="A427" t="s">
        <v>1621</v>
      </c>
      <c r="B427">
        <v>374</v>
      </c>
      <c r="C427" s="56">
        <v>42583</v>
      </c>
      <c r="D427" s="3" t="str">
        <f>YEAR(Datos_Consumo[[#This Row],[FECHA]])&amp;"-"&amp;MONTH(Datos_Consumo[[#This Row],[FECHA]])</f>
        <v>2016-8</v>
      </c>
    </row>
    <row r="428" spans="1:4" x14ac:dyDescent="0.25">
      <c r="A428" t="s">
        <v>1621</v>
      </c>
      <c r="B428">
        <v>32</v>
      </c>
      <c r="C428" s="56">
        <v>42614</v>
      </c>
      <c r="D428" s="3" t="str">
        <f>YEAR(Datos_Consumo[[#This Row],[FECHA]])&amp;"-"&amp;MONTH(Datos_Consumo[[#This Row],[FECHA]])</f>
        <v>2016-9</v>
      </c>
    </row>
    <row r="429" spans="1:4" x14ac:dyDescent="0.25">
      <c r="A429" t="s">
        <v>1622</v>
      </c>
      <c r="B429">
        <v>51</v>
      </c>
      <c r="C429" s="56">
        <v>42491</v>
      </c>
      <c r="D429" s="3" t="str">
        <f>YEAR(Datos_Consumo[[#This Row],[FECHA]])&amp;"-"&amp;MONTH(Datos_Consumo[[#This Row],[FECHA]])</f>
        <v>2016-5</v>
      </c>
    </row>
    <row r="430" spans="1:4" x14ac:dyDescent="0.25">
      <c r="A430" t="s">
        <v>1622</v>
      </c>
      <c r="B430">
        <v>34</v>
      </c>
      <c r="C430" s="56">
        <v>42522</v>
      </c>
      <c r="D430" s="3" t="str">
        <f>YEAR(Datos_Consumo[[#This Row],[FECHA]])&amp;"-"&amp;MONTH(Datos_Consumo[[#This Row],[FECHA]])</f>
        <v>2016-6</v>
      </c>
    </row>
    <row r="431" spans="1:4" x14ac:dyDescent="0.25">
      <c r="A431" t="s">
        <v>1622</v>
      </c>
      <c r="B431">
        <v>409</v>
      </c>
      <c r="C431" s="56">
        <v>42552</v>
      </c>
      <c r="D431" s="3" t="str">
        <f>YEAR(Datos_Consumo[[#This Row],[FECHA]])&amp;"-"&amp;MONTH(Datos_Consumo[[#This Row],[FECHA]])</f>
        <v>2016-7</v>
      </c>
    </row>
    <row r="432" spans="1:4" x14ac:dyDescent="0.25">
      <c r="A432" t="s">
        <v>1622</v>
      </c>
      <c r="B432">
        <v>288</v>
      </c>
      <c r="C432" s="56">
        <v>42583</v>
      </c>
      <c r="D432" s="3" t="str">
        <f>YEAR(Datos_Consumo[[#This Row],[FECHA]])&amp;"-"&amp;MONTH(Datos_Consumo[[#This Row],[FECHA]])</f>
        <v>2016-8</v>
      </c>
    </row>
    <row r="433" spans="1:4" x14ac:dyDescent="0.25">
      <c r="A433" t="s">
        <v>2428</v>
      </c>
      <c r="B433">
        <v>2</v>
      </c>
      <c r="C433" s="56">
        <v>42552</v>
      </c>
      <c r="D433" s="3" t="str">
        <f>YEAR(Datos_Consumo[[#This Row],[FECHA]])&amp;"-"&amp;MONTH(Datos_Consumo[[#This Row],[FECHA]])</f>
        <v>2016-7</v>
      </c>
    </row>
    <row r="434" spans="1:4" x14ac:dyDescent="0.25">
      <c r="A434" t="s">
        <v>1623</v>
      </c>
      <c r="B434">
        <v>6</v>
      </c>
      <c r="C434" s="56">
        <v>42491</v>
      </c>
      <c r="D434" s="3" t="str">
        <f>YEAR(Datos_Consumo[[#This Row],[FECHA]])&amp;"-"&amp;MONTH(Datos_Consumo[[#This Row],[FECHA]])</f>
        <v>2016-5</v>
      </c>
    </row>
    <row r="435" spans="1:4" x14ac:dyDescent="0.25">
      <c r="A435" t="s">
        <v>1623</v>
      </c>
      <c r="B435">
        <v>12</v>
      </c>
      <c r="C435" s="56">
        <v>42522</v>
      </c>
      <c r="D435" s="3" t="str">
        <f>YEAR(Datos_Consumo[[#This Row],[FECHA]])&amp;"-"&amp;MONTH(Datos_Consumo[[#This Row],[FECHA]])</f>
        <v>2016-6</v>
      </c>
    </row>
    <row r="436" spans="1:4" x14ac:dyDescent="0.25">
      <c r="A436" t="s">
        <v>1623</v>
      </c>
      <c r="B436">
        <v>3</v>
      </c>
      <c r="C436" s="56">
        <v>42583</v>
      </c>
      <c r="D436" s="3" t="str">
        <f>YEAR(Datos_Consumo[[#This Row],[FECHA]])&amp;"-"&amp;MONTH(Datos_Consumo[[#This Row],[FECHA]])</f>
        <v>2016-8</v>
      </c>
    </row>
    <row r="437" spans="1:4" x14ac:dyDescent="0.25">
      <c r="A437" t="s">
        <v>1623</v>
      </c>
      <c r="B437">
        <v>5</v>
      </c>
      <c r="C437" s="56">
        <v>42614</v>
      </c>
      <c r="D437" s="3" t="str">
        <f>YEAR(Datos_Consumo[[#This Row],[FECHA]])&amp;"-"&amp;MONTH(Datos_Consumo[[#This Row],[FECHA]])</f>
        <v>2016-9</v>
      </c>
    </row>
    <row r="438" spans="1:4" x14ac:dyDescent="0.25">
      <c r="A438" t="s">
        <v>1624</v>
      </c>
      <c r="B438">
        <v>5</v>
      </c>
      <c r="C438" s="56">
        <v>42491</v>
      </c>
      <c r="D438" s="3" t="str">
        <f>YEAR(Datos_Consumo[[#This Row],[FECHA]])&amp;"-"&amp;MONTH(Datos_Consumo[[#This Row],[FECHA]])</f>
        <v>2016-5</v>
      </c>
    </row>
    <row r="439" spans="1:4" x14ac:dyDescent="0.25">
      <c r="A439" t="s">
        <v>1624</v>
      </c>
      <c r="B439">
        <v>2</v>
      </c>
      <c r="C439" s="56">
        <v>42552</v>
      </c>
      <c r="D439" s="3" t="str">
        <f>YEAR(Datos_Consumo[[#This Row],[FECHA]])&amp;"-"&amp;MONTH(Datos_Consumo[[#This Row],[FECHA]])</f>
        <v>2016-7</v>
      </c>
    </row>
    <row r="440" spans="1:4" x14ac:dyDescent="0.25">
      <c r="A440" t="s">
        <v>1625</v>
      </c>
      <c r="B440">
        <v>5</v>
      </c>
      <c r="C440" s="56">
        <v>42491</v>
      </c>
      <c r="D440" s="3" t="str">
        <f>YEAR(Datos_Consumo[[#This Row],[FECHA]])&amp;"-"&amp;MONTH(Datos_Consumo[[#This Row],[FECHA]])</f>
        <v>2016-5</v>
      </c>
    </row>
    <row r="441" spans="1:4" x14ac:dyDescent="0.25">
      <c r="A441" t="s">
        <v>1625</v>
      </c>
      <c r="B441">
        <v>7</v>
      </c>
      <c r="C441" s="56">
        <v>42522</v>
      </c>
      <c r="D441" s="3" t="str">
        <f>YEAR(Datos_Consumo[[#This Row],[FECHA]])&amp;"-"&amp;MONTH(Datos_Consumo[[#This Row],[FECHA]])</f>
        <v>2016-6</v>
      </c>
    </row>
    <row r="442" spans="1:4" x14ac:dyDescent="0.25">
      <c r="A442" t="s">
        <v>1625</v>
      </c>
      <c r="B442">
        <v>4</v>
      </c>
      <c r="C442" s="56">
        <v>42552</v>
      </c>
      <c r="D442" s="3" t="str">
        <f>YEAR(Datos_Consumo[[#This Row],[FECHA]])&amp;"-"&amp;MONTH(Datos_Consumo[[#This Row],[FECHA]])</f>
        <v>2016-7</v>
      </c>
    </row>
    <row r="443" spans="1:4" x14ac:dyDescent="0.25">
      <c r="A443" t="s">
        <v>1625</v>
      </c>
      <c r="B443">
        <v>2</v>
      </c>
      <c r="C443" s="56">
        <v>42583</v>
      </c>
      <c r="D443" s="3" t="str">
        <f>YEAR(Datos_Consumo[[#This Row],[FECHA]])&amp;"-"&amp;MONTH(Datos_Consumo[[#This Row],[FECHA]])</f>
        <v>2016-8</v>
      </c>
    </row>
    <row r="444" spans="1:4" x14ac:dyDescent="0.25">
      <c r="A444" t="s">
        <v>1625</v>
      </c>
      <c r="B444">
        <v>15</v>
      </c>
      <c r="C444" s="56">
        <v>42614</v>
      </c>
      <c r="D444" s="3" t="str">
        <f>YEAR(Datos_Consumo[[#This Row],[FECHA]])&amp;"-"&amp;MONTH(Datos_Consumo[[#This Row],[FECHA]])</f>
        <v>2016-9</v>
      </c>
    </row>
    <row r="445" spans="1:4" x14ac:dyDescent="0.25">
      <c r="A445" t="s">
        <v>2429</v>
      </c>
      <c r="B445">
        <v>2</v>
      </c>
      <c r="C445" s="56">
        <v>42583</v>
      </c>
      <c r="D445" s="3" t="str">
        <f>YEAR(Datos_Consumo[[#This Row],[FECHA]])&amp;"-"&amp;MONTH(Datos_Consumo[[#This Row],[FECHA]])</f>
        <v>2016-8</v>
      </c>
    </row>
    <row r="446" spans="1:4" x14ac:dyDescent="0.25">
      <c r="A446" t="s">
        <v>1626</v>
      </c>
      <c r="B446">
        <v>1</v>
      </c>
      <c r="C446" s="56">
        <v>42491</v>
      </c>
      <c r="D446" s="3" t="str">
        <f>YEAR(Datos_Consumo[[#This Row],[FECHA]])&amp;"-"&amp;MONTH(Datos_Consumo[[#This Row],[FECHA]])</f>
        <v>2016-5</v>
      </c>
    </row>
    <row r="447" spans="1:4" x14ac:dyDescent="0.25">
      <c r="A447" t="s">
        <v>2430</v>
      </c>
      <c r="B447">
        <v>40</v>
      </c>
      <c r="C447" s="56">
        <v>42552</v>
      </c>
      <c r="D447" s="3" t="str">
        <f>YEAR(Datos_Consumo[[#This Row],[FECHA]])&amp;"-"&amp;MONTH(Datos_Consumo[[#This Row],[FECHA]])</f>
        <v>2016-7</v>
      </c>
    </row>
    <row r="448" spans="1:4" x14ac:dyDescent="0.25">
      <c r="A448" t="s">
        <v>2430</v>
      </c>
      <c r="B448">
        <v>20</v>
      </c>
      <c r="C448" s="56">
        <v>42583</v>
      </c>
      <c r="D448" s="3" t="str">
        <f>YEAR(Datos_Consumo[[#This Row],[FECHA]])&amp;"-"&amp;MONTH(Datos_Consumo[[#This Row],[FECHA]])</f>
        <v>2016-8</v>
      </c>
    </row>
    <row r="449" spans="1:4" x14ac:dyDescent="0.25">
      <c r="A449" t="s">
        <v>2430</v>
      </c>
      <c r="B449">
        <v>80</v>
      </c>
      <c r="C449" s="56">
        <v>42614</v>
      </c>
      <c r="D449" s="3" t="str">
        <f>YEAR(Datos_Consumo[[#This Row],[FECHA]])&amp;"-"&amp;MONTH(Datos_Consumo[[#This Row],[FECHA]])</f>
        <v>2016-9</v>
      </c>
    </row>
    <row r="450" spans="1:4" x14ac:dyDescent="0.25">
      <c r="A450" t="s">
        <v>1627</v>
      </c>
      <c r="B450">
        <v>128</v>
      </c>
      <c r="C450" s="56">
        <v>42491</v>
      </c>
      <c r="D450" s="3" t="str">
        <f>YEAR(Datos_Consumo[[#This Row],[FECHA]])&amp;"-"&amp;MONTH(Datos_Consumo[[#This Row],[FECHA]])</f>
        <v>2016-5</v>
      </c>
    </row>
    <row r="451" spans="1:4" x14ac:dyDescent="0.25">
      <c r="A451" t="s">
        <v>1627</v>
      </c>
      <c r="B451">
        <v>426</v>
      </c>
      <c r="C451" s="56">
        <v>42522</v>
      </c>
      <c r="D451" s="3" t="str">
        <f>YEAR(Datos_Consumo[[#This Row],[FECHA]])&amp;"-"&amp;MONTH(Datos_Consumo[[#This Row],[FECHA]])</f>
        <v>2016-6</v>
      </c>
    </row>
    <row r="452" spans="1:4" x14ac:dyDescent="0.25">
      <c r="A452" t="s">
        <v>1627</v>
      </c>
      <c r="B452">
        <v>20</v>
      </c>
      <c r="C452" s="56">
        <v>42552</v>
      </c>
      <c r="D452" s="3" t="str">
        <f>YEAR(Datos_Consumo[[#This Row],[FECHA]])&amp;"-"&amp;MONTH(Datos_Consumo[[#This Row],[FECHA]])</f>
        <v>2016-7</v>
      </c>
    </row>
    <row r="453" spans="1:4" x14ac:dyDescent="0.25">
      <c r="A453" t="s">
        <v>1627</v>
      </c>
      <c r="B453">
        <v>130</v>
      </c>
      <c r="C453" s="56">
        <v>42583</v>
      </c>
      <c r="D453" s="3" t="str">
        <f>YEAR(Datos_Consumo[[#This Row],[FECHA]])&amp;"-"&amp;MONTH(Datos_Consumo[[#This Row],[FECHA]])</f>
        <v>2016-8</v>
      </c>
    </row>
    <row r="454" spans="1:4" x14ac:dyDescent="0.25">
      <c r="A454" t="s">
        <v>1627</v>
      </c>
      <c r="B454">
        <v>420</v>
      </c>
      <c r="C454" s="56">
        <v>42614</v>
      </c>
      <c r="D454" s="3" t="str">
        <f>YEAR(Datos_Consumo[[#This Row],[FECHA]])&amp;"-"&amp;MONTH(Datos_Consumo[[#This Row],[FECHA]])</f>
        <v>2016-9</v>
      </c>
    </row>
    <row r="455" spans="1:4" x14ac:dyDescent="0.25">
      <c r="A455" t="s">
        <v>1628</v>
      </c>
      <c r="B455">
        <v>55</v>
      </c>
      <c r="C455" s="56">
        <v>42491</v>
      </c>
      <c r="D455" s="3" t="str">
        <f>YEAR(Datos_Consumo[[#This Row],[FECHA]])&amp;"-"&amp;MONTH(Datos_Consumo[[#This Row],[FECHA]])</f>
        <v>2016-5</v>
      </c>
    </row>
    <row r="456" spans="1:4" x14ac:dyDescent="0.25">
      <c r="A456" t="s">
        <v>1628</v>
      </c>
      <c r="B456">
        <v>36</v>
      </c>
      <c r="C456" s="56">
        <v>42522</v>
      </c>
      <c r="D456" s="3" t="str">
        <f>YEAR(Datos_Consumo[[#This Row],[FECHA]])&amp;"-"&amp;MONTH(Datos_Consumo[[#This Row],[FECHA]])</f>
        <v>2016-6</v>
      </c>
    </row>
    <row r="457" spans="1:4" x14ac:dyDescent="0.25">
      <c r="A457" t="s">
        <v>1628</v>
      </c>
      <c r="B457">
        <v>716</v>
      </c>
      <c r="C457" s="56">
        <v>42552</v>
      </c>
      <c r="D457" s="3" t="str">
        <f>YEAR(Datos_Consumo[[#This Row],[FECHA]])&amp;"-"&amp;MONTH(Datos_Consumo[[#This Row],[FECHA]])</f>
        <v>2016-7</v>
      </c>
    </row>
    <row r="458" spans="1:4" x14ac:dyDescent="0.25">
      <c r="A458" t="s">
        <v>1628</v>
      </c>
      <c r="B458">
        <v>37</v>
      </c>
      <c r="C458" s="56">
        <v>42583</v>
      </c>
      <c r="D458" s="3" t="str">
        <f>YEAR(Datos_Consumo[[#This Row],[FECHA]])&amp;"-"&amp;MONTH(Datos_Consumo[[#This Row],[FECHA]])</f>
        <v>2016-8</v>
      </c>
    </row>
    <row r="459" spans="1:4" x14ac:dyDescent="0.25">
      <c r="A459" t="s">
        <v>1628</v>
      </c>
      <c r="B459">
        <v>12</v>
      </c>
      <c r="C459" s="56">
        <v>42614</v>
      </c>
      <c r="D459" s="3" t="str">
        <f>YEAR(Datos_Consumo[[#This Row],[FECHA]])&amp;"-"&amp;MONTH(Datos_Consumo[[#This Row],[FECHA]])</f>
        <v>2016-9</v>
      </c>
    </row>
    <row r="460" spans="1:4" x14ac:dyDescent="0.25">
      <c r="A460" t="s">
        <v>1629</v>
      </c>
      <c r="B460">
        <v>240</v>
      </c>
      <c r="C460" s="56">
        <v>42491</v>
      </c>
      <c r="D460" s="3" t="str">
        <f>YEAR(Datos_Consumo[[#This Row],[FECHA]])&amp;"-"&amp;MONTH(Datos_Consumo[[#This Row],[FECHA]])</f>
        <v>2016-5</v>
      </c>
    </row>
    <row r="461" spans="1:4" x14ac:dyDescent="0.25">
      <c r="A461" t="s">
        <v>1629</v>
      </c>
      <c r="B461">
        <v>480</v>
      </c>
      <c r="C461" s="56">
        <v>42522</v>
      </c>
      <c r="D461" s="3" t="str">
        <f>YEAR(Datos_Consumo[[#This Row],[FECHA]])&amp;"-"&amp;MONTH(Datos_Consumo[[#This Row],[FECHA]])</f>
        <v>2016-6</v>
      </c>
    </row>
    <row r="462" spans="1:4" x14ac:dyDescent="0.25">
      <c r="A462" t="s">
        <v>1629</v>
      </c>
      <c r="B462">
        <v>144</v>
      </c>
      <c r="C462" s="56">
        <v>42552</v>
      </c>
      <c r="D462" s="3" t="str">
        <f>YEAR(Datos_Consumo[[#This Row],[FECHA]])&amp;"-"&amp;MONTH(Datos_Consumo[[#This Row],[FECHA]])</f>
        <v>2016-7</v>
      </c>
    </row>
    <row r="463" spans="1:4" x14ac:dyDescent="0.25">
      <c r="A463" t="s">
        <v>1629</v>
      </c>
      <c r="B463">
        <v>712</v>
      </c>
      <c r="C463" s="56">
        <v>42583</v>
      </c>
      <c r="D463" s="3" t="str">
        <f>YEAR(Datos_Consumo[[#This Row],[FECHA]])&amp;"-"&amp;MONTH(Datos_Consumo[[#This Row],[FECHA]])</f>
        <v>2016-8</v>
      </c>
    </row>
    <row r="464" spans="1:4" x14ac:dyDescent="0.25">
      <c r="A464" t="s">
        <v>1629</v>
      </c>
      <c r="B464">
        <v>96</v>
      </c>
      <c r="C464" s="56">
        <v>42614</v>
      </c>
      <c r="D464" s="3" t="str">
        <f>YEAR(Datos_Consumo[[#This Row],[FECHA]])&amp;"-"&amp;MONTH(Datos_Consumo[[#This Row],[FECHA]])</f>
        <v>2016-9</v>
      </c>
    </row>
    <row r="465" spans="1:4" x14ac:dyDescent="0.25">
      <c r="A465" t="s">
        <v>1630</v>
      </c>
      <c r="B465">
        <v>4</v>
      </c>
      <c r="C465" s="56">
        <v>42491</v>
      </c>
      <c r="D465" s="3" t="str">
        <f>YEAR(Datos_Consumo[[#This Row],[FECHA]])&amp;"-"&amp;MONTH(Datos_Consumo[[#This Row],[FECHA]])</f>
        <v>2016-5</v>
      </c>
    </row>
    <row r="466" spans="1:4" x14ac:dyDescent="0.25">
      <c r="A466" t="s">
        <v>1631</v>
      </c>
      <c r="B466">
        <v>94</v>
      </c>
      <c r="C466" s="56">
        <v>42491</v>
      </c>
      <c r="D466" s="3" t="str">
        <f>YEAR(Datos_Consumo[[#This Row],[FECHA]])&amp;"-"&amp;MONTH(Datos_Consumo[[#This Row],[FECHA]])</f>
        <v>2016-5</v>
      </c>
    </row>
    <row r="467" spans="1:4" x14ac:dyDescent="0.25">
      <c r="A467" t="s">
        <v>1631</v>
      </c>
      <c r="B467">
        <v>504</v>
      </c>
      <c r="C467" s="56">
        <v>42522</v>
      </c>
      <c r="D467" s="3" t="str">
        <f>YEAR(Datos_Consumo[[#This Row],[FECHA]])&amp;"-"&amp;MONTH(Datos_Consumo[[#This Row],[FECHA]])</f>
        <v>2016-6</v>
      </c>
    </row>
    <row r="468" spans="1:4" x14ac:dyDescent="0.25">
      <c r="A468" t="s">
        <v>1631</v>
      </c>
      <c r="B468">
        <v>728</v>
      </c>
      <c r="C468" s="56">
        <v>42552</v>
      </c>
      <c r="D468" s="3" t="str">
        <f>YEAR(Datos_Consumo[[#This Row],[FECHA]])&amp;"-"&amp;MONTH(Datos_Consumo[[#This Row],[FECHA]])</f>
        <v>2016-7</v>
      </c>
    </row>
    <row r="469" spans="1:4" x14ac:dyDescent="0.25">
      <c r="A469" t="s">
        <v>1631</v>
      </c>
      <c r="B469">
        <v>712</v>
      </c>
      <c r="C469" s="56">
        <v>42583</v>
      </c>
      <c r="D469" s="3" t="str">
        <f>YEAR(Datos_Consumo[[#This Row],[FECHA]])&amp;"-"&amp;MONTH(Datos_Consumo[[#This Row],[FECHA]])</f>
        <v>2016-8</v>
      </c>
    </row>
    <row r="470" spans="1:4" x14ac:dyDescent="0.25">
      <c r="A470" t="s">
        <v>1631</v>
      </c>
      <c r="B470">
        <v>720</v>
      </c>
      <c r="C470" s="56">
        <v>42614</v>
      </c>
      <c r="D470" s="3" t="str">
        <f>YEAR(Datos_Consumo[[#This Row],[FECHA]])&amp;"-"&amp;MONTH(Datos_Consumo[[#This Row],[FECHA]])</f>
        <v>2016-9</v>
      </c>
    </row>
    <row r="471" spans="1:4" x14ac:dyDescent="0.25">
      <c r="A471" t="s">
        <v>1632</v>
      </c>
      <c r="B471">
        <v>10</v>
      </c>
      <c r="C471" s="56">
        <v>42491</v>
      </c>
      <c r="D471" s="3" t="str">
        <f>YEAR(Datos_Consumo[[#This Row],[FECHA]])&amp;"-"&amp;MONTH(Datos_Consumo[[#This Row],[FECHA]])</f>
        <v>2016-5</v>
      </c>
    </row>
    <row r="472" spans="1:4" x14ac:dyDescent="0.25">
      <c r="A472" t="s">
        <v>1632</v>
      </c>
      <c r="B472">
        <v>1</v>
      </c>
      <c r="C472" s="56">
        <v>42614</v>
      </c>
      <c r="D472" s="3" t="str">
        <f>YEAR(Datos_Consumo[[#This Row],[FECHA]])&amp;"-"&amp;MONTH(Datos_Consumo[[#This Row],[FECHA]])</f>
        <v>2016-9</v>
      </c>
    </row>
    <row r="473" spans="1:4" x14ac:dyDescent="0.25">
      <c r="A473" t="s">
        <v>1633</v>
      </c>
      <c r="B473">
        <v>43</v>
      </c>
      <c r="C473" s="56">
        <v>42491</v>
      </c>
      <c r="D473" s="3" t="str">
        <f>YEAR(Datos_Consumo[[#This Row],[FECHA]])&amp;"-"&amp;MONTH(Datos_Consumo[[#This Row],[FECHA]])</f>
        <v>2016-5</v>
      </c>
    </row>
    <row r="474" spans="1:4" x14ac:dyDescent="0.25">
      <c r="A474" t="s">
        <v>1633</v>
      </c>
      <c r="B474">
        <v>4</v>
      </c>
      <c r="C474" s="56">
        <v>42522</v>
      </c>
      <c r="D474" s="3" t="str">
        <f>YEAR(Datos_Consumo[[#This Row],[FECHA]])&amp;"-"&amp;MONTH(Datos_Consumo[[#This Row],[FECHA]])</f>
        <v>2016-6</v>
      </c>
    </row>
    <row r="475" spans="1:4" x14ac:dyDescent="0.25">
      <c r="A475" t="s">
        <v>1633</v>
      </c>
      <c r="B475">
        <v>103</v>
      </c>
      <c r="C475" s="56">
        <v>42552</v>
      </c>
      <c r="D475" s="3" t="str">
        <f>YEAR(Datos_Consumo[[#This Row],[FECHA]])&amp;"-"&amp;MONTH(Datos_Consumo[[#This Row],[FECHA]])</f>
        <v>2016-7</v>
      </c>
    </row>
    <row r="476" spans="1:4" x14ac:dyDescent="0.25">
      <c r="A476" t="s">
        <v>1633</v>
      </c>
      <c r="B476">
        <v>100</v>
      </c>
      <c r="C476" s="56">
        <v>42614</v>
      </c>
      <c r="D476" s="3" t="str">
        <f>YEAR(Datos_Consumo[[#This Row],[FECHA]])&amp;"-"&amp;MONTH(Datos_Consumo[[#This Row],[FECHA]])</f>
        <v>2016-9</v>
      </c>
    </row>
    <row r="477" spans="1:4" x14ac:dyDescent="0.25">
      <c r="A477" t="s">
        <v>1634</v>
      </c>
      <c r="B477">
        <v>1591</v>
      </c>
      <c r="C477" s="56">
        <v>42491</v>
      </c>
      <c r="D477" s="3" t="str">
        <f>YEAR(Datos_Consumo[[#This Row],[FECHA]])&amp;"-"&amp;MONTH(Datos_Consumo[[#This Row],[FECHA]])</f>
        <v>2016-5</v>
      </c>
    </row>
    <row r="478" spans="1:4" x14ac:dyDescent="0.25">
      <c r="A478" t="s">
        <v>1634</v>
      </c>
      <c r="B478">
        <v>2010</v>
      </c>
      <c r="C478" s="56">
        <v>42522</v>
      </c>
      <c r="D478" s="3" t="str">
        <f>YEAR(Datos_Consumo[[#This Row],[FECHA]])&amp;"-"&amp;MONTH(Datos_Consumo[[#This Row],[FECHA]])</f>
        <v>2016-6</v>
      </c>
    </row>
    <row r="479" spans="1:4" x14ac:dyDescent="0.25">
      <c r="A479" t="s">
        <v>1634</v>
      </c>
      <c r="B479">
        <v>2006</v>
      </c>
      <c r="C479" s="56">
        <v>42552</v>
      </c>
      <c r="D479" s="3" t="str">
        <f>YEAR(Datos_Consumo[[#This Row],[FECHA]])&amp;"-"&amp;MONTH(Datos_Consumo[[#This Row],[FECHA]])</f>
        <v>2016-7</v>
      </c>
    </row>
    <row r="480" spans="1:4" x14ac:dyDescent="0.25">
      <c r="A480" t="s">
        <v>1634</v>
      </c>
      <c r="B480">
        <v>3280</v>
      </c>
      <c r="C480" s="56">
        <v>42583</v>
      </c>
      <c r="D480" s="3" t="str">
        <f>YEAR(Datos_Consumo[[#This Row],[FECHA]])&amp;"-"&amp;MONTH(Datos_Consumo[[#This Row],[FECHA]])</f>
        <v>2016-8</v>
      </c>
    </row>
    <row r="481" spans="1:4" x14ac:dyDescent="0.25">
      <c r="A481" t="s">
        <v>1634</v>
      </c>
      <c r="B481">
        <v>2050</v>
      </c>
      <c r="C481" s="56">
        <v>42614</v>
      </c>
      <c r="D481" s="3" t="str">
        <f>YEAR(Datos_Consumo[[#This Row],[FECHA]])&amp;"-"&amp;MONTH(Datos_Consumo[[#This Row],[FECHA]])</f>
        <v>2016-9</v>
      </c>
    </row>
    <row r="482" spans="1:4" x14ac:dyDescent="0.25">
      <c r="A482" t="s">
        <v>1635</v>
      </c>
      <c r="B482">
        <v>6</v>
      </c>
      <c r="C482" s="56">
        <v>42491</v>
      </c>
      <c r="D482" s="3" t="str">
        <f>YEAR(Datos_Consumo[[#This Row],[FECHA]])&amp;"-"&amp;MONTH(Datos_Consumo[[#This Row],[FECHA]])</f>
        <v>2016-5</v>
      </c>
    </row>
    <row r="483" spans="1:4" x14ac:dyDescent="0.25">
      <c r="A483" t="s">
        <v>1635</v>
      </c>
      <c r="B483">
        <v>4</v>
      </c>
      <c r="C483" s="56">
        <v>42522</v>
      </c>
      <c r="D483" s="3" t="str">
        <f>YEAR(Datos_Consumo[[#This Row],[FECHA]])&amp;"-"&amp;MONTH(Datos_Consumo[[#This Row],[FECHA]])</f>
        <v>2016-6</v>
      </c>
    </row>
    <row r="484" spans="1:4" x14ac:dyDescent="0.25">
      <c r="A484" t="s">
        <v>1635</v>
      </c>
      <c r="B484">
        <v>2</v>
      </c>
      <c r="C484" s="56">
        <v>42552</v>
      </c>
      <c r="D484" s="3" t="str">
        <f>YEAR(Datos_Consumo[[#This Row],[FECHA]])&amp;"-"&amp;MONTH(Datos_Consumo[[#This Row],[FECHA]])</f>
        <v>2016-7</v>
      </c>
    </row>
    <row r="485" spans="1:4" x14ac:dyDescent="0.25">
      <c r="A485" t="s">
        <v>1636</v>
      </c>
      <c r="B485">
        <v>3</v>
      </c>
      <c r="C485" s="56">
        <v>42491</v>
      </c>
      <c r="D485" s="3" t="str">
        <f>YEAR(Datos_Consumo[[#This Row],[FECHA]])&amp;"-"&amp;MONTH(Datos_Consumo[[#This Row],[FECHA]])</f>
        <v>2016-5</v>
      </c>
    </row>
    <row r="486" spans="1:4" x14ac:dyDescent="0.25">
      <c r="A486" t="s">
        <v>1637</v>
      </c>
      <c r="B486">
        <v>18</v>
      </c>
      <c r="C486" s="56">
        <v>42522</v>
      </c>
      <c r="D486" s="3" t="str">
        <f>YEAR(Datos_Consumo[[#This Row],[FECHA]])&amp;"-"&amp;MONTH(Datos_Consumo[[#This Row],[FECHA]])</f>
        <v>2016-6</v>
      </c>
    </row>
    <row r="487" spans="1:4" x14ac:dyDescent="0.25">
      <c r="A487" t="s">
        <v>1637</v>
      </c>
      <c r="B487">
        <v>12</v>
      </c>
      <c r="C487" s="56">
        <v>42552</v>
      </c>
      <c r="D487" s="3" t="str">
        <f>YEAR(Datos_Consumo[[#This Row],[FECHA]])&amp;"-"&amp;MONTH(Datos_Consumo[[#This Row],[FECHA]])</f>
        <v>2016-7</v>
      </c>
    </row>
    <row r="488" spans="1:4" x14ac:dyDescent="0.25">
      <c r="A488" t="s">
        <v>1637</v>
      </c>
      <c r="B488">
        <v>32</v>
      </c>
      <c r="C488" s="56">
        <v>42583</v>
      </c>
      <c r="D488" s="3" t="str">
        <f>YEAR(Datos_Consumo[[#This Row],[FECHA]])&amp;"-"&amp;MONTH(Datos_Consumo[[#This Row],[FECHA]])</f>
        <v>2016-8</v>
      </c>
    </row>
    <row r="489" spans="1:4" x14ac:dyDescent="0.25">
      <c r="A489" t="s">
        <v>1638</v>
      </c>
      <c r="B489">
        <v>210</v>
      </c>
      <c r="C489" s="56">
        <v>42491</v>
      </c>
      <c r="D489" s="3" t="str">
        <f>YEAR(Datos_Consumo[[#This Row],[FECHA]])&amp;"-"&amp;MONTH(Datos_Consumo[[#This Row],[FECHA]])</f>
        <v>2016-5</v>
      </c>
    </row>
    <row r="490" spans="1:4" x14ac:dyDescent="0.25">
      <c r="A490" t="s">
        <v>1638</v>
      </c>
      <c r="B490">
        <v>330</v>
      </c>
      <c r="C490" s="56">
        <v>42522</v>
      </c>
      <c r="D490" s="3" t="str">
        <f>YEAR(Datos_Consumo[[#This Row],[FECHA]])&amp;"-"&amp;MONTH(Datos_Consumo[[#This Row],[FECHA]])</f>
        <v>2016-6</v>
      </c>
    </row>
    <row r="491" spans="1:4" x14ac:dyDescent="0.25">
      <c r="A491" t="s">
        <v>1638</v>
      </c>
      <c r="B491">
        <v>456</v>
      </c>
      <c r="C491" s="56">
        <v>42552</v>
      </c>
      <c r="D491" s="3" t="str">
        <f>YEAR(Datos_Consumo[[#This Row],[FECHA]])&amp;"-"&amp;MONTH(Datos_Consumo[[#This Row],[FECHA]])</f>
        <v>2016-7</v>
      </c>
    </row>
    <row r="492" spans="1:4" x14ac:dyDescent="0.25">
      <c r="A492" t="s">
        <v>1638</v>
      </c>
      <c r="B492">
        <v>240</v>
      </c>
      <c r="C492" s="56">
        <v>42583</v>
      </c>
      <c r="D492" s="3" t="str">
        <f>YEAR(Datos_Consumo[[#This Row],[FECHA]])&amp;"-"&amp;MONTH(Datos_Consumo[[#This Row],[FECHA]])</f>
        <v>2016-8</v>
      </c>
    </row>
    <row r="493" spans="1:4" x14ac:dyDescent="0.25">
      <c r="A493" t="s">
        <v>1639</v>
      </c>
      <c r="B493">
        <v>152</v>
      </c>
      <c r="C493" s="56">
        <v>42491</v>
      </c>
      <c r="D493" s="3" t="str">
        <f>YEAR(Datos_Consumo[[#This Row],[FECHA]])&amp;"-"&amp;MONTH(Datos_Consumo[[#This Row],[FECHA]])</f>
        <v>2016-5</v>
      </c>
    </row>
    <row r="494" spans="1:4" x14ac:dyDescent="0.25">
      <c r="A494" t="s">
        <v>1640</v>
      </c>
      <c r="B494">
        <v>60</v>
      </c>
      <c r="C494" s="56">
        <v>42491</v>
      </c>
      <c r="D494" s="3" t="str">
        <f>YEAR(Datos_Consumo[[#This Row],[FECHA]])&amp;"-"&amp;MONTH(Datos_Consumo[[#This Row],[FECHA]])</f>
        <v>2016-5</v>
      </c>
    </row>
    <row r="495" spans="1:4" x14ac:dyDescent="0.25">
      <c r="A495" t="s">
        <v>1640</v>
      </c>
      <c r="B495">
        <v>2</v>
      </c>
      <c r="C495" s="56">
        <v>42583</v>
      </c>
      <c r="D495" s="3" t="str">
        <f>YEAR(Datos_Consumo[[#This Row],[FECHA]])&amp;"-"&amp;MONTH(Datos_Consumo[[#This Row],[FECHA]])</f>
        <v>2016-8</v>
      </c>
    </row>
    <row r="496" spans="1:4" x14ac:dyDescent="0.25">
      <c r="A496" t="s">
        <v>1641</v>
      </c>
      <c r="B496">
        <v>65</v>
      </c>
      <c r="C496" s="56">
        <v>42491</v>
      </c>
      <c r="D496" s="3" t="str">
        <f>YEAR(Datos_Consumo[[#This Row],[FECHA]])&amp;"-"&amp;MONTH(Datos_Consumo[[#This Row],[FECHA]])</f>
        <v>2016-5</v>
      </c>
    </row>
    <row r="497" spans="1:4" x14ac:dyDescent="0.25">
      <c r="A497" t="s">
        <v>1641</v>
      </c>
      <c r="B497">
        <v>1</v>
      </c>
      <c r="C497" s="56">
        <v>42522</v>
      </c>
      <c r="D497" s="3" t="str">
        <f>YEAR(Datos_Consumo[[#This Row],[FECHA]])&amp;"-"&amp;MONTH(Datos_Consumo[[#This Row],[FECHA]])</f>
        <v>2016-6</v>
      </c>
    </row>
    <row r="498" spans="1:4" x14ac:dyDescent="0.25">
      <c r="A498" t="s">
        <v>1641</v>
      </c>
      <c r="B498">
        <v>187</v>
      </c>
      <c r="C498" s="56">
        <v>42552</v>
      </c>
      <c r="D498" s="3" t="str">
        <f>YEAR(Datos_Consumo[[#This Row],[FECHA]])&amp;"-"&amp;MONTH(Datos_Consumo[[#This Row],[FECHA]])</f>
        <v>2016-7</v>
      </c>
    </row>
    <row r="499" spans="1:4" x14ac:dyDescent="0.25">
      <c r="A499" t="s">
        <v>1641</v>
      </c>
      <c r="B499">
        <v>363</v>
      </c>
      <c r="C499" s="56">
        <v>42583</v>
      </c>
      <c r="D499" s="3" t="str">
        <f>YEAR(Datos_Consumo[[#This Row],[FECHA]])&amp;"-"&amp;MONTH(Datos_Consumo[[#This Row],[FECHA]])</f>
        <v>2016-8</v>
      </c>
    </row>
    <row r="500" spans="1:4" x14ac:dyDescent="0.25">
      <c r="A500" t="s">
        <v>1641</v>
      </c>
      <c r="B500">
        <v>17</v>
      </c>
      <c r="C500" s="56">
        <v>42614</v>
      </c>
      <c r="D500" s="3" t="str">
        <f>YEAR(Datos_Consumo[[#This Row],[FECHA]])&amp;"-"&amp;MONTH(Datos_Consumo[[#This Row],[FECHA]])</f>
        <v>2016-9</v>
      </c>
    </row>
    <row r="501" spans="1:4" x14ac:dyDescent="0.25">
      <c r="A501" t="s">
        <v>1642</v>
      </c>
      <c r="B501">
        <v>1</v>
      </c>
      <c r="C501" s="56">
        <v>42491</v>
      </c>
      <c r="D501" s="3" t="str">
        <f>YEAR(Datos_Consumo[[#This Row],[FECHA]])&amp;"-"&amp;MONTH(Datos_Consumo[[#This Row],[FECHA]])</f>
        <v>2016-5</v>
      </c>
    </row>
    <row r="502" spans="1:4" x14ac:dyDescent="0.25">
      <c r="A502" t="s">
        <v>1642</v>
      </c>
      <c r="B502">
        <v>150</v>
      </c>
      <c r="C502" s="56">
        <v>42522</v>
      </c>
      <c r="D502" s="3" t="str">
        <f>YEAR(Datos_Consumo[[#This Row],[FECHA]])&amp;"-"&amp;MONTH(Datos_Consumo[[#This Row],[FECHA]])</f>
        <v>2016-6</v>
      </c>
    </row>
    <row r="503" spans="1:4" x14ac:dyDescent="0.25">
      <c r="A503" t="s">
        <v>1642</v>
      </c>
      <c r="B503">
        <v>121</v>
      </c>
      <c r="C503" s="56">
        <v>42552</v>
      </c>
      <c r="D503" s="3" t="str">
        <f>YEAR(Datos_Consumo[[#This Row],[FECHA]])&amp;"-"&amp;MONTH(Datos_Consumo[[#This Row],[FECHA]])</f>
        <v>2016-7</v>
      </c>
    </row>
    <row r="504" spans="1:4" x14ac:dyDescent="0.25">
      <c r="A504" t="s">
        <v>1642</v>
      </c>
      <c r="B504">
        <v>3</v>
      </c>
      <c r="C504" s="56">
        <v>42583</v>
      </c>
      <c r="D504" s="3" t="str">
        <f>YEAR(Datos_Consumo[[#This Row],[FECHA]])&amp;"-"&amp;MONTH(Datos_Consumo[[#This Row],[FECHA]])</f>
        <v>2016-8</v>
      </c>
    </row>
    <row r="505" spans="1:4" x14ac:dyDescent="0.25">
      <c r="A505" t="s">
        <v>1643</v>
      </c>
      <c r="B505">
        <v>400</v>
      </c>
      <c r="C505" s="56">
        <v>42522</v>
      </c>
      <c r="D505" s="3" t="str">
        <f>YEAR(Datos_Consumo[[#This Row],[FECHA]])&amp;"-"&amp;MONTH(Datos_Consumo[[#This Row],[FECHA]])</f>
        <v>2016-6</v>
      </c>
    </row>
    <row r="506" spans="1:4" x14ac:dyDescent="0.25">
      <c r="A506" t="s">
        <v>2431</v>
      </c>
      <c r="B506">
        <v>120</v>
      </c>
      <c r="C506" s="56">
        <v>42583</v>
      </c>
      <c r="D506" s="3" t="str">
        <f>YEAR(Datos_Consumo[[#This Row],[FECHA]])&amp;"-"&amp;MONTH(Datos_Consumo[[#This Row],[FECHA]])</f>
        <v>2016-8</v>
      </c>
    </row>
    <row r="507" spans="1:4" x14ac:dyDescent="0.25">
      <c r="A507" t="s">
        <v>1644</v>
      </c>
      <c r="B507">
        <v>290</v>
      </c>
      <c r="C507" s="56">
        <v>42522</v>
      </c>
      <c r="D507" s="3" t="str">
        <f>YEAR(Datos_Consumo[[#This Row],[FECHA]])&amp;"-"&amp;MONTH(Datos_Consumo[[#This Row],[FECHA]])</f>
        <v>2016-6</v>
      </c>
    </row>
    <row r="508" spans="1:4" x14ac:dyDescent="0.25">
      <c r="A508" t="s">
        <v>1644</v>
      </c>
      <c r="B508">
        <v>200</v>
      </c>
      <c r="C508" s="56">
        <v>42552</v>
      </c>
      <c r="D508" s="3" t="str">
        <f>YEAR(Datos_Consumo[[#This Row],[FECHA]])&amp;"-"&amp;MONTH(Datos_Consumo[[#This Row],[FECHA]])</f>
        <v>2016-7</v>
      </c>
    </row>
    <row r="509" spans="1:4" x14ac:dyDescent="0.25">
      <c r="A509" t="s">
        <v>1645</v>
      </c>
      <c r="B509">
        <v>36</v>
      </c>
      <c r="C509" s="56">
        <v>42491</v>
      </c>
      <c r="D509" s="3" t="str">
        <f>YEAR(Datos_Consumo[[#This Row],[FECHA]])&amp;"-"&amp;MONTH(Datos_Consumo[[#This Row],[FECHA]])</f>
        <v>2016-5</v>
      </c>
    </row>
    <row r="510" spans="1:4" x14ac:dyDescent="0.25">
      <c r="A510" t="s">
        <v>1646</v>
      </c>
      <c r="B510">
        <v>26</v>
      </c>
      <c r="C510" s="56">
        <v>42491</v>
      </c>
      <c r="D510" s="3" t="str">
        <f>YEAR(Datos_Consumo[[#This Row],[FECHA]])&amp;"-"&amp;MONTH(Datos_Consumo[[#This Row],[FECHA]])</f>
        <v>2016-5</v>
      </c>
    </row>
    <row r="511" spans="1:4" x14ac:dyDescent="0.25">
      <c r="A511" t="s">
        <v>1646</v>
      </c>
      <c r="B511">
        <v>52</v>
      </c>
      <c r="C511" s="56">
        <v>42552</v>
      </c>
      <c r="D511" s="3" t="str">
        <f>YEAR(Datos_Consumo[[#This Row],[FECHA]])&amp;"-"&amp;MONTH(Datos_Consumo[[#This Row],[FECHA]])</f>
        <v>2016-7</v>
      </c>
    </row>
    <row r="512" spans="1:4" x14ac:dyDescent="0.25">
      <c r="A512" t="s">
        <v>1646</v>
      </c>
      <c r="B512">
        <v>12</v>
      </c>
      <c r="C512" s="56">
        <v>42583</v>
      </c>
      <c r="D512" s="3" t="str">
        <f>YEAR(Datos_Consumo[[#This Row],[FECHA]])&amp;"-"&amp;MONTH(Datos_Consumo[[#This Row],[FECHA]])</f>
        <v>2016-8</v>
      </c>
    </row>
    <row r="513" spans="1:4" x14ac:dyDescent="0.25">
      <c r="A513" t="s">
        <v>1646</v>
      </c>
      <c r="B513">
        <v>24</v>
      </c>
      <c r="C513" s="56">
        <v>42614</v>
      </c>
      <c r="D513" s="3" t="str">
        <f>YEAR(Datos_Consumo[[#This Row],[FECHA]])&amp;"-"&amp;MONTH(Datos_Consumo[[#This Row],[FECHA]])</f>
        <v>2016-9</v>
      </c>
    </row>
    <row r="514" spans="1:4" x14ac:dyDescent="0.25">
      <c r="A514" t="s">
        <v>2432</v>
      </c>
      <c r="B514">
        <v>1</v>
      </c>
      <c r="C514" s="56">
        <v>42552</v>
      </c>
      <c r="D514" s="3" t="str">
        <f>YEAR(Datos_Consumo[[#This Row],[FECHA]])&amp;"-"&amp;MONTH(Datos_Consumo[[#This Row],[FECHA]])</f>
        <v>2016-7</v>
      </c>
    </row>
    <row r="515" spans="1:4" x14ac:dyDescent="0.25">
      <c r="A515" t="s">
        <v>2432</v>
      </c>
      <c r="B515">
        <v>1</v>
      </c>
      <c r="C515" s="56">
        <v>42583</v>
      </c>
      <c r="D515" s="3" t="str">
        <f>YEAR(Datos_Consumo[[#This Row],[FECHA]])&amp;"-"&amp;MONTH(Datos_Consumo[[#This Row],[FECHA]])</f>
        <v>2016-8</v>
      </c>
    </row>
    <row r="516" spans="1:4" x14ac:dyDescent="0.25">
      <c r="A516" t="s">
        <v>1647</v>
      </c>
      <c r="B516">
        <v>13</v>
      </c>
      <c r="C516" s="56">
        <v>42491</v>
      </c>
      <c r="D516" s="3" t="str">
        <f>YEAR(Datos_Consumo[[#This Row],[FECHA]])&amp;"-"&amp;MONTH(Datos_Consumo[[#This Row],[FECHA]])</f>
        <v>2016-5</v>
      </c>
    </row>
    <row r="517" spans="1:4" x14ac:dyDescent="0.25">
      <c r="A517" t="s">
        <v>1647</v>
      </c>
      <c r="B517">
        <v>3</v>
      </c>
      <c r="C517" s="56">
        <v>42522</v>
      </c>
      <c r="D517" s="3" t="str">
        <f>YEAR(Datos_Consumo[[#This Row],[FECHA]])&amp;"-"&amp;MONTH(Datos_Consumo[[#This Row],[FECHA]])</f>
        <v>2016-6</v>
      </c>
    </row>
    <row r="518" spans="1:4" x14ac:dyDescent="0.25">
      <c r="A518" t="s">
        <v>1648</v>
      </c>
      <c r="B518">
        <v>11</v>
      </c>
      <c r="C518" s="56">
        <v>42491</v>
      </c>
      <c r="D518" s="3" t="str">
        <f>YEAR(Datos_Consumo[[#This Row],[FECHA]])&amp;"-"&amp;MONTH(Datos_Consumo[[#This Row],[FECHA]])</f>
        <v>2016-5</v>
      </c>
    </row>
    <row r="519" spans="1:4" x14ac:dyDescent="0.25">
      <c r="A519" t="s">
        <v>1648</v>
      </c>
      <c r="B519">
        <v>2</v>
      </c>
      <c r="C519" s="56">
        <v>42522</v>
      </c>
      <c r="D519" s="3" t="str">
        <f>YEAR(Datos_Consumo[[#This Row],[FECHA]])&amp;"-"&amp;MONTH(Datos_Consumo[[#This Row],[FECHA]])</f>
        <v>2016-6</v>
      </c>
    </row>
    <row r="520" spans="1:4" x14ac:dyDescent="0.25">
      <c r="A520" t="s">
        <v>1648</v>
      </c>
      <c r="B520">
        <v>2</v>
      </c>
      <c r="C520" s="56">
        <v>42552</v>
      </c>
      <c r="D520" s="3" t="str">
        <f>YEAR(Datos_Consumo[[#This Row],[FECHA]])&amp;"-"&amp;MONTH(Datos_Consumo[[#This Row],[FECHA]])</f>
        <v>2016-7</v>
      </c>
    </row>
    <row r="521" spans="1:4" x14ac:dyDescent="0.25">
      <c r="A521" t="s">
        <v>1648</v>
      </c>
      <c r="B521">
        <v>10</v>
      </c>
      <c r="C521" s="56">
        <v>42583</v>
      </c>
      <c r="D521" s="3" t="str">
        <f>YEAR(Datos_Consumo[[#This Row],[FECHA]])&amp;"-"&amp;MONTH(Datos_Consumo[[#This Row],[FECHA]])</f>
        <v>2016-8</v>
      </c>
    </row>
    <row r="522" spans="1:4" x14ac:dyDescent="0.25">
      <c r="A522" t="s">
        <v>1649</v>
      </c>
      <c r="B522">
        <v>116</v>
      </c>
      <c r="C522" s="56">
        <v>42491</v>
      </c>
      <c r="D522" s="3" t="str">
        <f>YEAR(Datos_Consumo[[#This Row],[FECHA]])&amp;"-"&amp;MONTH(Datos_Consumo[[#This Row],[FECHA]])</f>
        <v>2016-5</v>
      </c>
    </row>
    <row r="523" spans="1:4" x14ac:dyDescent="0.25">
      <c r="A523" t="s">
        <v>1649</v>
      </c>
      <c r="B523">
        <v>85</v>
      </c>
      <c r="C523" s="56">
        <v>42522</v>
      </c>
      <c r="D523" s="3" t="str">
        <f>YEAR(Datos_Consumo[[#This Row],[FECHA]])&amp;"-"&amp;MONTH(Datos_Consumo[[#This Row],[FECHA]])</f>
        <v>2016-6</v>
      </c>
    </row>
    <row r="524" spans="1:4" x14ac:dyDescent="0.25">
      <c r="A524" t="s">
        <v>1649</v>
      </c>
      <c r="B524">
        <v>140</v>
      </c>
      <c r="C524" s="56">
        <v>42552</v>
      </c>
      <c r="D524" s="3" t="str">
        <f>YEAR(Datos_Consumo[[#This Row],[FECHA]])&amp;"-"&amp;MONTH(Datos_Consumo[[#This Row],[FECHA]])</f>
        <v>2016-7</v>
      </c>
    </row>
    <row r="525" spans="1:4" x14ac:dyDescent="0.25">
      <c r="A525" t="s">
        <v>1649</v>
      </c>
      <c r="B525">
        <v>115</v>
      </c>
      <c r="C525" s="56">
        <v>42583</v>
      </c>
      <c r="D525" s="3" t="str">
        <f>YEAR(Datos_Consumo[[#This Row],[FECHA]])&amp;"-"&amp;MONTH(Datos_Consumo[[#This Row],[FECHA]])</f>
        <v>2016-8</v>
      </c>
    </row>
    <row r="526" spans="1:4" x14ac:dyDescent="0.25">
      <c r="A526" t="s">
        <v>1649</v>
      </c>
      <c r="B526">
        <v>5</v>
      </c>
      <c r="C526" s="56">
        <v>42614</v>
      </c>
      <c r="D526" s="3" t="str">
        <f>YEAR(Datos_Consumo[[#This Row],[FECHA]])&amp;"-"&amp;MONTH(Datos_Consumo[[#This Row],[FECHA]])</f>
        <v>2016-9</v>
      </c>
    </row>
    <row r="527" spans="1:4" x14ac:dyDescent="0.25">
      <c r="A527" t="s">
        <v>1650</v>
      </c>
      <c r="B527">
        <v>1</v>
      </c>
      <c r="C527" s="56">
        <v>42583</v>
      </c>
      <c r="D527" s="3" t="str">
        <f>YEAR(Datos_Consumo[[#This Row],[FECHA]])&amp;"-"&amp;MONTH(Datos_Consumo[[#This Row],[FECHA]])</f>
        <v>2016-8</v>
      </c>
    </row>
    <row r="528" spans="1:4" x14ac:dyDescent="0.25">
      <c r="A528" t="s">
        <v>1651</v>
      </c>
      <c r="B528">
        <v>1</v>
      </c>
      <c r="C528" s="56">
        <v>42552</v>
      </c>
      <c r="D528" s="3" t="str">
        <f>YEAR(Datos_Consumo[[#This Row],[FECHA]])&amp;"-"&amp;MONTH(Datos_Consumo[[#This Row],[FECHA]])</f>
        <v>2016-7</v>
      </c>
    </row>
    <row r="529" spans="1:4" x14ac:dyDescent="0.25">
      <c r="A529" t="s">
        <v>1652</v>
      </c>
      <c r="B529">
        <v>4</v>
      </c>
      <c r="C529" s="56">
        <v>42522</v>
      </c>
      <c r="D529" s="3" t="str">
        <f>YEAR(Datos_Consumo[[#This Row],[FECHA]])&amp;"-"&amp;MONTH(Datos_Consumo[[#This Row],[FECHA]])</f>
        <v>2016-6</v>
      </c>
    </row>
    <row r="530" spans="1:4" x14ac:dyDescent="0.25">
      <c r="A530" t="s">
        <v>1652</v>
      </c>
      <c r="B530">
        <v>14</v>
      </c>
      <c r="C530" s="56">
        <v>42583</v>
      </c>
      <c r="D530" s="3" t="str">
        <f>YEAR(Datos_Consumo[[#This Row],[FECHA]])&amp;"-"&amp;MONTH(Datos_Consumo[[#This Row],[FECHA]])</f>
        <v>2016-8</v>
      </c>
    </row>
    <row r="531" spans="1:4" x14ac:dyDescent="0.25">
      <c r="A531" t="s">
        <v>1653</v>
      </c>
      <c r="B531">
        <v>1</v>
      </c>
      <c r="C531" s="56">
        <v>42522</v>
      </c>
      <c r="D531" s="3" t="str">
        <f>YEAR(Datos_Consumo[[#This Row],[FECHA]])&amp;"-"&amp;MONTH(Datos_Consumo[[#This Row],[FECHA]])</f>
        <v>2016-6</v>
      </c>
    </row>
    <row r="532" spans="1:4" x14ac:dyDescent="0.25">
      <c r="A532" t="s">
        <v>1654</v>
      </c>
      <c r="B532">
        <v>1</v>
      </c>
      <c r="C532" s="56">
        <v>42491</v>
      </c>
      <c r="D532" s="3" t="str">
        <f>YEAR(Datos_Consumo[[#This Row],[FECHA]])&amp;"-"&amp;MONTH(Datos_Consumo[[#This Row],[FECHA]])</f>
        <v>2016-5</v>
      </c>
    </row>
    <row r="533" spans="1:4" x14ac:dyDescent="0.25">
      <c r="A533" t="s">
        <v>1654</v>
      </c>
      <c r="B533">
        <v>3610</v>
      </c>
      <c r="C533" s="56">
        <v>42552</v>
      </c>
      <c r="D533" s="3" t="str">
        <f>YEAR(Datos_Consumo[[#This Row],[FECHA]])&amp;"-"&amp;MONTH(Datos_Consumo[[#This Row],[FECHA]])</f>
        <v>2016-7</v>
      </c>
    </row>
    <row r="534" spans="1:4" x14ac:dyDescent="0.25">
      <c r="A534" t="s">
        <v>2433</v>
      </c>
      <c r="B534">
        <v>85</v>
      </c>
      <c r="C534" s="56">
        <v>42522</v>
      </c>
      <c r="D534" s="3" t="str">
        <f>YEAR(Datos_Consumo[[#This Row],[FECHA]])&amp;"-"&amp;MONTH(Datos_Consumo[[#This Row],[FECHA]])</f>
        <v>2016-6</v>
      </c>
    </row>
    <row r="535" spans="1:4" x14ac:dyDescent="0.25">
      <c r="A535" t="s">
        <v>2433</v>
      </c>
      <c r="B535">
        <v>10</v>
      </c>
      <c r="C535" s="56">
        <v>42552</v>
      </c>
      <c r="D535" s="3" t="str">
        <f>YEAR(Datos_Consumo[[#This Row],[FECHA]])&amp;"-"&amp;MONTH(Datos_Consumo[[#This Row],[FECHA]])</f>
        <v>2016-7</v>
      </c>
    </row>
    <row r="536" spans="1:4" x14ac:dyDescent="0.25">
      <c r="A536" t="s">
        <v>2433</v>
      </c>
      <c r="B536">
        <v>1</v>
      </c>
      <c r="C536" s="56">
        <v>42583</v>
      </c>
      <c r="D536" s="3" t="str">
        <f>YEAR(Datos_Consumo[[#This Row],[FECHA]])&amp;"-"&amp;MONTH(Datos_Consumo[[#This Row],[FECHA]])</f>
        <v>2016-8</v>
      </c>
    </row>
    <row r="537" spans="1:4" x14ac:dyDescent="0.25">
      <c r="A537" t="s">
        <v>1655</v>
      </c>
      <c r="B537">
        <v>1</v>
      </c>
      <c r="C537" s="56">
        <v>42491</v>
      </c>
      <c r="D537" s="3" t="str">
        <f>YEAR(Datos_Consumo[[#This Row],[FECHA]])&amp;"-"&amp;MONTH(Datos_Consumo[[#This Row],[FECHA]])</f>
        <v>2016-5</v>
      </c>
    </row>
    <row r="538" spans="1:4" x14ac:dyDescent="0.25">
      <c r="A538" t="s">
        <v>1655</v>
      </c>
      <c r="B538">
        <v>610</v>
      </c>
      <c r="C538" s="56">
        <v>42552</v>
      </c>
      <c r="D538" s="3" t="str">
        <f>YEAR(Datos_Consumo[[#This Row],[FECHA]])&amp;"-"&amp;MONTH(Datos_Consumo[[#This Row],[FECHA]])</f>
        <v>2016-7</v>
      </c>
    </row>
    <row r="539" spans="1:4" x14ac:dyDescent="0.25">
      <c r="A539" t="s">
        <v>1656</v>
      </c>
      <c r="B539">
        <v>1</v>
      </c>
      <c r="C539" s="56">
        <v>42491</v>
      </c>
      <c r="D539" s="3" t="str">
        <f>YEAR(Datos_Consumo[[#This Row],[FECHA]])&amp;"-"&amp;MONTH(Datos_Consumo[[#This Row],[FECHA]])</f>
        <v>2016-5</v>
      </c>
    </row>
    <row r="540" spans="1:4" x14ac:dyDescent="0.25">
      <c r="A540" t="s">
        <v>1656</v>
      </c>
      <c r="B540">
        <v>85</v>
      </c>
      <c r="C540" s="56">
        <v>42522</v>
      </c>
      <c r="D540" s="3" t="str">
        <f>YEAR(Datos_Consumo[[#This Row],[FECHA]])&amp;"-"&amp;MONTH(Datos_Consumo[[#This Row],[FECHA]])</f>
        <v>2016-6</v>
      </c>
    </row>
    <row r="541" spans="1:4" x14ac:dyDescent="0.25">
      <c r="A541" t="s">
        <v>1656</v>
      </c>
      <c r="B541">
        <v>311</v>
      </c>
      <c r="C541" s="56">
        <v>42552</v>
      </c>
      <c r="D541" s="3" t="str">
        <f>YEAR(Datos_Consumo[[#This Row],[FECHA]])&amp;"-"&amp;MONTH(Datos_Consumo[[#This Row],[FECHA]])</f>
        <v>2016-7</v>
      </c>
    </row>
    <row r="542" spans="1:4" x14ac:dyDescent="0.25">
      <c r="A542" t="s">
        <v>1656</v>
      </c>
      <c r="B542">
        <v>1</v>
      </c>
      <c r="C542" s="56">
        <v>42583</v>
      </c>
      <c r="D542" s="3" t="str">
        <f>YEAR(Datos_Consumo[[#This Row],[FECHA]])&amp;"-"&amp;MONTH(Datos_Consumo[[#This Row],[FECHA]])</f>
        <v>2016-8</v>
      </c>
    </row>
    <row r="543" spans="1:4" x14ac:dyDescent="0.25">
      <c r="A543" t="s">
        <v>1656</v>
      </c>
      <c r="B543">
        <v>2000</v>
      </c>
      <c r="C543" s="56">
        <v>42614</v>
      </c>
      <c r="D543" s="3" t="str">
        <f>YEAR(Datos_Consumo[[#This Row],[FECHA]])&amp;"-"&amp;MONTH(Datos_Consumo[[#This Row],[FECHA]])</f>
        <v>2016-9</v>
      </c>
    </row>
    <row r="544" spans="1:4" x14ac:dyDescent="0.25">
      <c r="A544" t="s">
        <v>2434</v>
      </c>
      <c r="B544">
        <v>10</v>
      </c>
      <c r="C544" s="56">
        <v>42552</v>
      </c>
      <c r="D544" s="3" t="str">
        <f>YEAR(Datos_Consumo[[#This Row],[FECHA]])&amp;"-"&amp;MONTH(Datos_Consumo[[#This Row],[FECHA]])</f>
        <v>2016-7</v>
      </c>
    </row>
    <row r="545" spans="1:4" x14ac:dyDescent="0.25">
      <c r="A545" t="s">
        <v>2434</v>
      </c>
      <c r="B545">
        <v>1</v>
      </c>
      <c r="C545" s="56">
        <v>42583</v>
      </c>
      <c r="D545" s="3" t="str">
        <f>YEAR(Datos_Consumo[[#This Row],[FECHA]])&amp;"-"&amp;MONTH(Datos_Consumo[[#This Row],[FECHA]])</f>
        <v>2016-8</v>
      </c>
    </row>
    <row r="546" spans="1:4" x14ac:dyDescent="0.25">
      <c r="A546" t="s">
        <v>2435</v>
      </c>
      <c r="B546">
        <v>310</v>
      </c>
      <c r="C546" s="56">
        <v>42552</v>
      </c>
      <c r="D546" s="3" t="str">
        <f>YEAR(Datos_Consumo[[#This Row],[FECHA]])&amp;"-"&amp;MONTH(Datos_Consumo[[#This Row],[FECHA]])</f>
        <v>2016-7</v>
      </c>
    </row>
    <row r="547" spans="1:4" x14ac:dyDescent="0.25">
      <c r="A547" t="s">
        <v>2435</v>
      </c>
      <c r="B547">
        <v>1</v>
      </c>
      <c r="C547" s="56">
        <v>42583</v>
      </c>
      <c r="D547" s="3" t="str">
        <f>YEAR(Datos_Consumo[[#This Row],[FECHA]])&amp;"-"&amp;MONTH(Datos_Consumo[[#This Row],[FECHA]])</f>
        <v>2016-8</v>
      </c>
    </row>
    <row r="548" spans="1:4" x14ac:dyDescent="0.25">
      <c r="A548" t="s">
        <v>2436</v>
      </c>
      <c r="B548">
        <v>24</v>
      </c>
      <c r="C548" s="56">
        <v>42583</v>
      </c>
      <c r="D548" s="3" t="str">
        <f>YEAR(Datos_Consumo[[#This Row],[FECHA]])&amp;"-"&amp;MONTH(Datos_Consumo[[#This Row],[FECHA]])</f>
        <v>2016-8</v>
      </c>
    </row>
    <row r="549" spans="1:4" x14ac:dyDescent="0.25">
      <c r="A549" t="s">
        <v>1657</v>
      </c>
      <c r="B549">
        <v>6</v>
      </c>
      <c r="C549" s="56">
        <v>42522</v>
      </c>
      <c r="D549" s="3" t="str">
        <f>YEAR(Datos_Consumo[[#This Row],[FECHA]])&amp;"-"&amp;MONTH(Datos_Consumo[[#This Row],[FECHA]])</f>
        <v>2016-6</v>
      </c>
    </row>
    <row r="550" spans="1:4" x14ac:dyDescent="0.25">
      <c r="A550" t="s">
        <v>1657</v>
      </c>
      <c r="B550">
        <v>131</v>
      </c>
      <c r="C550" s="56">
        <v>42583</v>
      </c>
      <c r="D550" s="3" t="str">
        <f>YEAR(Datos_Consumo[[#This Row],[FECHA]])&amp;"-"&amp;MONTH(Datos_Consumo[[#This Row],[FECHA]])</f>
        <v>2016-8</v>
      </c>
    </row>
    <row r="551" spans="1:4" x14ac:dyDescent="0.25">
      <c r="A551" t="s">
        <v>1657</v>
      </c>
      <c r="B551">
        <v>4</v>
      </c>
      <c r="C551" s="56">
        <v>42614</v>
      </c>
      <c r="D551" s="3" t="str">
        <f>YEAR(Datos_Consumo[[#This Row],[FECHA]])&amp;"-"&amp;MONTH(Datos_Consumo[[#This Row],[FECHA]])</f>
        <v>2016-9</v>
      </c>
    </row>
    <row r="552" spans="1:4" x14ac:dyDescent="0.25">
      <c r="A552" t="s">
        <v>1658</v>
      </c>
      <c r="B552">
        <v>6</v>
      </c>
      <c r="C552" s="56">
        <v>42522</v>
      </c>
      <c r="D552" s="3" t="str">
        <f>YEAR(Datos_Consumo[[#This Row],[FECHA]])&amp;"-"&amp;MONTH(Datos_Consumo[[#This Row],[FECHA]])</f>
        <v>2016-6</v>
      </c>
    </row>
    <row r="553" spans="1:4" x14ac:dyDescent="0.25">
      <c r="A553" t="s">
        <v>1658</v>
      </c>
      <c r="B553">
        <v>9</v>
      </c>
      <c r="C553" s="56">
        <v>42583</v>
      </c>
      <c r="D553" s="3" t="str">
        <f>YEAR(Datos_Consumo[[#This Row],[FECHA]])&amp;"-"&amp;MONTH(Datos_Consumo[[#This Row],[FECHA]])</f>
        <v>2016-8</v>
      </c>
    </row>
    <row r="554" spans="1:4" x14ac:dyDescent="0.25">
      <c r="A554" t="s">
        <v>1658</v>
      </c>
      <c r="B554">
        <v>4</v>
      </c>
      <c r="C554" s="56">
        <v>42614</v>
      </c>
      <c r="D554" s="3" t="str">
        <f>YEAR(Datos_Consumo[[#This Row],[FECHA]])&amp;"-"&amp;MONTH(Datos_Consumo[[#This Row],[FECHA]])</f>
        <v>2016-9</v>
      </c>
    </row>
    <row r="555" spans="1:4" x14ac:dyDescent="0.25">
      <c r="A555" t="s">
        <v>1659</v>
      </c>
      <c r="B555">
        <v>3</v>
      </c>
      <c r="C555" s="56">
        <v>42491</v>
      </c>
      <c r="D555" s="3" t="str">
        <f>YEAR(Datos_Consumo[[#This Row],[FECHA]])&amp;"-"&amp;MONTH(Datos_Consumo[[#This Row],[FECHA]])</f>
        <v>2016-5</v>
      </c>
    </row>
    <row r="556" spans="1:4" x14ac:dyDescent="0.25">
      <c r="A556" t="s">
        <v>1659</v>
      </c>
      <c r="B556">
        <v>3</v>
      </c>
      <c r="C556" s="56">
        <v>42522</v>
      </c>
      <c r="D556" s="3" t="str">
        <f>YEAR(Datos_Consumo[[#This Row],[FECHA]])&amp;"-"&amp;MONTH(Datos_Consumo[[#This Row],[FECHA]])</f>
        <v>2016-6</v>
      </c>
    </row>
    <row r="557" spans="1:4" x14ac:dyDescent="0.25">
      <c r="A557" t="s">
        <v>1659</v>
      </c>
      <c r="B557">
        <v>108</v>
      </c>
      <c r="C557" s="56">
        <v>42583</v>
      </c>
      <c r="D557" s="3" t="str">
        <f>YEAR(Datos_Consumo[[#This Row],[FECHA]])&amp;"-"&amp;MONTH(Datos_Consumo[[#This Row],[FECHA]])</f>
        <v>2016-8</v>
      </c>
    </row>
    <row r="558" spans="1:4" x14ac:dyDescent="0.25">
      <c r="A558" t="s">
        <v>1659</v>
      </c>
      <c r="B558">
        <v>3</v>
      </c>
      <c r="C558" s="56">
        <v>42614</v>
      </c>
      <c r="D558" s="3" t="str">
        <f>YEAR(Datos_Consumo[[#This Row],[FECHA]])&amp;"-"&amp;MONTH(Datos_Consumo[[#This Row],[FECHA]])</f>
        <v>2016-9</v>
      </c>
    </row>
    <row r="559" spans="1:4" x14ac:dyDescent="0.25">
      <c r="A559" t="s">
        <v>1660</v>
      </c>
      <c r="B559">
        <v>7</v>
      </c>
      <c r="C559" s="56">
        <v>42491</v>
      </c>
      <c r="D559" s="3" t="str">
        <f>YEAR(Datos_Consumo[[#This Row],[FECHA]])&amp;"-"&amp;MONTH(Datos_Consumo[[#This Row],[FECHA]])</f>
        <v>2016-5</v>
      </c>
    </row>
    <row r="560" spans="1:4" x14ac:dyDescent="0.25">
      <c r="A560" t="s">
        <v>1660</v>
      </c>
      <c r="B560">
        <v>5</v>
      </c>
      <c r="C560" s="56">
        <v>42522</v>
      </c>
      <c r="D560" s="3" t="str">
        <f>YEAR(Datos_Consumo[[#This Row],[FECHA]])&amp;"-"&amp;MONTH(Datos_Consumo[[#This Row],[FECHA]])</f>
        <v>2016-6</v>
      </c>
    </row>
    <row r="561" spans="1:4" x14ac:dyDescent="0.25">
      <c r="A561" t="s">
        <v>1660</v>
      </c>
      <c r="B561">
        <v>5</v>
      </c>
      <c r="C561" s="56">
        <v>42552</v>
      </c>
      <c r="D561" s="3" t="str">
        <f>YEAR(Datos_Consumo[[#This Row],[FECHA]])&amp;"-"&amp;MONTH(Datos_Consumo[[#This Row],[FECHA]])</f>
        <v>2016-7</v>
      </c>
    </row>
    <row r="562" spans="1:4" x14ac:dyDescent="0.25">
      <c r="A562" t="s">
        <v>1660</v>
      </c>
      <c r="B562">
        <v>5</v>
      </c>
      <c r="C562" s="56">
        <v>42583</v>
      </c>
      <c r="D562" s="3" t="str">
        <f>YEAR(Datos_Consumo[[#This Row],[FECHA]])&amp;"-"&amp;MONTH(Datos_Consumo[[#This Row],[FECHA]])</f>
        <v>2016-8</v>
      </c>
    </row>
    <row r="563" spans="1:4" x14ac:dyDescent="0.25">
      <c r="A563" t="s">
        <v>1660</v>
      </c>
      <c r="B563">
        <v>4</v>
      </c>
      <c r="C563" s="56">
        <v>42614</v>
      </c>
      <c r="D563" s="3" t="str">
        <f>YEAR(Datos_Consumo[[#This Row],[FECHA]])&amp;"-"&amp;MONTH(Datos_Consumo[[#This Row],[FECHA]])</f>
        <v>2016-9</v>
      </c>
    </row>
    <row r="564" spans="1:4" x14ac:dyDescent="0.25">
      <c r="A564" t="s">
        <v>1661</v>
      </c>
      <c r="B564">
        <v>2</v>
      </c>
      <c r="C564" s="56">
        <v>42491</v>
      </c>
      <c r="D564" s="3" t="str">
        <f>YEAR(Datos_Consumo[[#This Row],[FECHA]])&amp;"-"&amp;MONTH(Datos_Consumo[[#This Row],[FECHA]])</f>
        <v>2016-5</v>
      </c>
    </row>
    <row r="565" spans="1:4" x14ac:dyDescent="0.25">
      <c r="A565" t="s">
        <v>1661</v>
      </c>
      <c r="B565">
        <v>1</v>
      </c>
      <c r="C565" s="56">
        <v>42522</v>
      </c>
      <c r="D565" s="3" t="str">
        <f>YEAR(Datos_Consumo[[#This Row],[FECHA]])&amp;"-"&amp;MONTH(Datos_Consumo[[#This Row],[FECHA]])</f>
        <v>2016-6</v>
      </c>
    </row>
    <row r="566" spans="1:4" x14ac:dyDescent="0.25">
      <c r="A566" t="s">
        <v>1661</v>
      </c>
      <c r="B566">
        <v>2</v>
      </c>
      <c r="C566" s="56">
        <v>42583</v>
      </c>
      <c r="D566" s="3" t="str">
        <f>YEAR(Datos_Consumo[[#This Row],[FECHA]])&amp;"-"&amp;MONTH(Datos_Consumo[[#This Row],[FECHA]])</f>
        <v>2016-8</v>
      </c>
    </row>
    <row r="567" spans="1:4" x14ac:dyDescent="0.25">
      <c r="A567" t="s">
        <v>1661</v>
      </c>
      <c r="B567">
        <v>1</v>
      </c>
      <c r="C567" s="56">
        <v>42614</v>
      </c>
      <c r="D567" s="3" t="str">
        <f>YEAR(Datos_Consumo[[#This Row],[FECHA]])&amp;"-"&amp;MONTH(Datos_Consumo[[#This Row],[FECHA]])</f>
        <v>2016-9</v>
      </c>
    </row>
    <row r="568" spans="1:4" x14ac:dyDescent="0.25">
      <c r="A568" t="s">
        <v>1662</v>
      </c>
      <c r="B568">
        <v>1</v>
      </c>
      <c r="C568" s="56">
        <v>42491</v>
      </c>
      <c r="D568" s="3" t="str">
        <f>YEAR(Datos_Consumo[[#This Row],[FECHA]])&amp;"-"&amp;MONTH(Datos_Consumo[[#This Row],[FECHA]])</f>
        <v>2016-5</v>
      </c>
    </row>
    <row r="569" spans="1:4" x14ac:dyDescent="0.25">
      <c r="A569" t="s">
        <v>1662</v>
      </c>
      <c r="B569">
        <v>8</v>
      </c>
      <c r="C569" s="56">
        <v>42522</v>
      </c>
      <c r="D569" s="3" t="str">
        <f>YEAR(Datos_Consumo[[#This Row],[FECHA]])&amp;"-"&amp;MONTH(Datos_Consumo[[#This Row],[FECHA]])</f>
        <v>2016-6</v>
      </c>
    </row>
    <row r="570" spans="1:4" x14ac:dyDescent="0.25">
      <c r="A570" t="s">
        <v>1662</v>
      </c>
      <c r="B570">
        <v>1</v>
      </c>
      <c r="C570" s="56">
        <v>42614</v>
      </c>
      <c r="D570" s="3" t="str">
        <f>YEAR(Datos_Consumo[[#This Row],[FECHA]])&amp;"-"&amp;MONTH(Datos_Consumo[[#This Row],[FECHA]])</f>
        <v>2016-9</v>
      </c>
    </row>
    <row r="571" spans="1:4" x14ac:dyDescent="0.25">
      <c r="A571" t="s">
        <v>1663</v>
      </c>
      <c r="B571">
        <v>1</v>
      </c>
      <c r="C571" s="56">
        <v>42491</v>
      </c>
      <c r="D571" s="3" t="str">
        <f>YEAR(Datos_Consumo[[#This Row],[FECHA]])&amp;"-"&amp;MONTH(Datos_Consumo[[#This Row],[FECHA]])</f>
        <v>2016-5</v>
      </c>
    </row>
    <row r="572" spans="1:4" x14ac:dyDescent="0.25">
      <c r="A572" t="s">
        <v>1663</v>
      </c>
      <c r="B572">
        <v>1</v>
      </c>
      <c r="C572" s="56">
        <v>42522</v>
      </c>
      <c r="D572" s="3" t="str">
        <f>YEAR(Datos_Consumo[[#This Row],[FECHA]])&amp;"-"&amp;MONTH(Datos_Consumo[[#This Row],[FECHA]])</f>
        <v>2016-6</v>
      </c>
    </row>
    <row r="573" spans="1:4" x14ac:dyDescent="0.25">
      <c r="A573" t="s">
        <v>1663</v>
      </c>
      <c r="B573">
        <v>1</v>
      </c>
      <c r="C573" s="56">
        <v>42614</v>
      </c>
      <c r="D573" s="3" t="str">
        <f>YEAR(Datos_Consumo[[#This Row],[FECHA]])&amp;"-"&amp;MONTH(Datos_Consumo[[#This Row],[FECHA]])</f>
        <v>2016-9</v>
      </c>
    </row>
    <row r="574" spans="1:4" x14ac:dyDescent="0.25">
      <c r="A574" t="s">
        <v>1664</v>
      </c>
      <c r="B574">
        <v>2</v>
      </c>
      <c r="C574" s="56">
        <v>42491</v>
      </c>
      <c r="D574" s="3" t="str">
        <f>YEAR(Datos_Consumo[[#This Row],[FECHA]])&amp;"-"&amp;MONTH(Datos_Consumo[[#This Row],[FECHA]])</f>
        <v>2016-5</v>
      </c>
    </row>
    <row r="575" spans="1:4" x14ac:dyDescent="0.25">
      <c r="A575" t="s">
        <v>1664</v>
      </c>
      <c r="B575">
        <v>1</v>
      </c>
      <c r="C575" s="56">
        <v>42522</v>
      </c>
      <c r="D575" s="3" t="str">
        <f>YEAR(Datos_Consumo[[#This Row],[FECHA]])&amp;"-"&amp;MONTH(Datos_Consumo[[#This Row],[FECHA]])</f>
        <v>2016-6</v>
      </c>
    </row>
    <row r="576" spans="1:4" x14ac:dyDescent="0.25">
      <c r="A576" t="s">
        <v>1664</v>
      </c>
      <c r="B576">
        <v>2</v>
      </c>
      <c r="C576" s="56">
        <v>42552</v>
      </c>
      <c r="D576" s="3" t="str">
        <f>YEAR(Datos_Consumo[[#This Row],[FECHA]])&amp;"-"&amp;MONTH(Datos_Consumo[[#This Row],[FECHA]])</f>
        <v>2016-7</v>
      </c>
    </row>
    <row r="577" spans="1:4" x14ac:dyDescent="0.25">
      <c r="A577" t="s">
        <v>1664</v>
      </c>
      <c r="B577">
        <v>4</v>
      </c>
      <c r="C577" s="56">
        <v>42583</v>
      </c>
      <c r="D577" s="3" t="str">
        <f>YEAR(Datos_Consumo[[#This Row],[FECHA]])&amp;"-"&amp;MONTH(Datos_Consumo[[#This Row],[FECHA]])</f>
        <v>2016-8</v>
      </c>
    </row>
    <row r="578" spans="1:4" x14ac:dyDescent="0.25">
      <c r="A578" t="s">
        <v>1665</v>
      </c>
      <c r="B578">
        <v>1</v>
      </c>
      <c r="C578" s="56">
        <v>42491</v>
      </c>
      <c r="D578" s="3" t="str">
        <f>YEAR(Datos_Consumo[[#This Row],[FECHA]])&amp;"-"&amp;MONTH(Datos_Consumo[[#This Row],[FECHA]])</f>
        <v>2016-5</v>
      </c>
    </row>
    <row r="579" spans="1:4" x14ac:dyDescent="0.25">
      <c r="A579" t="s">
        <v>1665</v>
      </c>
      <c r="B579">
        <v>1</v>
      </c>
      <c r="C579" s="56">
        <v>42522</v>
      </c>
      <c r="D579" s="3" t="str">
        <f>YEAR(Datos_Consumo[[#This Row],[FECHA]])&amp;"-"&amp;MONTH(Datos_Consumo[[#This Row],[FECHA]])</f>
        <v>2016-6</v>
      </c>
    </row>
    <row r="580" spans="1:4" x14ac:dyDescent="0.25">
      <c r="A580" t="s">
        <v>1665</v>
      </c>
      <c r="B580">
        <v>1</v>
      </c>
      <c r="C580" s="56">
        <v>42552</v>
      </c>
      <c r="D580" s="3" t="str">
        <f>YEAR(Datos_Consumo[[#This Row],[FECHA]])&amp;"-"&amp;MONTH(Datos_Consumo[[#This Row],[FECHA]])</f>
        <v>2016-7</v>
      </c>
    </row>
    <row r="581" spans="1:4" x14ac:dyDescent="0.25">
      <c r="A581" t="s">
        <v>1665</v>
      </c>
      <c r="B581">
        <v>2</v>
      </c>
      <c r="C581" s="56">
        <v>42583</v>
      </c>
      <c r="D581" s="3" t="str">
        <f>YEAR(Datos_Consumo[[#This Row],[FECHA]])&amp;"-"&amp;MONTH(Datos_Consumo[[#This Row],[FECHA]])</f>
        <v>2016-8</v>
      </c>
    </row>
    <row r="582" spans="1:4" x14ac:dyDescent="0.25">
      <c r="A582" t="s">
        <v>1666</v>
      </c>
      <c r="B582">
        <v>2</v>
      </c>
      <c r="C582" s="56">
        <v>42491</v>
      </c>
      <c r="D582" s="3" t="str">
        <f>YEAR(Datos_Consumo[[#This Row],[FECHA]])&amp;"-"&amp;MONTH(Datos_Consumo[[#This Row],[FECHA]])</f>
        <v>2016-5</v>
      </c>
    </row>
    <row r="583" spans="1:4" x14ac:dyDescent="0.25">
      <c r="A583" t="s">
        <v>1666</v>
      </c>
      <c r="B583">
        <v>1</v>
      </c>
      <c r="C583" s="56">
        <v>42522</v>
      </c>
      <c r="D583" s="3" t="str">
        <f>YEAR(Datos_Consumo[[#This Row],[FECHA]])&amp;"-"&amp;MONTH(Datos_Consumo[[#This Row],[FECHA]])</f>
        <v>2016-6</v>
      </c>
    </row>
    <row r="584" spans="1:4" x14ac:dyDescent="0.25">
      <c r="A584" t="s">
        <v>1666</v>
      </c>
      <c r="B584">
        <v>1</v>
      </c>
      <c r="C584" s="56">
        <v>42552</v>
      </c>
      <c r="D584" s="3" t="str">
        <f>YEAR(Datos_Consumo[[#This Row],[FECHA]])&amp;"-"&amp;MONTH(Datos_Consumo[[#This Row],[FECHA]])</f>
        <v>2016-7</v>
      </c>
    </row>
    <row r="585" spans="1:4" x14ac:dyDescent="0.25">
      <c r="A585" t="s">
        <v>1666</v>
      </c>
      <c r="B585">
        <v>3</v>
      </c>
      <c r="C585" s="56">
        <v>42583</v>
      </c>
      <c r="D585" s="3" t="str">
        <f>YEAR(Datos_Consumo[[#This Row],[FECHA]])&amp;"-"&amp;MONTH(Datos_Consumo[[#This Row],[FECHA]])</f>
        <v>2016-8</v>
      </c>
    </row>
    <row r="586" spans="1:4" x14ac:dyDescent="0.25">
      <c r="A586" t="s">
        <v>1666</v>
      </c>
      <c r="B586">
        <v>1</v>
      </c>
      <c r="C586" s="56">
        <v>42614</v>
      </c>
      <c r="D586" s="3" t="str">
        <f>YEAR(Datos_Consumo[[#This Row],[FECHA]])&amp;"-"&amp;MONTH(Datos_Consumo[[#This Row],[FECHA]])</f>
        <v>2016-9</v>
      </c>
    </row>
    <row r="587" spans="1:4" x14ac:dyDescent="0.25">
      <c r="A587" t="s">
        <v>1667</v>
      </c>
      <c r="B587">
        <v>1</v>
      </c>
      <c r="C587" s="56">
        <v>42491</v>
      </c>
      <c r="D587" s="3" t="str">
        <f>YEAR(Datos_Consumo[[#This Row],[FECHA]])&amp;"-"&amp;MONTH(Datos_Consumo[[#This Row],[FECHA]])</f>
        <v>2016-5</v>
      </c>
    </row>
    <row r="588" spans="1:4" x14ac:dyDescent="0.25">
      <c r="A588" t="s">
        <v>1667</v>
      </c>
      <c r="B588">
        <v>2</v>
      </c>
      <c r="C588" s="56">
        <v>42522</v>
      </c>
      <c r="D588" s="3" t="str">
        <f>YEAR(Datos_Consumo[[#This Row],[FECHA]])&amp;"-"&amp;MONTH(Datos_Consumo[[#This Row],[FECHA]])</f>
        <v>2016-6</v>
      </c>
    </row>
    <row r="589" spans="1:4" x14ac:dyDescent="0.25">
      <c r="A589" t="s">
        <v>1668</v>
      </c>
      <c r="B589">
        <v>2</v>
      </c>
      <c r="C589" s="56">
        <v>42522</v>
      </c>
      <c r="D589" s="3" t="str">
        <f>YEAR(Datos_Consumo[[#This Row],[FECHA]])&amp;"-"&amp;MONTH(Datos_Consumo[[#This Row],[FECHA]])</f>
        <v>2016-6</v>
      </c>
    </row>
    <row r="590" spans="1:4" x14ac:dyDescent="0.25">
      <c r="A590" t="s">
        <v>1669</v>
      </c>
      <c r="B590">
        <v>2</v>
      </c>
      <c r="C590" s="56">
        <v>42491</v>
      </c>
      <c r="D590" s="3" t="str">
        <f>YEAR(Datos_Consumo[[#This Row],[FECHA]])&amp;"-"&amp;MONTH(Datos_Consumo[[#This Row],[FECHA]])</f>
        <v>2016-5</v>
      </c>
    </row>
    <row r="591" spans="1:4" x14ac:dyDescent="0.25">
      <c r="A591" t="s">
        <v>1669</v>
      </c>
      <c r="B591">
        <v>5</v>
      </c>
      <c r="C591" s="56">
        <v>42552</v>
      </c>
      <c r="D591" s="3" t="str">
        <f>YEAR(Datos_Consumo[[#This Row],[FECHA]])&amp;"-"&amp;MONTH(Datos_Consumo[[#This Row],[FECHA]])</f>
        <v>2016-7</v>
      </c>
    </row>
    <row r="592" spans="1:4" x14ac:dyDescent="0.25">
      <c r="A592" t="s">
        <v>1669</v>
      </c>
      <c r="B592">
        <v>2</v>
      </c>
      <c r="C592" s="56">
        <v>42583</v>
      </c>
      <c r="D592" s="3" t="str">
        <f>YEAR(Datos_Consumo[[#This Row],[FECHA]])&amp;"-"&amp;MONTH(Datos_Consumo[[#This Row],[FECHA]])</f>
        <v>2016-8</v>
      </c>
    </row>
    <row r="593" spans="1:4" x14ac:dyDescent="0.25">
      <c r="A593" t="s">
        <v>1670</v>
      </c>
      <c r="B593">
        <v>2</v>
      </c>
      <c r="C593" s="56">
        <v>42522</v>
      </c>
      <c r="D593" s="3" t="str">
        <f>YEAR(Datos_Consumo[[#This Row],[FECHA]])&amp;"-"&amp;MONTH(Datos_Consumo[[#This Row],[FECHA]])</f>
        <v>2016-6</v>
      </c>
    </row>
    <row r="594" spans="1:4" x14ac:dyDescent="0.25">
      <c r="A594" t="s">
        <v>1670</v>
      </c>
      <c r="B594">
        <v>1</v>
      </c>
      <c r="C594" s="56">
        <v>42583</v>
      </c>
      <c r="D594" s="3" t="str">
        <f>YEAR(Datos_Consumo[[#This Row],[FECHA]])&amp;"-"&amp;MONTH(Datos_Consumo[[#This Row],[FECHA]])</f>
        <v>2016-8</v>
      </c>
    </row>
    <row r="595" spans="1:4" x14ac:dyDescent="0.25">
      <c r="A595" t="s">
        <v>1670</v>
      </c>
      <c r="B595">
        <v>1</v>
      </c>
      <c r="C595" s="56">
        <v>42614</v>
      </c>
      <c r="D595" s="3" t="str">
        <f>YEAR(Datos_Consumo[[#This Row],[FECHA]])&amp;"-"&amp;MONTH(Datos_Consumo[[#This Row],[FECHA]])</f>
        <v>2016-9</v>
      </c>
    </row>
    <row r="596" spans="1:4" x14ac:dyDescent="0.25">
      <c r="A596" t="s">
        <v>1671</v>
      </c>
      <c r="B596">
        <v>3</v>
      </c>
      <c r="C596" s="56">
        <v>42522</v>
      </c>
      <c r="D596" s="3" t="str">
        <f>YEAR(Datos_Consumo[[#This Row],[FECHA]])&amp;"-"&amp;MONTH(Datos_Consumo[[#This Row],[FECHA]])</f>
        <v>2016-6</v>
      </c>
    </row>
    <row r="597" spans="1:4" x14ac:dyDescent="0.25">
      <c r="A597" t="s">
        <v>1671</v>
      </c>
      <c r="B597">
        <v>3</v>
      </c>
      <c r="C597" s="56">
        <v>42583</v>
      </c>
      <c r="D597" s="3" t="str">
        <f>YEAR(Datos_Consumo[[#This Row],[FECHA]])&amp;"-"&amp;MONTH(Datos_Consumo[[#This Row],[FECHA]])</f>
        <v>2016-8</v>
      </c>
    </row>
    <row r="598" spans="1:4" x14ac:dyDescent="0.25">
      <c r="A598" t="s">
        <v>1671</v>
      </c>
      <c r="B598">
        <v>3</v>
      </c>
      <c r="C598" s="56">
        <v>42614</v>
      </c>
      <c r="D598" s="3" t="str">
        <f>YEAR(Datos_Consumo[[#This Row],[FECHA]])&amp;"-"&amp;MONTH(Datos_Consumo[[#This Row],[FECHA]])</f>
        <v>2016-9</v>
      </c>
    </row>
    <row r="599" spans="1:4" x14ac:dyDescent="0.25">
      <c r="A599" t="s">
        <v>1672</v>
      </c>
      <c r="B599">
        <v>1</v>
      </c>
      <c r="C599" s="56">
        <v>42491</v>
      </c>
      <c r="D599" s="3" t="str">
        <f>YEAR(Datos_Consumo[[#This Row],[FECHA]])&amp;"-"&amp;MONTH(Datos_Consumo[[#This Row],[FECHA]])</f>
        <v>2016-5</v>
      </c>
    </row>
    <row r="600" spans="1:4" x14ac:dyDescent="0.25">
      <c r="A600" t="s">
        <v>1672</v>
      </c>
      <c r="B600">
        <v>6</v>
      </c>
      <c r="C600" s="56">
        <v>42522</v>
      </c>
      <c r="D600" s="3" t="str">
        <f>YEAR(Datos_Consumo[[#This Row],[FECHA]])&amp;"-"&amp;MONTH(Datos_Consumo[[#This Row],[FECHA]])</f>
        <v>2016-6</v>
      </c>
    </row>
    <row r="601" spans="1:4" x14ac:dyDescent="0.25">
      <c r="A601" t="s">
        <v>1672</v>
      </c>
      <c r="B601">
        <v>5</v>
      </c>
      <c r="C601" s="56">
        <v>42583</v>
      </c>
      <c r="D601" s="3" t="str">
        <f>YEAR(Datos_Consumo[[#This Row],[FECHA]])&amp;"-"&amp;MONTH(Datos_Consumo[[#This Row],[FECHA]])</f>
        <v>2016-8</v>
      </c>
    </row>
    <row r="602" spans="1:4" x14ac:dyDescent="0.25">
      <c r="A602" t="s">
        <v>1673</v>
      </c>
      <c r="B602">
        <v>1</v>
      </c>
      <c r="C602" s="56">
        <v>42491</v>
      </c>
      <c r="D602" s="3" t="str">
        <f>YEAR(Datos_Consumo[[#This Row],[FECHA]])&amp;"-"&amp;MONTH(Datos_Consumo[[#This Row],[FECHA]])</f>
        <v>2016-5</v>
      </c>
    </row>
    <row r="603" spans="1:4" x14ac:dyDescent="0.25">
      <c r="A603" t="s">
        <v>1673</v>
      </c>
      <c r="B603">
        <v>1</v>
      </c>
      <c r="C603" s="56">
        <v>42614</v>
      </c>
      <c r="D603" s="3" t="str">
        <f>YEAR(Datos_Consumo[[#This Row],[FECHA]])&amp;"-"&amp;MONTH(Datos_Consumo[[#This Row],[FECHA]])</f>
        <v>2016-9</v>
      </c>
    </row>
    <row r="604" spans="1:4" x14ac:dyDescent="0.25">
      <c r="A604" t="s">
        <v>1674</v>
      </c>
      <c r="B604">
        <v>1047</v>
      </c>
      <c r="C604" s="56">
        <v>42491</v>
      </c>
      <c r="D604" s="3" t="str">
        <f>YEAR(Datos_Consumo[[#This Row],[FECHA]])&amp;"-"&amp;MONTH(Datos_Consumo[[#This Row],[FECHA]])</f>
        <v>2016-5</v>
      </c>
    </row>
    <row r="605" spans="1:4" x14ac:dyDescent="0.25">
      <c r="A605" t="s">
        <v>1674</v>
      </c>
      <c r="B605">
        <v>1200</v>
      </c>
      <c r="C605" s="56">
        <v>42522</v>
      </c>
      <c r="D605" s="3" t="str">
        <f>YEAR(Datos_Consumo[[#This Row],[FECHA]])&amp;"-"&amp;MONTH(Datos_Consumo[[#This Row],[FECHA]])</f>
        <v>2016-6</v>
      </c>
    </row>
    <row r="606" spans="1:4" x14ac:dyDescent="0.25">
      <c r="A606" t="s">
        <v>1674</v>
      </c>
      <c r="B606">
        <v>7</v>
      </c>
      <c r="C606" s="56">
        <v>42552</v>
      </c>
      <c r="D606" s="3" t="str">
        <f>YEAR(Datos_Consumo[[#This Row],[FECHA]])&amp;"-"&amp;MONTH(Datos_Consumo[[#This Row],[FECHA]])</f>
        <v>2016-7</v>
      </c>
    </row>
    <row r="607" spans="1:4" x14ac:dyDescent="0.25">
      <c r="A607" t="s">
        <v>1674</v>
      </c>
      <c r="B607">
        <v>1251</v>
      </c>
      <c r="C607" s="56">
        <v>42583</v>
      </c>
      <c r="D607" s="3" t="str">
        <f>YEAR(Datos_Consumo[[#This Row],[FECHA]])&amp;"-"&amp;MONTH(Datos_Consumo[[#This Row],[FECHA]])</f>
        <v>2016-8</v>
      </c>
    </row>
    <row r="608" spans="1:4" x14ac:dyDescent="0.25">
      <c r="A608" t="s">
        <v>1675</v>
      </c>
      <c r="B608">
        <v>1</v>
      </c>
      <c r="C608" s="56">
        <v>42583</v>
      </c>
      <c r="D608" s="3" t="str">
        <f>YEAR(Datos_Consumo[[#This Row],[FECHA]])&amp;"-"&amp;MONTH(Datos_Consumo[[#This Row],[FECHA]])</f>
        <v>2016-8</v>
      </c>
    </row>
    <row r="609" spans="1:4" x14ac:dyDescent="0.25">
      <c r="A609" t="s">
        <v>2437</v>
      </c>
      <c r="B609">
        <v>3</v>
      </c>
      <c r="C609" s="56">
        <v>42583</v>
      </c>
      <c r="D609" s="3" t="str">
        <f>YEAR(Datos_Consumo[[#This Row],[FECHA]])&amp;"-"&amp;MONTH(Datos_Consumo[[#This Row],[FECHA]])</f>
        <v>2016-8</v>
      </c>
    </row>
    <row r="610" spans="1:4" x14ac:dyDescent="0.25">
      <c r="A610" t="s">
        <v>1676</v>
      </c>
      <c r="B610">
        <v>3</v>
      </c>
      <c r="C610" s="56">
        <v>42583</v>
      </c>
      <c r="D610" s="3" t="str">
        <f>YEAR(Datos_Consumo[[#This Row],[FECHA]])&amp;"-"&amp;MONTH(Datos_Consumo[[#This Row],[FECHA]])</f>
        <v>2016-8</v>
      </c>
    </row>
    <row r="611" spans="1:4" x14ac:dyDescent="0.25">
      <c r="A611" t="s">
        <v>2438</v>
      </c>
      <c r="B611">
        <v>1</v>
      </c>
      <c r="C611" s="56">
        <v>42583</v>
      </c>
      <c r="D611" s="3" t="str">
        <f>YEAR(Datos_Consumo[[#This Row],[FECHA]])&amp;"-"&amp;MONTH(Datos_Consumo[[#This Row],[FECHA]])</f>
        <v>2016-8</v>
      </c>
    </row>
    <row r="612" spans="1:4" x14ac:dyDescent="0.25">
      <c r="A612" t="s">
        <v>1677</v>
      </c>
      <c r="B612">
        <v>1</v>
      </c>
      <c r="C612" s="56">
        <v>42491</v>
      </c>
      <c r="D612" s="3" t="str">
        <f>YEAR(Datos_Consumo[[#This Row],[FECHA]])&amp;"-"&amp;MONTH(Datos_Consumo[[#This Row],[FECHA]])</f>
        <v>2016-5</v>
      </c>
    </row>
    <row r="613" spans="1:4" x14ac:dyDescent="0.25">
      <c r="A613" t="s">
        <v>1678</v>
      </c>
      <c r="B613">
        <v>1</v>
      </c>
      <c r="C613" s="56">
        <v>42522</v>
      </c>
      <c r="D613" s="3" t="str">
        <f>YEAR(Datos_Consumo[[#This Row],[FECHA]])&amp;"-"&amp;MONTH(Datos_Consumo[[#This Row],[FECHA]])</f>
        <v>2016-6</v>
      </c>
    </row>
    <row r="614" spans="1:4" x14ac:dyDescent="0.25">
      <c r="A614" t="s">
        <v>2439</v>
      </c>
      <c r="B614">
        <v>25</v>
      </c>
      <c r="C614" s="56">
        <v>42491</v>
      </c>
      <c r="D614" s="3" t="str">
        <f>YEAR(Datos_Consumo[[#This Row],[FECHA]])&amp;"-"&amp;MONTH(Datos_Consumo[[#This Row],[FECHA]])</f>
        <v>2016-5</v>
      </c>
    </row>
    <row r="615" spans="1:4" x14ac:dyDescent="0.25">
      <c r="A615" t="s">
        <v>2439</v>
      </c>
      <c r="B615">
        <v>125</v>
      </c>
      <c r="C615" s="56">
        <v>42583</v>
      </c>
      <c r="D615" s="3" t="str">
        <f>YEAR(Datos_Consumo[[#This Row],[FECHA]])&amp;"-"&amp;MONTH(Datos_Consumo[[#This Row],[FECHA]])</f>
        <v>2016-8</v>
      </c>
    </row>
    <row r="616" spans="1:4" x14ac:dyDescent="0.25">
      <c r="A616" t="s">
        <v>2439</v>
      </c>
      <c r="B616">
        <v>50</v>
      </c>
      <c r="C616" s="56">
        <v>42614</v>
      </c>
      <c r="D616" s="3" t="str">
        <f>YEAR(Datos_Consumo[[#This Row],[FECHA]])&amp;"-"&amp;MONTH(Datos_Consumo[[#This Row],[FECHA]])</f>
        <v>2016-9</v>
      </c>
    </row>
    <row r="617" spans="1:4" x14ac:dyDescent="0.25">
      <c r="A617" t="s">
        <v>1679</v>
      </c>
      <c r="B617">
        <v>450</v>
      </c>
      <c r="C617" s="56">
        <v>42491</v>
      </c>
      <c r="D617" s="3" t="str">
        <f>YEAR(Datos_Consumo[[#This Row],[FECHA]])&amp;"-"&amp;MONTH(Datos_Consumo[[#This Row],[FECHA]])</f>
        <v>2016-5</v>
      </c>
    </row>
    <row r="618" spans="1:4" x14ac:dyDescent="0.25">
      <c r="A618" t="s">
        <v>1679</v>
      </c>
      <c r="B618">
        <v>200</v>
      </c>
      <c r="C618" s="56">
        <v>42522</v>
      </c>
      <c r="D618" s="3" t="str">
        <f>YEAR(Datos_Consumo[[#This Row],[FECHA]])&amp;"-"&amp;MONTH(Datos_Consumo[[#This Row],[FECHA]])</f>
        <v>2016-6</v>
      </c>
    </row>
    <row r="619" spans="1:4" x14ac:dyDescent="0.25">
      <c r="A619" t="s">
        <v>1679</v>
      </c>
      <c r="B619">
        <v>200</v>
      </c>
      <c r="C619" s="56">
        <v>42552</v>
      </c>
      <c r="D619" s="3" t="str">
        <f>YEAR(Datos_Consumo[[#This Row],[FECHA]])&amp;"-"&amp;MONTH(Datos_Consumo[[#This Row],[FECHA]])</f>
        <v>2016-7</v>
      </c>
    </row>
    <row r="620" spans="1:4" x14ac:dyDescent="0.25">
      <c r="A620" t="s">
        <v>1679</v>
      </c>
      <c r="B620">
        <v>200</v>
      </c>
      <c r="C620" s="56">
        <v>42583</v>
      </c>
      <c r="D620" s="3" t="str">
        <f>YEAR(Datos_Consumo[[#This Row],[FECHA]])&amp;"-"&amp;MONTH(Datos_Consumo[[#This Row],[FECHA]])</f>
        <v>2016-8</v>
      </c>
    </row>
    <row r="621" spans="1:4" x14ac:dyDescent="0.25">
      <c r="A621" t="s">
        <v>1679</v>
      </c>
      <c r="B621">
        <v>200</v>
      </c>
      <c r="C621" s="56">
        <v>42614</v>
      </c>
      <c r="D621" s="3" t="str">
        <f>YEAR(Datos_Consumo[[#This Row],[FECHA]])&amp;"-"&amp;MONTH(Datos_Consumo[[#This Row],[FECHA]])</f>
        <v>2016-9</v>
      </c>
    </row>
    <row r="622" spans="1:4" x14ac:dyDescent="0.25">
      <c r="A622" t="s">
        <v>1680</v>
      </c>
      <c r="B622">
        <v>10650</v>
      </c>
      <c r="C622" s="56">
        <v>42491</v>
      </c>
      <c r="D622" s="3" t="str">
        <f>YEAR(Datos_Consumo[[#This Row],[FECHA]])&amp;"-"&amp;MONTH(Datos_Consumo[[#This Row],[FECHA]])</f>
        <v>2016-5</v>
      </c>
    </row>
    <row r="623" spans="1:4" x14ac:dyDescent="0.25">
      <c r="A623" t="s">
        <v>1680</v>
      </c>
      <c r="B623">
        <v>7800</v>
      </c>
      <c r="C623" s="56">
        <v>42522</v>
      </c>
      <c r="D623" s="3" t="str">
        <f>YEAR(Datos_Consumo[[#This Row],[FECHA]])&amp;"-"&amp;MONTH(Datos_Consumo[[#This Row],[FECHA]])</f>
        <v>2016-6</v>
      </c>
    </row>
    <row r="624" spans="1:4" x14ac:dyDescent="0.25">
      <c r="A624" t="s">
        <v>1680</v>
      </c>
      <c r="B624">
        <v>300</v>
      </c>
      <c r="C624" s="56">
        <v>42552</v>
      </c>
      <c r="D624" s="3" t="str">
        <f>YEAR(Datos_Consumo[[#This Row],[FECHA]])&amp;"-"&amp;MONTH(Datos_Consumo[[#This Row],[FECHA]])</f>
        <v>2016-7</v>
      </c>
    </row>
    <row r="625" spans="1:4" x14ac:dyDescent="0.25">
      <c r="A625" t="s">
        <v>1680</v>
      </c>
      <c r="B625">
        <v>300</v>
      </c>
      <c r="C625" s="56">
        <v>42583</v>
      </c>
      <c r="D625" s="3" t="str">
        <f>YEAR(Datos_Consumo[[#This Row],[FECHA]])&amp;"-"&amp;MONTH(Datos_Consumo[[#This Row],[FECHA]])</f>
        <v>2016-8</v>
      </c>
    </row>
    <row r="626" spans="1:4" x14ac:dyDescent="0.25">
      <c r="A626" t="s">
        <v>1680</v>
      </c>
      <c r="B626">
        <v>300</v>
      </c>
      <c r="C626" s="56">
        <v>42614</v>
      </c>
      <c r="D626" s="3" t="str">
        <f>YEAR(Datos_Consumo[[#This Row],[FECHA]])&amp;"-"&amp;MONTH(Datos_Consumo[[#This Row],[FECHA]])</f>
        <v>2016-9</v>
      </c>
    </row>
    <row r="627" spans="1:4" x14ac:dyDescent="0.25">
      <c r="A627" t="s">
        <v>1681</v>
      </c>
      <c r="B627">
        <v>100</v>
      </c>
      <c r="C627" s="56">
        <v>42491</v>
      </c>
      <c r="D627" s="3" t="str">
        <f>YEAR(Datos_Consumo[[#This Row],[FECHA]])&amp;"-"&amp;MONTH(Datos_Consumo[[#This Row],[FECHA]])</f>
        <v>2016-5</v>
      </c>
    </row>
    <row r="628" spans="1:4" x14ac:dyDescent="0.25">
      <c r="A628" t="s">
        <v>1681</v>
      </c>
      <c r="B628">
        <v>200</v>
      </c>
      <c r="C628" s="56">
        <v>42614</v>
      </c>
      <c r="D628" s="3" t="str">
        <f>YEAR(Datos_Consumo[[#This Row],[FECHA]])&amp;"-"&amp;MONTH(Datos_Consumo[[#This Row],[FECHA]])</f>
        <v>2016-9</v>
      </c>
    </row>
    <row r="629" spans="1:4" x14ac:dyDescent="0.25">
      <c r="A629" t="s">
        <v>1718</v>
      </c>
      <c r="B629">
        <v>3500</v>
      </c>
      <c r="C629" s="56">
        <v>42522</v>
      </c>
      <c r="D629" s="3" t="str">
        <f>YEAR(Datos_Consumo[[#This Row],[FECHA]])&amp;"-"&amp;MONTH(Datos_Consumo[[#This Row],[FECHA]])</f>
        <v>2016-6</v>
      </c>
    </row>
    <row r="630" spans="1:4" x14ac:dyDescent="0.25">
      <c r="A630" t="s">
        <v>1718</v>
      </c>
      <c r="B630">
        <v>200</v>
      </c>
      <c r="C630" s="56">
        <v>42552</v>
      </c>
      <c r="D630" s="3" t="str">
        <f>YEAR(Datos_Consumo[[#This Row],[FECHA]])&amp;"-"&amp;MONTH(Datos_Consumo[[#This Row],[FECHA]])</f>
        <v>2016-7</v>
      </c>
    </row>
    <row r="631" spans="1:4" x14ac:dyDescent="0.25">
      <c r="A631" t="s">
        <v>1718</v>
      </c>
      <c r="B631">
        <v>200</v>
      </c>
      <c r="C631" s="56">
        <v>42583</v>
      </c>
      <c r="D631" s="3" t="str">
        <f>YEAR(Datos_Consumo[[#This Row],[FECHA]])&amp;"-"&amp;MONTH(Datos_Consumo[[#This Row],[FECHA]])</f>
        <v>2016-8</v>
      </c>
    </row>
    <row r="632" spans="1:4" x14ac:dyDescent="0.25">
      <c r="A632" t="s">
        <v>1718</v>
      </c>
      <c r="B632">
        <v>1000</v>
      </c>
      <c r="C632" s="56">
        <v>42614</v>
      </c>
      <c r="D632" s="3" t="str">
        <f>YEAR(Datos_Consumo[[#This Row],[FECHA]])&amp;"-"&amp;MONTH(Datos_Consumo[[#This Row],[FECHA]])</f>
        <v>2016-9</v>
      </c>
    </row>
    <row r="633" spans="1:4" x14ac:dyDescent="0.25">
      <c r="A633" t="s">
        <v>1682</v>
      </c>
      <c r="B633">
        <v>15</v>
      </c>
      <c r="C633" s="56">
        <v>42491</v>
      </c>
      <c r="D633" s="3" t="str">
        <f>YEAR(Datos_Consumo[[#This Row],[FECHA]])&amp;"-"&amp;MONTH(Datos_Consumo[[#This Row],[FECHA]])</f>
        <v>2016-5</v>
      </c>
    </row>
    <row r="634" spans="1:4" x14ac:dyDescent="0.25">
      <c r="A634" t="s">
        <v>1683</v>
      </c>
      <c r="B634">
        <v>5</v>
      </c>
      <c r="C634" s="56">
        <v>42491</v>
      </c>
      <c r="D634" s="3" t="str">
        <f>YEAR(Datos_Consumo[[#This Row],[FECHA]])&amp;"-"&amp;MONTH(Datos_Consumo[[#This Row],[FECHA]])</f>
        <v>2016-5</v>
      </c>
    </row>
    <row r="635" spans="1:4" x14ac:dyDescent="0.25">
      <c r="A635" t="s">
        <v>1683</v>
      </c>
      <c r="B635">
        <v>11</v>
      </c>
      <c r="C635" s="56">
        <v>42522</v>
      </c>
      <c r="D635" s="3" t="str">
        <f>YEAR(Datos_Consumo[[#This Row],[FECHA]])&amp;"-"&amp;MONTH(Datos_Consumo[[#This Row],[FECHA]])</f>
        <v>2016-6</v>
      </c>
    </row>
    <row r="636" spans="1:4" x14ac:dyDescent="0.25">
      <c r="A636" t="s">
        <v>1683</v>
      </c>
      <c r="B636">
        <v>14</v>
      </c>
      <c r="C636" s="56">
        <v>42552</v>
      </c>
      <c r="D636" s="3" t="str">
        <f>YEAR(Datos_Consumo[[#This Row],[FECHA]])&amp;"-"&amp;MONTH(Datos_Consumo[[#This Row],[FECHA]])</f>
        <v>2016-7</v>
      </c>
    </row>
    <row r="637" spans="1:4" x14ac:dyDescent="0.25">
      <c r="A637" t="s">
        <v>1683</v>
      </c>
      <c r="B637">
        <v>9</v>
      </c>
      <c r="C637" s="56">
        <v>42583</v>
      </c>
      <c r="D637" s="3" t="str">
        <f>YEAR(Datos_Consumo[[#This Row],[FECHA]])&amp;"-"&amp;MONTH(Datos_Consumo[[#This Row],[FECHA]])</f>
        <v>2016-8</v>
      </c>
    </row>
    <row r="638" spans="1:4" x14ac:dyDescent="0.25">
      <c r="A638" t="s">
        <v>1684</v>
      </c>
      <c r="B638">
        <v>1</v>
      </c>
      <c r="C638" s="56">
        <v>42522</v>
      </c>
      <c r="D638" s="3" t="str">
        <f>YEAR(Datos_Consumo[[#This Row],[FECHA]])&amp;"-"&amp;MONTH(Datos_Consumo[[#This Row],[FECHA]])</f>
        <v>2016-6</v>
      </c>
    </row>
    <row r="639" spans="1:4" x14ac:dyDescent="0.25">
      <c r="A639" t="s">
        <v>1684</v>
      </c>
      <c r="B639">
        <v>2</v>
      </c>
      <c r="C639" s="56">
        <v>42583</v>
      </c>
      <c r="D639" s="3" t="str">
        <f>YEAR(Datos_Consumo[[#This Row],[FECHA]])&amp;"-"&amp;MONTH(Datos_Consumo[[#This Row],[FECHA]])</f>
        <v>2016-8</v>
      </c>
    </row>
    <row r="640" spans="1:4" x14ac:dyDescent="0.25">
      <c r="A640" t="s">
        <v>1685</v>
      </c>
      <c r="B640">
        <v>1</v>
      </c>
      <c r="C640" s="56">
        <v>42522</v>
      </c>
      <c r="D640" s="3" t="str">
        <f>YEAR(Datos_Consumo[[#This Row],[FECHA]])&amp;"-"&amp;MONTH(Datos_Consumo[[#This Row],[FECHA]])</f>
        <v>2016-6</v>
      </c>
    </row>
    <row r="641" spans="1:4" x14ac:dyDescent="0.25">
      <c r="A641" t="s">
        <v>1685</v>
      </c>
      <c r="B641">
        <v>3</v>
      </c>
      <c r="C641" s="56">
        <v>42583</v>
      </c>
      <c r="D641" s="3" t="str">
        <f>YEAR(Datos_Consumo[[#This Row],[FECHA]])&amp;"-"&amp;MONTH(Datos_Consumo[[#This Row],[FECHA]])</f>
        <v>2016-8</v>
      </c>
    </row>
    <row r="642" spans="1:4" x14ac:dyDescent="0.25">
      <c r="A642" t="s">
        <v>2440</v>
      </c>
      <c r="B642">
        <v>12</v>
      </c>
      <c r="C642" s="56">
        <v>42522</v>
      </c>
      <c r="D642" s="3" t="str">
        <f>YEAR(Datos_Consumo[[#This Row],[FECHA]])&amp;"-"&amp;MONTH(Datos_Consumo[[#This Row],[FECHA]])</f>
        <v>2016-6</v>
      </c>
    </row>
    <row r="643" spans="1:4" x14ac:dyDescent="0.25">
      <c r="A643" t="s">
        <v>2441</v>
      </c>
      <c r="B643">
        <v>42</v>
      </c>
      <c r="C643" s="56">
        <v>42583</v>
      </c>
      <c r="D643" s="3" t="str">
        <f>YEAR(Datos_Consumo[[#This Row],[FECHA]])&amp;"-"&amp;MONTH(Datos_Consumo[[#This Row],[FECHA]])</f>
        <v>2016-8</v>
      </c>
    </row>
    <row r="644" spans="1:4" x14ac:dyDescent="0.25">
      <c r="A644" t="s">
        <v>1686</v>
      </c>
      <c r="B644">
        <v>490</v>
      </c>
      <c r="C644" s="56">
        <v>42491</v>
      </c>
      <c r="D644" s="3" t="str">
        <f>YEAR(Datos_Consumo[[#This Row],[FECHA]])&amp;"-"&amp;MONTH(Datos_Consumo[[#This Row],[FECHA]])</f>
        <v>2016-5</v>
      </c>
    </row>
    <row r="645" spans="1:4" x14ac:dyDescent="0.25">
      <c r="A645" t="s">
        <v>1686</v>
      </c>
      <c r="B645">
        <v>490</v>
      </c>
      <c r="C645" s="56">
        <v>42522</v>
      </c>
      <c r="D645" s="3" t="str">
        <f>YEAR(Datos_Consumo[[#This Row],[FECHA]])&amp;"-"&amp;MONTH(Datos_Consumo[[#This Row],[FECHA]])</f>
        <v>2016-6</v>
      </c>
    </row>
    <row r="646" spans="1:4" x14ac:dyDescent="0.25">
      <c r="A646" t="s">
        <v>1686</v>
      </c>
      <c r="B646">
        <v>1</v>
      </c>
      <c r="C646" s="56">
        <v>42583</v>
      </c>
      <c r="D646" s="3" t="str">
        <f>YEAR(Datos_Consumo[[#This Row],[FECHA]])&amp;"-"&amp;MONTH(Datos_Consumo[[#This Row],[FECHA]])</f>
        <v>2016-8</v>
      </c>
    </row>
    <row r="647" spans="1:4" x14ac:dyDescent="0.25">
      <c r="A647" t="s">
        <v>2442</v>
      </c>
      <c r="B647">
        <v>5</v>
      </c>
      <c r="C647" s="56">
        <v>42583</v>
      </c>
      <c r="D647" s="3" t="str">
        <f>YEAR(Datos_Consumo[[#This Row],[FECHA]])&amp;"-"&amp;MONTH(Datos_Consumo[[#This Row],[FECHA]])</f>
        <v>2016-8</v>
      </c>
    </row>
    <row r="648" spans="1:4" x14ac:dyDescent="0.25">
      <c r="A648" t="s">
        <v>1452</v>
      </c>
      <c r="B648">
        <v>13</v>
      </c>
      <c r="C648" s="56">
        <v>42491</v>
      </c>
      <c r="D648" s="3" t="str">
        <f>YEAR(Datos_Consumo[[#This Row],[FECHA]])&amp;"-"&amp;MONTH(Datos_Consumo[[#This Row],[FECHA]])</f>
        <v>2016-5</v>
      </c>
    </row>
    <row r="649" spans="1:4" x14ac:dyDescent="0.25">
      <c r="A649" t="s">
        <v>1452</v>
      </c>
      <c r="B649">
        <v>91</v>
      </c>
      <c r="C649" s="56">
        <v>42522</v>
      </c>
      <c r="D649" s="3" t="str">
        <f>YEAR(Datos_Consumo[[#This Row],[FECHA]])&amp;"-"&amp;MONTH(Datos_Consumo[[#This Row],[FECHA]])</f>
        <v>2016-6</v>
      </c>
    </row>
    <row r="650" spans="1:4" x14ac:dyDescent="0.25">
      <c r="A650" t="s">
        <v>1452</v>
      </c>
      <c r="B650">
        <v>69</v>
      </c>
      <c r="C650" s="56">
        <v>42552</v>
      </c>
      <c r="D650" s="3" t="str">
        <f>YEAR(Datos_Consumo[[#This Row],[FECHA]])&amp;"-"&amp;MONTH(Datos_Consumo[[#This Row],[FECHA]])</f>
        <v>2016-7</v>
      </c>
    </row>
    <row r="651" spans="1:4" x14ac:dyDescent="0.25">
      <c r="A651" t="s">
        <v>1452</v>
      </c>
      <c r="B651">
        <v>11</v>
      </c>
      <c r="C651" s="56">
        <v>42583</v>
      </c>
      <c r="D651" s="3" t="str">
        <f>YEAR(Datos_Consumo[[#This Row],[FECHA]])&amp;"-"&amp;MONTH(Datos_Consumo[[#This Row],[FECHA]])</f>
        <v>2016-8</v>
      </c>
    </row>
    <row r="652" spans="1:4" x14ac:dyDescent="0.25">
      <c r="A652" t="s">
        <v>1452</v>
      </c>
      <c r="B652">
        <v>2</v>
      </c>
      <c r="C652" s="56">
        <v>42614</v>
      </c>
      <c r="D652" s="3" t="str">
        <f>YEAR(Datos_Consumo[[#This Row],[FECHA]])&amp;"-"&amp;MONTH(Datos_Consumo[[#This Row],[FECHA]])</f>
        <v>2016-9</v>
      </c>
    </row>
    <row r="653" spans="1:4" x14ac:dyDescent="0.25">
      <c r="A653" t="s">
        <v>1453</v>
      </c>
      <c r="B653">
        <v>1</v>
      </c>
      <c r="C653" s="56">
        <v>42491</v>
      </c>
      <c r="D653" s="3" t="str">
        <f>YEAR(Datos_Consumo[[#This Row],[FECHA]])&amp;"-"&amp;MONTH(Datos_Consumo[[#This Row],[FECHA]])</f>
        <v>2016-5</v>
      </c>
    </row>
    <row r="654" spans="1:4" x14ac:dyDescent="0.25">
      <c r="A654" t="s">
        <v>1454</v>
      </c>
      <c r="B654">
        <v>1</v>
      </c>
      <c r="C654" s="56">
        <v>42522</v>
      </c>
      <c r="D654" s="3" t="str">
        <f>YEAR(Datos_Consumo[[#This Row],[FECHA]])&amp;"-"&amp;MONTH(Datos_Consumo[[#This Row],[FECHA]])</f>
        <v>2016-6</v>
      </c>
    </row>
    <row r="655" spans="1:4" x14ac:dyDescent="0.25">
      <c r="A655" t="s">
        <v>1767</v>
      </c>
      <c r="B655">
        <v>1</v>
      </c>
      <c r="C655" s="56">
        <v>42583</v>
      </c>
      <c r="D655" s="3" t="str">
        <f>YEAR(Datos_Consumo[[#This Row],[FECHA]])&amp;"-"&amp;MONTH(Datos_Consumo[[#This Row],[FECHA]])</f>
        <v>2016-8</v>
      </c>
    </row>
    <row r="656" spans="1:4" x14ac:dyDescent="0.25">
      <c r="A656" t="s">
        <v>1456</v>
      </c>
      <c r="B656">
        <v>1</v>
      </c>
      <c r="C656" s="56">
        <v>42552</v>
      </c>
      <c r="D656" s="3" t="str">
        <f>YEAR(Datos_Consumo[[#This Row],[FECHA]])&amp;"-"&amp;MONTH(Datos_Consumo[[#This Row],[FECHA]])</f>
        <v>2016-7</v>
      </c>
    </row>
    <row r="657" spans="1:4" x14ac:dyDescent="0.25">
      <c r="A657" t="s">
        <v>1380</v>
      </c>
      <c r="B657">
        <v>1</v>
      </c>
      <c r="C657" s="56">
        <v>42491</v>
      </c>
      <c r="D657" s="3" t="str">
        <f>YEAR(Datos_Consumo[[#This Row],[FECHA]])&amp;"-"&amp;MONTH(Datos_Consumo[[#This Row],[FECHA]])</f>
        <v>2016-5</v>
      </c>
    </row>
    <row r="658" spans="1:4" x14ac:dyDescent="0.25">
      <c r="A658" t="s">
        <v>1380</v>
      </c>
      <c r="B658">
        <v>1</v>
      </c>
      <c r="C658" s="56">
        <v>42552</v>
      </c>
      <c r="D658" s="3" t="str">
        <f>YEAR(Datos_Consumo[[#This Row],[FECHA]])&amp;"-"&amp;MONTH(Datos_Consumo[[#This Row],[FECHA]])</f>
        <v>2016-7</v>
      </c>
    </row>
    <row r="659" spans="1:4" x14ac:dyDescent="0.25">
      <c r="A659" t="s">
        <v>1382</v>
      </c>
      <c r="B659">
        <v>1</v>
      </c>
      <c r="C659" s="56">
        <v>42491</v>
      </c>
      <c r="D659" s="3" t="str">
        <f>YEAR(Datos_Consumo[[#This Row],[FECHA]])&amp;"-"&amp;MONTH(Datos_Consumo[[#This Row],[FECHA]])</f>
        <v>2016-5</v>
      </c>
    </row>
    <row r="660" spans="1:4" x14ac:dyDescent="0.25">
      <c r="A660" t="s">
        <v>1457</v>
      </c>
      <c r="B660">
        <v>1</v>
      </c>
      <c r="C660" s="56">
        <v>42522</v>
      </c>
      <c r="D660" s="3" t="str">
        <f>YEAR(Datos_Consumo[[#This Row],[FECHA]])&amp;"-"&amp;MONTH(Datos_Consumo[[#This Row],[FECHA]])</f>
        <v>2016-6</v>
      </c>
    </row>
    <row r="661" spans="1:4" x14ac:dyDescent="0.25">
      <c r="A661" t="s">
        <v>1458</v>
      </c>
      <c r="B661">
        <v>1</v>
      </c>
      <c r="C661" s="56">
        <v>42491</v>
      </c>
      <c r="D661" s="3" t="str">
        <f>YEAR(Datos_Consumo[[#This Row],[FECHA]])&amp;"-"&amp;MONTH(Datos_Consumo[[#This Row],[FECHA]])</f>
        <v>2016-5</v>
      </c>
    </row>
    <row r="662" spans="1:4" x14ac:dyDescent="0.25">
      <c r="A662" t="s">
        <v>1458</v>
      </c>
      <c r="B662">
        <v>1</v>
      </c>
      <c r="C662" s="56">
        <v>42522</v>
      </c>
      <c r="D662" s="3" t="str">
        <f>YEAR(Datos_Consumo[[#This Row],[FECHA]])&amp;"-"&amp;MONTH(Datos_Consumo[[#This Row],[FECHA]])</f>
        <v>2016-6</v>
      </c>
    </row>
    <row r="663" spans="1:4" x14ac:dyDescent="0.25">
      <c r="A663" t="s">
        <v>1458</v>
      </c>
      <c r="B663">
        <v>1</v>
      </c>
      <c r="C663" s="56">
        <v>42583</v>
      </c>
      <c r="D663" s="3" t="str">
        <f>YEAR(Datos_Consumo[[#This Row],[FECHA]])&amp;"-"&amp;MONTH(Datos_Consumo[[#This Row],[FECHA]])</f>
        <v>2016-8</v>
      </c>
    </row>
    <row r="664" spans="1:4" x14ac:dyDescent="0.25">
      <c r="A664" t="s">
        <v>1459</v>
      </c>
      <c r="B664">
        <v>1</v>
      </c>
      <c r="C664" s="56">
        <v>42522</v>
      </c>
      <c r="D664" s="3" t="str">
        <f>YEAR(Datos_Consumo[[#This Row],[FECHA]])&amp;"-"&amp;MONTH(Datos_Consumo[[#This Row],[FECHA]])</f>
        <v>2016-6</v>
      </c>
    </row>
    <row r="665" spans="1:4" x14ac:dyDescent="0.25">
      <c r="A665" t="s">
        <v>1460</v>
      </c>
      <c r="B665">
        <v>1</v>
      </c>
      <c r="C665" s="56">
        <v>42522</v>
      </c>
      <c r="D665" s="3" t="str">
        <f>YEAR(Datos_Consumo[[#This Row],[FECHA]])&amp;"-"&amp;MONTH(Datos_Consumo[[#This Row],[FECHA]])</f>
        <v>2016-6</v>
      </c>
    </row>
    <row r="666" spans="1:4" x14ac:dyDescent="0.25">
      <c r="A666" t="s">
        <v>1814</v>
      </c>
      <c r="B666">
        <v>1</v>
      </c>
      <c r="C666" s="56">
        <v>42552</v>
      </c>
      <c r="D666" s="3" t="str">
        <f>YEAR(Datos_Consumo[[#This Row],[FECHA]])&amp;"-"&amp;MONTH(Datos_Consumo[[#This Row],[FECHA]])</f>
        <v>2016-7</v>
      </c>
    </row>
    <row r="667" spans="1:4" x14ac:dyDescent="0.25">
      <c r="A667" t="s">
        <v>1383</v>
      </c>
      <c r="B667">
        <v>2</v>
      </c>
      <c r="C667" s="56">
        <v>42491</v>
      </c>
      <c r="D667" s="3" t="str">
        <f>YEAR(Datos_Consumo[[#This Row],[FECHA]])&amp;"-"&amp;MONTH(Datos_Consumo[[#This Row],[FECHA]])</f>
        <v>2016-5</v>
      </c>
    </row>
    <row r="668" spans="1:4" x14ac:dyDescent="0.25">
      <c r="A668" t="s">
        <v>1383</v>
      </c>
      <c r="B668">
        <v>1</v>
      </c>
      <c r="C668" s="56">
        <v>42522</v>
      </c>
      <c r="D668" s="3" t="str">
        <f>YEAR(Datos_Consumo[[#This Row],[FECHA]])&amp;"-"&amp;MONTH(Datos_Consumo[[#This Row],[FECHA]])</f>
        <v>2016-6</v>
      </c>
    </row>
    <row r="669" spans="1:4" x14ac:dyDescent="0.25">
      <c r="A669" t="s">
        <v>1384</v>
      </c>
      <c r="B669">
        <v>1</v>
      </c>
      <c r="C669" s="56">
        <v>42491</v>
      </c>
      <c r="D669" s="3" t="str">
        <f>YEAR(Datos_Consumo[[#This Row],[FECHA]])&amp;"-"&amp;MONTH(Datos_Consumo[[#This Row],[FECHA]])</f>
        <v>2016-5</v>
      </c>
    </row>
    <row r="670" spans="1:4" x14ac:dyDescent="0.25">
      <c r="A670" t="s">
        <v>1384</v>
      </c>
      <c r="B670">
        <v>1</v>
      </c>
      <c r="C670" s="56">
        <v>42583</v>
      </c>
      <c r="D670" s="3" t="str">
        <f>YEAR(Datos_Consumo[[#This Row],[FECHA]])&amp;"-"&amp;MONTH(Datos_Consumo[[#This Row],[FECHA]])</f>
        <v>2016-8</v>
      </c>
    </row>
    <row r="671" spans="1:4" x14ac:dyDescent="0.25">
      <c r="A671" t="s">
        <v>1385</v>
      </c>
      <c r="B671">
        <v>1</v>
      </c>
      <c r="C671" s="56">
        <v>42491</v>
      </c>
      <c r="D671" s="3" t="str">
        <f>YEAR(Datos_Consumo[[#This Row],[FECHA]])&amp;"-"&amp;MONTH(Datos_Consumo[[#This Row],[FECHA]])</f>
        <v>2016-5</v>
      </c>
    </row>
    <row r="672" spans="1:4" x14ac:dyDescent="0.25">
      <c r="A672" t="s">
        <v>1385</v>
      </c>
      <c r="B672">
        <v>1</v>
      </c>
      <c r="C672" s="56">
        <v>42552</v>
      </c>
      <c r="D672" s="3" t="str">
        <f>YEAR(Datos_Consumo[[#This Row],[FECHA]])&amp;"-"&amp;MONTH(Datos_Consumo[[#This Row],[FECHA]])</f>
        <v>2016-7</v>
      </c>
    </row>
    <row r="673" spans="1:4" x14ac:dyDescent="0.25">
      <c r="A673" t="s">
        <v>1819</v>
      </c>
      <c r="B673">
        <v>1</v>
      </c>
      <c r="C673" s="56">
        <v>42552</v>
      </c>
      <c r="D673" s="3" t="str">
        <f>YEAR(Datos_Consumo[[#This Row],[FECHA]])&amp;"-"&amp;MONTH(Datos_Consumo[[#This Row],[FECHA]])</f>
        <v>2016-7</v>
      </c>
    </row>
    <row r="674" spans="1:4" x14ac:dyDescent="0.25">
      <c r="A674" t="s">
        <v>1386</v>
      </c>
      <c r="B674">
        <v>1</v>
      </c>
      <c r="C674" s="56">
        <v>42491</v>
      </c>
      <c r="D674" s="3" t="str">
        <f>YEAR(Datos_Consumo[[#This Row],[FECHA]])&amp;"-"&amp;MONTH(Datos_Consumo[[#This Row],[FECHA]])</f>
        <v>2016-5</v>
      </c>
    </row>
    <row r="675" spans="1:4" x14ac:dyDescent="0.25">
      <c r="A675" t="s">
        <v>1387</v>
      </c>
      <c r="B675">
        <v>1</v>
      </c>
      <c r="C675" s="56">
        <v>42522</v>
      </c>
      <c r="D675" s="3" t="str">
        <f>YEAR(Datos_Consumo[[#This Row],[FECHA]])&amp;"-"&amp;MONTH(Datos_Consumo[[#This Row],[FECHA]])</f>
        <v>2016-6</v>
      </c>
    </row>
    <row r="676" spans="1:4" x14ac:dyDescent="0.25">
      <c r="A676" t="s">
        <v>1388</v>
      </c>
      <c r="B676">
        <v>1</v>
      </c>
      <c r="C676" s="56">
        <v>42491</v>
      </c>
      <c r="D676" s="3" t="str">
        <f>YEAR(Datos_Consumo[[#This Row],[FECHA]])&amp;"-"&amp;MONTH(Datos_Consumo[[#This Row],[FECHA]])</f>
        <v>2016-5</v>
      </c>
    </row>
    <row r="677" spans="1:4" x14ac:dyDescent="0.25">
      <c r="A677" t="s">
        <v>1389</v>
      </c>
      <c r="B677">
        <v>1</v>
      </c>
      <c r="C677" s="56">
        <v>42491</v>
      </c>
      <c r="D677" s="3" t="str">
        <f>YEAR(Datos_Consumo[[#This Row],[FECHA]])&amp;"-"&amp;MONTH(Datos_Consumo[[#This Row],[FECHA]])</f>
        <v>2016-5</v>
      </c>
    </row>
    <row r="678" spans="1:4" x14ac:dyDescent="0.25">
      <c r="A678" t="s">
        <v>1391</v>
      </c>
      <c r="B678">
        <v>3</v>
      </c>
      <c r="C678" s="56">
        <v>42491</v>
      </c>
      <c r="D678" s="3" t="str">
        <f>YEAR(Datos_Consumo[[#This Row],[FECHA]])&amp;"-"&amp;MONTH(Datos_Consumo[[#This Row],[FECHA]])</f>
        <v>2016-5</v>
      </c>
    </row>
    <row r="679" spans="1:4" x14ac:dyDescent="0.25">
      <c r="A679" t="s">
        <v>1391</v>
      </c>
      <c r="B679">
        <v>4</v>
      </c>
      <c r="C679" s="56">
        <v>42522</v>
      </c>
      <c r="D679" s="3" t="str">
        <f>YEAR(Datos_Consumo[[#This Row],[FECHA]])&amp;"-"&amp;MONTH(Datos_Consumo[[#This Row],[FECHA]])</f>
        <v>2016-6</v>
      </c>
    </row>
    <row r="680" spans="1:4" x14ac:dyDescent="0.25">
      <c r="A680" t="s">
        <v>1391</v>
      </c>
      <c r="B680">
        <v>1</v>
      </c>
      <c r="C680" s="56">
        <v>42552</v>
      </c>
      <c r="D680" s="3" t="str">
        <f>YEAR(Datos_Consumo[[#This Row],[FECHA]])&amp;"-"&amp;MONTH(Datos_Consumo[[#This Row],[FECHA]])</f>
        <v>2016-7</v>
      </c>
    </row>
    <row r="681" spans="1:4" x14ac:dyDescent="0.25">
      <c r="A681" t="s">
        <v>1391</v>
      </c>
      <c r="B681">
        <v>2</v>
      </c>
      <c r="C681" s="56">
        <v>42583</v>
      </c>
      <c r="D681" s="3" t="str">
        <f>YEAR(Datos_Consumo[[#This Row],[FECHA]])&amp;"-"&amp;MONTH(Datos_Consumo[[#This Row],[FECHA]])</f>
        <v>2016-8</v>
      </c>
    </row>
    <row r="682" spans="1:4" x14ac:dyDescent="0.25">
      <c r="A682" t="s">
        <v>1392</v>
      </c>
      <c r="B682">
        <v>6</v>
      </c>
      <c r="C682" s="56">
        <v>42491</v>
      </c>
      <c r="D682" s="3" t="str">
        <f>YEAR(Datos_Consumo[[#This Row],[FECHA]])&amp;"-"&amp;MONTH(Datos_Consumo[[#This Row],[FECHA]])</f>
        <v>2016-5</v>
      </c>
    </row>
    <row r="683" spans="1:4" x14ac:dyDescent="0.25">
      <c r="A683" t="s">
        <v>1392</v>
      </c>
      <c r="B683">
        <v>6</v>
      </c>
      <c r="C683" s="56">
        <v>42522</v>
      </c>
      <c r="D683" s="3" t="str">
        <f>YEAR(Datos_Consumo[[#This Row],[FECHA]])&amp;"-"&amp;MONTH(Datos_Consumo[[#This Row],[FECHA]])</f>
        <v>2016-6</v>
      </c>
    </row>
    <row r="684" spans="1:4" x14ac:dyDescent="0.25">
      <c r="A684" t="s">
        <v>1392</v>
      </c>
      <c r="B684">
        <v>1</v>
      </c>
      <c r="C684" s="56">
        <v>42552</v>
      </c>
      <c r="D684" s="3" t="str">
        <f>YEAR(Datos_Consumo[[#This Row],[FECHA]])&amp;"-"&amp;MONTH(Datos_Consumo[[#This Row],[FECHA]])</f>
        <v>2016-7</v>
      </c>
    </row>
    <row r="685" spans="1:4" x14ac:dyDescent="0.25">
      <c r="A685" t="s">
        <v>1461</v>
      </c>
      <c r="B685">
        <v>1</v>
      </c>
      <c r="C685" s="56">
        <v>42491</v>
      </c>
      <c r="D685" s="3" t="str">
        <f>YEAR(Datos_Consumo[[#This Row],[FECHA]])&amp;"-"&amp;MONTH(Datos_Consumo[[#This Row],[FECHA]])</f>
        <v>2016-5</v>
      </c>
    </row>
    <row r="686" spans="1:4" x14ac:dyDescent="0.25">
      <c r="A686" t="s">
        <v>1461</v>
      </c>
      <c r="B686">
        <v>2</v>
      </c>
      <c r="C686" s="56">
        <v>42552</v>
      </c>
      <c r="D686" s="3" t="str">
        <f>YEAR(Datos_Consumo[[#This Row],[FECHA]])&amp;"-"&amp;MONTH(Datos_Consumo[[#This Row],[FECHA]])</f>
        <v>2016-7</v>
      </c>
    </row>
    <row r="687" spans="1:4" x14ac:dyDescent="0.25">
      <c r="A687" t="s">
        <v>1461</v>
      </c>
      <c r="B687">
        <v>2</v>
      </c>
      <c r="C687" s="56">
        <v>42583</v>
      </c>
      <c r="D687" s="3" t="str">
        <f>YEAR(Datos_Consumo[[#This Row],[FECHA]])&amp;"-"&amp;MONTH(Datos_Consumo[[#This Row],[FECHA]])</f>
        <v>2016-8</v>
      </c>
    </row>
    <row r="688" spans="1:4" x14ac:dyDescent="0.25">
      <c r="A688" t="s">
        <v>1462</v>
      </c>
      <c r="B688">
        <v>2</v>
      </c>
      <c r="C688" s="56">
        <v>42491</v>
      </c>
      <c r="D688" s="3" t="str">
        <f>YEAR(Datos_Consumo[[#This Row],[FECHA]])&amp;"-"&amp;MONTH(Datos_Consumo[[#This Row],[FECHA]])</f>
        <v>2016-5</v>
      </c>
    </row>
    <row r="689" spans="1:4" x14ac:dyDescent="0.25">
      <c r="A689" t="s">
        <v>1462</v>
      </c>
      <c r="B689">
        <v>1</v>
      </c>
      <c r="C689" s="56">
        <v>42522</v>
      </c>
      <c r="D689" s="3" t="str">
        <f>YEAR(Datos_Consumo[[#This Row],[FECHA]])&amp;"-"&amp;MONTH(Datos_Consumo[[#This Row],[FECHA]])</f>
        <v>2016-6</v>
      </c>
    </row>
    <row r="690" spans="1:4" x14ac:dyDescent="0.25">
      <c r="A690" t="s">
        <v>1393</v>
      </c>
      <c r="B690">
        <v>1</v>
      </c>
      <c r="C690" s="56">
        <v>42491</v>
      </c>
      <c r="D690" s="3" t="str">
        <f>YEAR(Datos_Consumo[[#This Row],[FECHA]])&amp;"-"&amp;MONTH(Datos_Consumo[[#This Row],[FECHA]])</f>
        <v>2016-5</v>
      </c>
    </row>
    <row r="691" spans="1:4" x14ac:dyDescent="0.25">
      <c r="A691" t="s">
        <v>1394</v>
      </c>
      <c r="B691">
        <v>1</v>
      </c>
      <c r="C691" s="56">
        <v>42522</v>
      </c>
      <c r="D691" s="3" t="str">
        <f>YEAR(Datos_Consumo[[#This Row],[FECHA]])&amp;"-"&amp;MONTH(Datos_Consumo[[#This Row],[FECHA]])</f>
        <v>2016-6</v>
      </c>
    </row>
    <row r="692" spans="1:4" x14ac:dyDescent="0.25">
      <c r="A692" t="s">
        <v>1395</v>
      </c>
      <c r="B692">
        <v>1</v>
      </c>
      <c r="C692" s="56">
        <v>42491</v>
      </c>
      <c r="D692" s="3" t="str">
        <f>YEAR(Datos_Consumo[[#This Row],[FECHA]])&amp;"-"&amp;MONTH(Datos_Consumo[[#This Row],[FECHA]])</f>
        <v>2016-5</v>
      </c>
    </row>
    <row r="693" spans="1:4" x14ac:dyDescent="0.25">
      <c r="A693" t="s">
        <v>1395</v>
      </c>
      <c r="B693">
        <v>1</v>
      </c>
      <c r="C693" s="56">
        <v>42522</v>
      </c>
      <c r="D693" s="3" t="str">
        <f>YEAR(Datos_Consumo[[#This Row],[FECHA]])&amp;"-"&amp;MONTH(Datos_Consumo[[#This Row],[FECHA]])</f>
        <v>2016-6</v>
      </c>
    </row>
    <row r="694" spans="1:4" x14ac:dyDescent="0.25">
      <c r="A694" t="s">
        <v>1396</v>
      </c>
      <c r="B694">
        <v>1</v>
      </c>
      <c r="C694" s="56">
        <v>42522</v>
      </c>
      <c r="D694" s="3" t="str">
        <f>YEAR(Datos_Consumo[[#This Row],[FECHA]])&amp;"-"&amp;MONTH(Datos_Consumo[[#This Row],[FECHA]])</f>
        <v>2016-6</v>
      </c>
    </row>
    <row r="695" spans="1:4" x14ac:dyDescent="0.25">
      <c r="A695" t="s">
        <v>1881</v>
      </c>
      <c r="B695">
        <v>1</v>
      </c>
      <c r="C695" s="56">
        <v>42552</v>
      </c>
      <c r="D695" s="3" t="str">
        <f>YEAR(Datos_Consumo[[#This Row],[FECHA]])&amp;"-"&amp;MONTH(Datos_Consumo[[#This Row],[FECHA]])</f>
        <v>2016-7</v>
      </c>
    </row>
    <row r="696" spans="1:4" x14ac:dyDescent="0.25">
      <c r="A696" t="s">
        <v>1881</v>
      </c>
      <c r="B696">
        <v>1</v>
      </c>
      <c r="C696" s="56">
        <v>42583</v>
      </c>
      <c r="D696" s="3" t="str">
        <f>YEAR(Datos_Consumo[[#This Row],[FECHA]])&amp;"-"&amp;MONTH(Datos_Consumo[[#This Row],[FECHA]])</f>
        <v>2016-8</v>
      </c>
    </row>
    <row r="697" spans="1:4" x14ac:dyDescent="0.25">
      <c r="A697" t="s">
        <v>1463</v>
      </c>
      <c r="B697">
        <v>1</v>
      </c>
      <c r="C697" s="56">
        <v>42491</v>
      </c>
      <c r="D697" s="3" t="str">
        <f>YEAR(Datos_Consumo[[#This Row],[FECHA]])&amp;"-"&amp;MONTH(Datos_Consumo[[#This Row],[FECHA]])</f>
        <v>2016-5</v>
      </c>
    </row>
    <row r="698" spans="1:4" x14ac:dyDescent="0.25">
      <c r="A698" t="s">
        <v>1397</v>
      </c>
      <c r="B698">
        <v>1</v>
      </c>
      <c r="C698" s="56">
        <v>42522</v>
      </c>
      <c r="D698" s="3" t="str">
        <f>YEAR(Datos_Consumo[[#This Row],[FECHA]])&amp;"-"&amp;MONTH(Datos_Consumo[[#This Row],[FECHA]])</f>
        <v>2016-6</v>
      </c>
    </row>
    <row r="699" spans="1:4" x14ac:dyDescent="0.25">
      <c r="A699" t="s">
        <v>1398</v>
      </c>
      <c r="B699">
        <v>1</v>
      </c>
      <c r="C699" s="56">
        <v>42522</v>
      </c>
      <c r="D699" s="3" t="str">
        <f>YEAR(Datos_Consumo[[#This Row],[FECHA]])&amp;"-"&amp;MONTH(Datos_Consumo[[#This Row],[FECHA]])</f>
        <v>2016-6</v>
      </c>
    </row>
    <row r="700" spans="1:4" x14ac:dyDescent="0.25">
      <c r="A700" t="s">
        <v>1399</v>
      </c>
      <c r="B700">
        <v>1</v>
      </c>
      <c r="C700" s="56">
        <v>42491</v>
      </c>
      <c r="D700" s="3" t="str">
        <f>YEAR(Datos_Consumo[[#This Row],[FECHA]])&amp;"-"&amp;MONTH(Datos_Consumo[[#This Row],[FECHA]])</f>
        <v>2016-5</v>
      </c>
    </row>
    <row r="701" spans="1:4" x14ac:dyDescent="0.25">
      <c r="A701" t="s">
        <v>1399</v>
      </c>
      <c r="B701">
        <v>3</v>
      </c>
      <c r="C701" s="56">
        <v>42522</v>
      </c>
      <c r="D701" s="3" t="str">
        <f>YEAR(Datos_Consumo[[#This Row],[FECHA]])&amp;"-"&amp;MONTH(Datos_Consumo[[#This Row],[FECHA]])</f>
        <v>2016-6</v>
      </c>
    </row>
    <row r="702" spans="1:4" x14ac:dyDescent="0.25">
      <c r="A702" t="s">
        <v>1399</v>
      </c>
      <c r="B702">
        <v>1</v>
      </c>
      <c r="C702" s="56">
        <v>42552</v>
      </c>
      <c r="D702" s="3" t="str">
        <f>YEAR(Datos_Consumo[[#This Row],[FECHA]])&amp;"-"&amp;MONTH(Datos_Consumo[[#This Row],[FECHA]])</f>
        <v>2016-7</v>
      </c>
    </row>
    <row r="703" spans="1:4" x14ac:dyDescent="0.25">
      <c r="A703" t="s">
        <v>1400</v>
      </c>
      <c r="B703">
        <v>3</v>
      </c>
      <c r="C703" s="56">
        <v>42491</v>
      </c>
      <c r="D703" s="3" t="str">
        <f>YEAR(Datos_Consumo[[#This Row],[FECHA]])&amp;"-"&amp;MONTH(Datos_Consumo[[#This Row],[FECHA]])</f>
        <v>2016-5</v>
      </c>
    </row>
    <row r="704" spans="1:4" x14ac:dyDescent="0.25">
      <c r="A704" t="s">
        <v>1400</v>
      </c>
      <c r="B704">
        <v>1</v>
      </c>
      <c r="C704" s="56">
        <v>42522</v>
      </c>
      <c r="D704" s="3" t="str">
        <f>YEAR(Datos_Consumo[[#This Row],[FECHA]])&amp;"-"&amp;MONTH(Datos_Consumo[[#This Row],[FECHA]])</f>
        <v>2016-6</v>
      </c>
    </row>
    <row r="705" spans="1:4" x14ac:dyDescent="0.25">
      <c r="A705" t="s">
        <v>1464</v>
      </c>
      <c r="B705">
        <v>3</v>
      </c>
      <c r="C705" s="56">
        <v>42491</v>
      </c>
      <c r="D705" s="3" t="str">
        <f>YEAR(Datos_Consumo[[#This Row],[FECHA]])&amp;"-"&amp;MONTH(Datos_Consumo[[#This Row],[FECHA]])</f>
        <v>2016-5</v>
      </c>
    </row>
    <row r="706" spans="1:4" x14ac:dyDescent="0.25">
      <c r="A706" t="s">
        <v>1464</v>
      </c>
      <c r="B706">
        <v>1</v>
      </c>
      <c r="C706" s="56">
        <v>42552</v>
      </c>
      <c r="D706" s="3" t="str">
        <f>YEAR(Datos_Consumo[[#This Row],[FECHA]])&amp;"-"&amp;MONTH(Datos_Consumo[[#This Row],[FECHA]])</f>
        <v>2016-7</v>
      </c>
    </row>
    <row r="707" spans="1:4" x14ac:dyDescent="0.25">
      <c r="A707" t="s">
        <v>1464</v>
      </c>
      <c r="B707">
        <v>1</v>
      </c>
      <c r="C707" s="56">
        <v>42583</v>
      </c>
      <c r="D707" s="3" t="str">
        <f>YEAR(Datos_Consumo[[#This Row],[FECHA]])&amp;"-"&amp;MONTH(Datos_Consumo[[#This Row],[FECHA]])</f>
        <v>2016-8</v>
      </c>
    </row>
    <row r="708" spans="1:4" x14ac:dyDescent="0.25">
      <c r="A708" t="s">
        <v>1401</v>
      </c>
      <c r="B708">
        <v>1</v>
      </c>
      <c r="C708" s="56">
        <v>42491</v>
      </c>
      <c r="D708" s="3" t="str">
        <f>YEAR(Datos_Consumo[[#This Row],[FECHA]])&amp;"-"&amp;MONTH(Datos_Consumo[[#This Row],[FECHA]])</f>
        <v>2016-5</v>
      </c>
    </row>
    <row r="709" spans="1:4" x14ac:dyDescent="0.25">
      <c r="A709" t="s">
        <v>1897</v>
      </c>
      <c r="B709">
        <v>1</v>
      </c>
      <c r="C709" s="56">
        <v>42552</v>
      </c>
      <c r="D709" s="3" t="str">
        <f>YEAR(Datos_Consumo[[#This Row],[FECHA]])&amp;"-"&amp;MONTH(Datos_Consumo[[#This Row],[FECHA]])</f>
        <v>2016-7</v>
      </c>
    </row>
    <row r="710" spans="1:4" x14ac:dyDescent="0.25">
      <c r="A710" t="s">
        <v>1897</v>
      </c>
      <c r="B710">
        <v>1</v>
      </c>
      <c r="C710" s="56">
        <v>42583</v>
      </c>
      <c r="D710" s="3" t="str">
        <f>YEAR(Datos_Consumo[[#This Row],[FECHA]])&amp;"-"&amp;MONTH(Datos_Consumo[[#This Row],[FECHA]])</f>
        <v>2016-8</v>
      </c>
    </row>
    <row r="711" spans="1:4" x14ac:dyDescent="0.25">
      <c r="A711" t="s">
        <v>1402</v>
      </c>
      <c r="B711">
        <v>2</v>
      </c>
      <c r="C711" s="56">
        <v>42491</v>
      </c>
      <c r="D711" s="3" t="str">
        <f>YEAR(Datos_Consumo[[#This Row],[FECHA]])&amp;"-"&amp;MONTH(Datos_Consumo[[#This Row],[FECHA]])</f>
        <v>2016-5</v>
      </c>
    </row>
    <row r="712" spans="1:4" x14ac:dyDescent="0.25">
      <c r="A712" t="s">
        <v>1403</v>
      </c>
      <c r="B712">
        <v>1</v>
      </c>
      <c r="C712" s="56">
        <v>42491</v>
      </c>
      <c r="D712" s="3" t="str">
        <f>YEAR(Datos_Consumo[[#This Row],[FECHA]])&amp;"-"&amp;MONTH(Datos_Consumo[[#This Row],[FECHA]])</f>
        <v>2016-5</v>
      </c>
    </row>
    <row r="713" spans="1:4" x14ac:dyDescent="0.25">
      <c r="A713" t="s">
        <v>1404</v>
      </c>
      <c r="B713">
        <v>2</v>
      </c>
      <c r="C713" s="56">
        <v>42522</v>
      </c>
      <c r="D713" s="3" t="str">
        <f>YEAR(Datos_Consumo[[#This Row],[FECHA]])&amp;"-"&amp;MONTH(Datos_Consumo[[#This Row],[FECHA]])</f>
        <v>2016-6</v>
      </c>
    </row>
    <row r="714" spans="1:4" x14ac:dyDescent="0.25">
      <c r="A714" t="s">
        <v>1405</v>
      </c>
      <c r="B714">
        <v>3</v>
      </c>
      <c r="C714" s="56">
        <v>42491</v>
      </c>
      <c r="D714" s="3" t="str">
        <f>YEAR(Datos_Consumo[[#This Row],[FECHA]])&amp;"-"&amp;MONTH(Datos_Consumo[[#This Row],[FECHA]])</f>
        <v>2016-5</v>
      </c>
    </row>
    <row r="715" spans="1:4" x14ac:dyDescent="0.25">
      <c r="A715" t="s">
        <v>1466</v>
      </c>
      <c r="B715">
        <v>1</v>
      </c>
      <c r="C715" s="56">
        <v>42491</v>
      </c>
      <c r="D715" s="3" t="str">
        <f>YEAR(Datos_Consumo[[#This Row],[FECHA]])&amp;"-"&amp;MONTH(Datos_Consumo[[#This Row],[FECHA]])</f>
        <v>2016-5</v>
      </c>
    </row>
    <row r="716" spans="1:4" x14ac:dyDescent="0.25">
      <c r="A716" t="s">
        <v>1466</v>
      </c>
      <c r="B716">
        <v>1</v>
      </c>
      <c r="C716" s="56">
        <v>42552</v>
      </c>
      <c r="D716" s="3" t="str">
        <f>YEAR(Datos_Consumo[[#This Row],[FECHA]])&amp;"-"&amp;MONTH(Datos_Consumo[[#This Row],[FECHA]])</f>
        <v>2016-7</v>
      </c>
    </row>
    <row r="717" spans="1:4" x14ac:dyDescent="0.25">
      <c r="A717" t="s">
        <v>1467</v>
      </c>
      <c r="B717">
        <v>1</v>
      </c>
      <c r="C717" s="56">
        <v>42522</v>
      </c>
      <c r="D717" s="3" t="str">
        <f>YEAR(Datos_Consumo[[#This Row],[FECHA]])&amp;"-"&amp;MONTH(Datos_Consumo[[#This Row],[FECHA]])</f>
        <v>2016-6</v>
      </c>
    </row>
    <row r="718" spans="1:4" x14ac:dyDescent="0.25">
      <c r="A718" t="s">
        <v>1939</v>
      </c>
      <c r="B718">
        <v>1</v>
      </c>
      <c r="C718" s="56">
        <v>42583</v>
      </c>
      <c r="D718" s="3" t="str">
        <f>YEAR(Datos_Consumo[[#This Row],[FECHA]])&amp;"-"&amp;MONTH(Datos_Consumo[[#This Row],[FECHA]])</f>
        <v>2016-8</v>
      </c>
    </row>
    <row r="719" spans="1:4" x14ac:dyDescent="0.25">
      <c r="A719" t="s">
        <v>1944</v>
      </c>
      <c r="B719">
        <v>1</v>
      </c>
      <c r="C719" s="56">
        <v>42552</v>
      </c>
      <c r="D719" s="3" t="str">
        <f>YEAR(Datos_Consumo[[#This Row],[FECHA]])&amp;"-"&amp;MONTH(Datos_Consumo[[#This Row],[FECHA]])</f>
        <v>2016-7</v>
      </c>
    </row>
    <row r="720" spans="1:4" x14ac:dyDescent="0.25">
      <c r="A720" t="s">
        <v>1407</v>
      </c>
      <c r="B720">
        <v>1</v>
      </c>
      <c r="C720" s="56">
        <v>42491</v>
      </c>
      <c r="D720" s="3" t="str">
        <f>YEAR(Datos_Consumo[[#This Row],[FECHA]])&amp;"-"&amp;MONTH(Datos_Consumo[[#This Row],[FECHA]])</f>
        <v>2016-5</v>
      </c>
    </row>
    <row r="721" spans="1:4" x14ac:dyDescent="0.25">
      <c r="A721" t="s">
        <v>1407</v>
      </c>
      <c r="B721">
        <v>1</v>
      </c>
      <c r="C721" s="56">
        <v>42522</v>
      </c>
      <c r="D721" s="3" t="str">
        <f>YEAR(Datos_Consumo[[#This Row],[FECHA]])&amp;"-"&amp;MONTH(Datos_Consumo[[#This Row],[FECHA]])</f>
        <v>2016-6</v>
      </c>
    </row>
    <row r="722" spans="1:4" x14ac:dyDescent="0.25">
      <c r="A722" t="s">
        <v>1408</v>
      </c>
      <c r="B722">
        <v>1</v>
      </c>
      <c r="C722" s="56">
        <v>42583</v>
      </c>
      <c r="D722" s="3" t="str">
        <f>YEAR(Datos_Consumo[[#This Row],[FECHA]])&amp;"-"&amp;MONTH(Datos_Consumo[[#This Row],[FECHA]])</f>
        <v>2016-8</v>
      </c>
    </row>
    <row r="723" spans="1:4" x14ac:dyDescent="0.25">
      <c r="A723" t="s">
        <v>1409</v>
      </c>
      <c r="B723">
        <v>1</v>
      </c>
      <c r="C723" s="56">
        <v>42522</v>
      </c>
      <c r="D723" s="3" t="str">
        <f>YEAR(Datos_Consumo[[#This Row],[FECHA]])&amp;"-"&amp;MONTH(Datos_Consumo[[#This Row],[FECHA]])</f>
        <v>2016-6</v>
      </c>
    </row>
    <row r="724" spans="1:4" x14ac:dyDescent="0.25">
      <c r="A724" t="s">
        <v>1410</v>
      </c>
      <c r="B724">
        <v>1</v>
      </c>
      <c r="C724" s="56">
        <v>42522</v>
      </c>
      <c r="D724" s="3" t="str">
        <f>YEAR(Datos_Consumo[[#This Row],[FECHA]])&amp;"-"&amp;MONTH(Datos_Consumo[[#This Row],[FECHA]])</f>
        <v>2016-6</v>
      </c>
    </row>
    <row r="725" spans="1:4" x14ac:dyDescent="0.25">
      <c r="A725" t="s">
        <v>1411</v>
      </c>
      <c r="B725">
        <v>1</v>
      </c>
      <c r="C725" s="56">
        <v>42522</v>
      </c>
      <c r="D725" s="3" t="str">
        <f>YEAR(Datos_Consumo[[#This Row],[FECHA]])&amp;"-"&amp;MONTH(Datos_Consumo[[#This Row],[FECHA]])</f>
        <v>2016-6</v>
      </c>
    </row>
    <row r="726" spans="1:4" x14ac:dyDescent="0.25">
      <c r="A726" t="s">
        <v>1412</v>
      </c>
      <c r="B726">
        <v>1</v>
      </c>
      <c r="C726" s="56">
        <v>42491</v>
      </c>
      <c r="D726" s="3" t="str">
        <f>YEAR(Datos_Consumo[[#This Row],[FECHA]])&amp;"-"&amp;MONTH(Datos_Consumo[[#This Row],[FECHA]])</f>
        <v>2016-5</v>
      </c>
    </row>
    <row r="727" spans="1:4" x14ac:dyDescent="0.25">
      <c r="A727" t="s">
        <v>1413</v>
      </c>
      <c r="B727">
        <v>1</v>
      </c>
      <c r="C727" s="56">
        <v>42522</v>
      </c>
      <c r="D727" s="3" t="str">
        <f>YEAR(Datos_Consumo[[#This Row],[FECHA]])&amp;"-"&amp;MONTH(Datos_Consumo[[#This Row],[FECHA]])</f>
        <v>2016-6</v>
      </c>
    </row>
    <row r="728" spans="1:4" x14ac:dyDescent="0.25">
      <c r="A728" t="s">
        <v>1414</v>
      </c>
      <c r="B728">
        <v>1</v>
      </c>
      <c r="C728" s="56">
        <v>42552</v>
      </c>
      <c r="D728" s="3" t="str">
        <f>YEAR(Datos_Consumo[[#This Row],[FECHA]])&amp;"-"&amp;MONTH(Datos_Consumo[[#This Row],[FECHA]])</f>
        <v>2016-7</v>
      </c>
    </row>
    <row r="729" spans="1:4" x14ac:dyDescent="0.25">
      <c r="A729" t="s">
        <v>1415</v>
      </c>
      <c r="B729">
        <v>2</v>
      </c>
      <c r="C729" s="56">
        <v>42491</v>
      </c>
      <c r="D729" s="3" t="str">
        <f>YEAR(Datos_Consumo[[#This Row],[FECHA]])&amp;"-"&amp;MONTH(Datos_Consumo[[#This Row],[FECHA]])</f>
        <v>2016-5</v>
      </c>
    </row>
    <row r="730" spans="1:4" x14ac:dyDescent="0.25">
      <c r="A730" t="s">
        <v>1416</v>
      </c>
      <c r="B730">
        <v>1</v>
      </c>
      <c r="C730" s="56">
        <v>42491</v>
      </c>
      <c r="D730" s="3" t="str">
        <f>YEAR(Datos_Consumo[[#This Row],[FECHA]])&amp;"-"&amp;MONTH(Datos_Consumo[[#This Row],[FECHA]])</f>
        <v>2016-5</v>
      </c>
    </row>
    <row r="731" spans="1:4" x14ac:dyDescent="0.25">
      <c r="A731" t="s">
        <v>1979</v>
      </c>
      <c r="B731">
        <v>7</v>
      </c>
      <c r="C731" s="56">
        <v>42522</v>
      </c>
      <c r="D731" s="3" t="str">
        <f>YEAR(Datos_Consumo[[#This Row],[FECHA]])&amp;"-"&amp;MONTH(Datos_Consumo[[#This Row],[FECHA]])</f>
        <v>2016-6</v>
      </c>
    </row>
    <row r="732" spans="1:4" x14ac:dyDescent="0.25">
      <c r="A732" t="s">
        <v>1979</v>
      </c>
      <c r="B732">
        <v>7</v>
      </c>
      <c r="C732" s="56">
        <v>42552</v>
      </c>
      <c r="D732" s="3" t="str">
        <f>YEAR(Datos_Consumo[[#This Row],[FECHA]])&amp;"-"&amp;MONTH(Datos_Consumo[[#This Row],[FECHA]])</f>
        <v>2016-7</v>
      </c>
    </row>
    <row r="733" spans="1:4" x14ac:dyDescent="0.25">
      <c r="A733" t="s">
        <v>1468</v>
      </c>
      <c r="B733">
        <v>8</v>
      </c>
      <c r="C733" s="56">
        <v>42522</v>
      </c>
      <c r="D733" s="3" t="str">
        <f>YEAR(Datos_Consumo[[#This Row],[FECHA]])&amp;"-"&amp;MONTH(Datos_Consumo[[#This Row],[FECHA]])</f>
        <v>2016-6</v>
      </c>
    </row>
    <row r="734" spans="1:4" x14ac:dyDescent="0.25">
      <c r="A734" t="s">
        <v>1468</v>
      </c>
      <c r="B734">
        <v>7</v>
      </c>
      <c r="C734" s="56">
        <v>42552</v>
      </c>
      <c r="D734" s="3" t="str">
        <f>YEAR(Datos_Consumo[[#This Row],[FECHA]])&amp;"-"&amp;MONTH(Datos_Consumo[[#This Row],[FECHA]])</f>
        <v>2016-7</v>
      </c>
    </row>
    <row r="735" spans="1:4" x14ac:dyDescent="0.25">
      <c r="A735" t="s">
        <v>1468</v>
      </c>
      <c r="B735">
        <v>1</v>
      </c>
      <c r="C735" s="56">
        <v>42583</v>
      </c>
      <c r="D735" s="3" t="str">
        <f>YEAR(Datos_Consumo[[#This Row],[FECHA]])&amp;"-"&amp;MONTH(Datos_Consumo[[#This Row],[FECHA]])</f>
        <v>2016-8</v>
      </c>
    </row>
    <row r="736" spans="1:4" x14ac:dyDescent="0.25">
      <c r="A736" t="s">
        <v>1417</v>
      </c>
      <c r="B736">
        <v>2</v>
      </c>
      <c r="C736" s="56">
        <v>42491</v>
      </c>
      <c r="D736" s="3" t="str">
        <f>YEAR(Datos_Consumo[[#This Row],[FECHA]])&amp;"-"&amp;MONTH(Datos_Consumo[[#This Row],[FECHA]])</f>
        <v>2016-5</v>
      </c>
    </row>
    <row r="737" spans="1:4" x14ac:dyDescent="0.25">
      <c r="A737" t="s">
        <v>1417</v>
      </c>
      <c r="B737">
        <v>3</v>
      </c>
      <c r="C737" s="56">
        <v>42522</v>
      </c>
      <c r="D737" s="3" t="str">
        <f>YEAR(Datos_Consumo[[#This Row],[FECHA]])&amp;"-"&amp;MONTH(Datos_Consumo[[#This Row],[FECHA]])</f>
        <v>2016-6</v>
      </c>
    </row>
    <row r="738" spans="1:4" x14ac:dyDescent="0.25">
      <c r="A738" t="s">
        <v>1417</v>
      </c>
      <c r="B738">
        <v>6</v>
      </c>
      <c r="C738" s="56">
        <v>42552</v>
      </c>
      <c r="D738" s="3" t="str">
        <f>YEAR(Datos_Consumo[[#This Row],[FECHA]])&amp;"-"&amp;MONTH(Datos_Consumo[[#This Row],[FECHA]])</f>
        <v>2016-7</v>
      </c>
    </row>
    <row r="739" spans="1:4" x14ac:dyDescent="0.25">
      <c r="A739" t="s">
        <v>1417</v>
      </c>
      <c r="B739">
        <v>1</v>
      </c>
      <c r="C739" s="56">
        <v>42583</v>
      </c>
      <c r="D739" s="3" t="str">
        <f>YEAR(Datos_Consumo[[#This Row],[FECHA]])&amp;"-"&amp;MONTH(Datos_Consumo[[#This Row],[FECHA]])</f>
        <v>2016-8</v>
      </c>
    </row>
    <row r="740" spans="1:4" x14ac:dyDescent="0.25">
      <c r="A740" t="s">
        <v>1418</v>
      </c>
      <c r="B740">
        <v>4</v>
      </c>
      <c r="C740" s="56">
        <v>42522</v>
      </c>
      <c r="D740" s="3" t="str">
        <f>YEAR(Datos_Consumo[[#This Row],[FECHA]])&amp;"-"&amp;MONTH(Datos_Consumo[[#This Row],[FECHA]])</f>
        <v>2016-6</v>
      </c>
    </row>
    <row r="741" spans="1:4" x14ac:dyDescent="0.25">
      <c r="A741" t="s">
        <v>1418</v>
      </c>
      <c r="B741">
        <v>2</v>
      </c>
      <c r="C741" s="56">
        <v>42552</v>
      </c>
      <c r="D741" s="3" t="str">
        <f>YEAR(Datos_Consumo[[#This Row],[FECHA]])&amp;"-"&amp;MONTH(Datos_Consumo[[#This Row],[FECHA]])</f>
        <v>2016-7</v>
      </c>
    </row>
    <row r="742" spans="1:4" x14ac:dyDescent="0.25">
      <c r="A742" t="s">
        <v>1418</v>
      </c>
      <c r="B742">
        <v>3</v>
      </c>
      <c r="C742" s="56">
        <v>42583</v>
      </c>
      <c r="D742" s="3" t="str">
        <f>YEAR(Datos_Consumo[[#This Row],[FECHA]])&amp;"-"&amp;MONTH(Datos_Consumo[[#This Row],[FECHA]])</f>
        <v>2016-8</v>
      </c>
    </row>
    <row r="743" spans="1:4" x14ac:dyDescent="0.25">
      <c r="A743" t="s">
        <v>1734</v>
      </c>
      <c r="B743">
        <v>3</v>
      </c>
      <c r="C743" s="56">
        <v>42522</v>
      </c>
      <c r="D743" s="3" t="str">
        <f>YEAR(Datos_Consumo[[#This Row],[FECHA]])&amp;"-"&amp;MONTH(Datos_Consumo[[#This Row],[FECHA]])</f>
        <v>2016-6</v>
      </c>
    </row>
    <row r="744" spans="1:4" x14ac:dyDescent="0.25">
      <c r="A744" t="s">
        <v>1734</v>
      </c>
      <c r="B744">
        <v>2</v>
      </c>
      <c r="C744" s="56">
        <v>42552</v>
      </c>
      <c r="D744" s="3" t="str">
        <f>YEAR(Datos_Consumo[[#This Row],[FECHA]])&amp;"-"&amp;MONTH(Datos_Consumo[[#This Row],[FECHA]])</f>
        <v>2016-7</v>
      </c>
    </row>
    <row r="745" spans="1:4" x14ac:dyDescent="0.25">
      <c r="A745" t="s">
        <v>1734</v>
      </c>
      <c r="B745">
        <v>1</v>
      </c>
      <c r="C745" s="56">
        <v>42614</v>
      </c>
      <c r="D745" s="3" t="str">
        <f>YEAR(Datos_Consumo[[#This Row],[FECHA]])&amp;"-"&amp;MONTH(Datos_Consumo[[#This Row],[FECHA]])</f>
        <v>2016-9</v>
      </c>
    </row>
    <row r="746" spans="1:4" x14ac:dyDescent="0.25">
      <c r="A746" t="s">
        <v>1419</v>
      </c>
      <c r="B746">
        <v>3</v>
      </c>
      <c r="C746" s="56">
        <v>42522</v>
      </c>
      <c r="D746" s="3" t="str">
        <f>YEAR(Datos_Consumo[[#This Row],[FECHA]])&amp;"-"&amp;MONTH(Datos_Consumo[[#This Row],[FECHA]])</f>
        <v>2016-6</v>
      </c>
    </row>
    <row r="747" spans="1:4" x14ac:dyDescent="0.25">
      <c r="A747" t="s">
        <v>1419</v>
      </c>
      <c r="B747">
        <v>2</v>
      </c>
      <c r="C747" s="56">
        <v>42552</v>
      </c>
      <c r="D747" s="3" t="str">
        <f>YEAR(Datos_Consumo[[#This Row],[FECHA]])&amp;"-"&amp;MONTH(Datos_Consumo[[#This Row],[FECHA]])</f>
        <v>2016-7</v>
      </c>
    </row>
    <row r="748" spans="1:4" x14ac:dyDescent="0.25">
      <c r="A748" t="s">
        <v>1988</v>
      </c>
      <c r="B748">
        <v>4</v>
      </c>
      <c r="C748" s="56">
        <v>42522</v>
      </c>
      <c r="D748" s="3" t="str">
        <f>YEAR(Datos_Consumo[[#This Row],[FECHA]])&amp;"-"&amp;MONTH(Datos_Consumo[[#This Row],[FECHA]])</f>
        <v>2016-6</v>
      </c>
    </row>
    <row r="749" spans="1:4" x14ac:dyDescent="0.25">
      <c r="A749" t="s">
        <v>1988</v>
      </c>
      <c r="B749">
        <v>4</v>
      </c>
      <c r="C749" s="56">
        <v>42552</v>
      </c>
      <c r="D749" s="3" t="str">
        <f>YEAR(Datos_Consumo[[#This Row],[FECHA]])&amp;"-"&amp;MONTH(Datos_Consumo[[#This Row],[FECHA]])</f>
        <v>2016-7</v>
      </c>
    </row>
    <row r="750" spans="1:4" x14ac:dyDescent="0.25">
      <c r="A750" t="s">
        <v>1420</v>
      </c>
      <c r="B750">
        <v>1</v>
      </c>
      <c r="C750" s="56">
        <v>42491</v>
      </c>
      <c r="D750" s="3" t="str">
        <f>YEAR(Datos_Consumo[[#This Row],[FECHA]])&amp;"-"&amp;MONTH(Datos_Consumo[[#This Row],[FECHA]])</f>
        <v>2016-5</v>
      </c>
    </row>
    <row r="751" spans="1:4" x14ac:dyDescent="0.25">
      <c r="A751" t="s">
        <v>1420</v>
      </c>
      <c r="B751">
        <v>3</v>
      </c>
      <c r="C751" s="56">
        <v>42522</v>
      </c>
      <c r="D751" s="3" t="str">
        <f>YEAR(Datos_Consumo[[#This Row],[FECHA]])&amp;"-"&amp;MONTH(Datos_Consumo[[#This Row],[FECHA]])</f>
        <v>2016-6</v>
      </c>
    </row>
    <row r="752" spans="1:4" x14ac:dyDescent="0.25">
      <c r="A752" t="s">
        <v>1420</v>
      </c>
      <c r="B752">
        <v>3</v>
      </c>
      <c r="C752" s="56">
        <v>42552</v>
      </c>
      <c r="D752" s="3" t="str">
        <f>YEAR(Datos_Consumo[[#This Row],[FECHA]])&amp;"-"&amp;MONTH(Datos_Consumo[[#This Row],[FECHA]])</f>
        <v>2016-7</v>
      </c>
    </row>
    <row r="753" spans="1:4" x14ac:dyDescent="0.25">
      <c r="A753" t="s">
        <v>1421</v>
      </c>
      <c r="B753">
        <v>4</v>
      </c>
      <c r="C753" s="56">
        <v>42491</v>
      </c>
      <c r="D753" s="3" t="str">
        <f>YEAR(Datos_Consumo[[#This Row],[FECHA]])&amp;"-"&amp;MONTH(Datos_Consumo[[#This Row],[FECHA]])</f>
        <v>2016-5</v>
      </c>
    </row>
    <row r="754" spans="1:4" x14ac:dyDescent="0.25">
      <c r="A754" t="s">
        <v>1421</v>
      </c>
      <c r="B754">
        <v>2</v>
      </c>
      <c r="C754" s="56">
        <v>42552</v>
      </c>
      <c r="D754" s="3" t="str">
        <f>YEAR(Datos_Consumo[[#This Row],[FECHA]])&amp;"-"&amp;MONTH(Datos_Consumo[[#This Row],[FECHA]])</f>
        <v>2016-7</v>
      </c>
    </row>
    <row r="755" spans="1:4" x14ac:dyDescent="0.25">
      <c r="A755" t="s">
        <v>1421</v>
      </c>
      <c r="B755">
        <v>1</v>
      </c>
      <c r="C755" s="56">
        <v>42583</v>
      </c>
      <c r="D755" s="3" t="str">
        <f>YEAR(Datos_Consumo[[#This Row],[FECHA]])&amp;"-"&amp;MONTH(Datos_Consumo[[#This Row],[FECHA]])</f>
        <v>2016-8</v>
      </c>
    </row>
    <row r="756" spans="1:4" x14ac:dyDescent="0.25">
      <c r="A756" t="s">
        <v>1469</v>
      </c>
      <c r="B756">
        <v>2</v>
      </c>
      <c r="C756" s="56">
        <v>42491</v>
      </c>
      <c r="D756" s="3" t="str">
        <f>YEAR(Datos_Consumo[[#This Row],[FECHA]])&amp;"-"&amp;MONTH(Datos_Consumo[[#This Row],[FECHA]])</f>
        <v>2016-5</v>
      </c>
    </row>
    <row r="757" spans="1:4" x14ac:dyDescent="0.25">
      <c r="A757" t="s">
        <v>1469</v>
      </c>
      <c r="B757">
        <v>9</v>
      </c>
      <c r="C757" s="56">
        <v>42522</v>
      </c>
      <c r="D757" s="3" t="str">
        <f>YEAR(Datos_Consumo[[#This Row],[FECHA]])&amp;"-"&amp;MONTH(Datos_Consumo[[#This Row],[FECHA]])</f>
        <v>2016-6</v>
      </c>
    </row>
    <row r="758" spans="1:4" x14ac:dyDescent="0.25">
      <c r="A758" t="s">
        <v>1469</v>
      </c>
      <c r="B758">
        <v>6</v>
      </c>
      <c r="C758" s="56">
        <v>42552</v>
      </c>
      <c r="D758" s="3" t="str">
        <f>YEAR(Datos_Consumo[[#This Row],[FECHA]])&amp;"-"&amp;MONTH(Datos_Consumo[[#This Row],[FECHA]])</f>
        <v>2016-7</v>
      </c>
    </row>
    <row r="759" spans="1:4" x14ac:dyDescent="0.25">
      <c r="A759" t="s">
        <v>1469</v>
      </c>
      <c r="B759">
        <v>2</v>
      </c>
      <c r="C759" s="56">
        <v>42583</v>
      </c>
      <c r="D759" s="3" t="str">
        <f>YEAR(Datos_Consumo[[#This Row],[FECHA]])&amp;"-"&amp;MONTH(Datos_Consumo[[#This Row],[FECHA]])</f>
        <v>2016-8</v>
      </c>
    </row>
    <row r="760" spans="1:4" x14ac:dyDescent="0.25">
      <c r="A760" t="s">
        <v>1422</v>
      </c>
      <c r="B760">
        <v>2</v>
      </c>
      <c r="C760" s="56">
        <v>42522</v>
      </c>
      <c r="D760" s="3" t="str">
        <f>YEAR(Datos_Consumo[[#This Row],[FECHA]])&amp;"-"&amp;MONTH(Datos_Consumo[[#This Row],[FECHA]])</f>
        <v>2016-6</v>
      </c>
    </row>
    <row r="761" spans="1:4" x14ac:dyDescent="0.25">
      <c r="A761" t="s">
        <v>1422</v>
      </c>
      <c r="B761">
        <v>2</v>
      </c>
      <c r="C761" s="56">
        <v>42552</v>
      </c>
      <c r="D761" s="3" t="str">
        <f>YEAR(Datos_Consumo[[#This Row],[FECHA]])&amp;"-"&amp;MONTH(Datos_Consumo[[#This Row],[FECHA]])</f>
        <v>2016-7</v>
      </c>
    </row>
    <row r="762" spans="1:4" x14ac:dyDescent="0.25">
      <c r="A762" t="s">
        <v>1422</v>
      </c>
      <c r="B762">
        <v>1</v>
      </c>
      <c r="C762" s="56">
        <v>42583</v>
      </c>
      <c r="D762" s="3" t="str">
        <f>YEAR(Datos_Consumo[[#This Row],[FECHA]])&amp;"-"&amp;MONTH(Datos_Consumo[[#This Row],[FECHA]])</f>
        <v>2016-8</v>
      </c>
    </row>
    <row r="763" spans="1:4" x14ac:dyDescent="0.25">
      <c r="A763" t="s">
        <v>1423</v>
      </c>
      <c r="B763">
        <v>1</v>
      </c>
      <c r="C763" s="56">
        <v>42491</v>
      </c>
      <c r="D763" s="3" t="str">
        <f>YEAR(Datos_Consumo[[#This Row],[FECHA]])&amp;"-"&amp;MONTH(Datos_Consumo[[#This Row],[FECHA]])</f>
        <v>2016-5</v>
      </c>
    </row>
    <row r="764" spans="1:4" x14ac:dyDescent="0.25">
      <c r="A764" t="s">
        <v>1423</v>
      </c>
      <c r="B764">
        <v>3</v>
      </c>
      <c r="C764" s="56">
        <v>42522</v>
      </c>
      <c r="D764" s="3" t="str">
        <f>YEAR(Datos_Consumo[[#This Row],[FECHA]])&amp;"-"&amp;MONTH(Datos_Consumo[[#This Row],[FECHA]])</f>
        <v>2016-6</v>
      </c>
    </row>
    <row r="765" spans="1:4" x14ac:dyDescent="0.25">
      <c r="A765" t="s">
        <v>1423</v>
      </c>
      <c r="B765">
        <v>1</v>
      </c>
      <c r="C765" s="56">
        <v>42552</v>
      </c>
      <c r="D765" s="3" t="str">
        <f>YEAR(Datos_Consumo[[#This Row],[FECHA]])&amp;"-"&amp;MONTH(Datos_Consumo[[#This Row],[FECHA]])</f>
        <v>2016-7</v>
      </c>
    </row>
    <row r="766" spans="1:4" x14ac:dyDescent="0.25">
      <c r="A766" t="s">
        <v>1423</v>
      </c>
      <c r="B766">
        <v>1</v>
      </c>
      <c r="C766" s="56">
        <v>42583</v>
      </c>
      <c r="D766" s="3" t="str">
        <f>YEAR(Datos_Consumo[[#This Row],[FECHA]])&amp;"-"&amp;MONTH(Datos_Consumo[[#This Row],[FECHA]])</f>
        <v>2016-8</v>
      </c>
    </row>
    <row r="767" spans="1:4" x14ac:dyDescent="0.25">
      <c r="A767" t="s">
        <v>1424</v>
      </c>
      <c r="B767">
        <v>1</v>
      </c>
      <c r="C767" s="56">
        <v>42491</v>
      </c>
      <c r="D767" s="3" t="str">
        <f>YEAR(Datos_Consumo[[#This Row],[FECHA]])&amp;"-"&amp;MONTH(Datos_Consumo[[#This Row],[FECHA]])</f>
        <v>2016-5</v>
      </c>
    </row>
    <row r="768" spans="1:4" x14ac:dyDescent="0.25">
      <c r="A768" t="s">
        <v>1424</v>
      </c>
      <c r="B768">
        <v>5</v>
      </c>
      <c r="C768" s="56">
        <v>42522</v>
      </c>
      <c r="D768" s="3" t="str">
        <f>YEAR(Datos_Consumo[[#This Row],[FECHA]])&amp;"-"&amp;MONTH(Datos_Consumo[[#This Row],[FECHA]])</f>
        <v>2016-6</v>
      </c>
    </row>
    <row r="769" spans="1:4" x14ac:dyDescent="0.25">
      <c r="A769" t="s">
        <v>1424</v>
      </c>
      <c r="B769">
        <v>4</v>
      </c>
      <c r="C769" s="56">
        <v>42552</v>
      </c>
      <c r="D769" s="3" t="str">
        <f>YEAR(Datos_Consumo[[#This Row],[FECHA]])&amp;"-"&amp;MONTH(Datos_Consumo[[#This Row],[FECHA]])</f>
        <v>2016-7</v>
      </c>
    </row>
    <row r="770" spans="1:4" x14ac:dyDescent="0.25">
      <c r="A770" t="s">
        <v>1424</v>
      </c>
      <c r="B770">
        <v>2</v>
      </c>
      <c r="C770" s="56">
        <v>42583</v>
      </c>
      <c r="D770" s="3" t="str">
        <f>YEAR(Datos_Consumo[[#This Row],[FECHA]])&amp;"-"&amp;MONTH(Datos_Consumo[[#This Row],[FECHA]])</f>
        <v>2016-8</v>
      </c>
    </row>
    <row r="771" spans="1:4" x14ac:dyDescent="0.25">
      <c r="A771" t="s">
        <v>1424</v>
      </c>
      <c r="B771">
        <v>1</v>
      </c>
      <c r="C771" s="56">
        <v>42614</v>
      </c>
      <c r="D771" s="3" t="str">
        <f>YEAR(Datos_Consumo[[#This Row],[FECHA]])&amp;"-"&amp;MONTH(Datos_Consumo[[#This Row],[FECHA]])</f>
        <v>2016-9</v>
      </c>
    </row>
    <row r="772" spans="1:4" x14ac:dyDescent="0.25">
      <c r="A772" t="s">
        <v>1425</v>
      </c>
      <c r="B772">
        <v>1</v>
      </c>
      <c r="C772" s="56">
        <v>42491</v>
      </c>
      <c r="D772" s="3" t="str">
        <f>YEAR(Datos_Consumo[[#This Row],[FECHA]])&amp;"-"&amp;MONTH(Datos_Consumo[[#This Row],[FECHA]])</f>
        <v>2016-5</v>
      </c>
    </row>
    <row r="773" spans="1:4" x14ac:dyDescent="0.25">
      <c r="A773" t="s">
        <v>1425</v>
      </c>
      <c r="B773">
        <v>4</v>
      </c>
      <c r="C773" s="56">
        <v>42522</v>
      </c>
      <c r="D773" s="3" t="str">
        <f>YEAR(Datos_Consumo[[#This Row],[FECHA]])&amp;"-"&amp;MONTH(Datos_Consumo[[#This Row],[FECHA]])</f>
        <v>2016-6</v>
      </c>
    </row>
    <row r="774" spans="1:4" x14ac:dyDescent="0.25">
      <c r="A774" t="s">
        <v>1425</v>
      </c>
      <c r="B774">
        <v>7</v>
      </c>
      <c r="C774" s="56">
        <v>42552</v>
      </c>
      <c r="D774" s="3" t="str">
        <f>YEAR(Datos_Consumo[[#This Row],[FECHA]])&amp;"-"&amp;MONTH(Datos_Consumo[[#This Row],[FECHA]])</f>
        <v>2016-7</v>
      </c>
    </row>
    <row r="775" spans="1:4" x14ac:dyDescent="0.25">
      <c r="A775" t="s">
        <v>1425</v>
      </c>
      <c r="B775">
        <v>2</v>
      </c>
      <c r="C775" s="56">
        <v>42583</v>
      </c>
      <c r="D775" s="3" t="str">
        <f>YEAR(Datos_Consumo[[#This Row],[FECHA]])&amp;"-"&amp;MONTH(Datos_Consumo[[#This Row],[FECHA]])</f>
        <v>2016-8</v>
      </c>
    </row>
    <row r="776" spans="1:4" x14ac:dyDescent="0.25">
      <c r="A776" t="s">
        <v>1426</v>
      </c>
      <c r="B776">
        <v>8</v>
      </c>
      <c r="C776" s="56">
        <v>42522</v>
      </c>
      <c r="D776" s="3" t="str">
        <f>YEAR(Datos_Consumo[[#This Row],[FECHA]])&amp;"-"&amp;MONTH(Datos_Consumo[[#This Row],[FECHA]])</f>
        <v>2016-6</v>
      </c>
    </row>
    <row r="777" spans="1:4" x14ac:dyDescent="0.25">
      <c r="A777" t="s">
        <v>1426</v>
      </c>
      <c r="B777">
        <v>6</v>
      </c>
      <c r="C777" s="56">
        <v>42552</v>
      </c>
      <c r="D777" s="3" t="str">
        <f>YEAR(Datos_Consumo[[#This Row],[FECHA]])&amp;"-"&amp;MONTH(Datos_Consumo[[#This Row],[FECHA]])</f>
        <v>2016-7</v>
      </c>
    </row>
    <row r="778" spans="1:4" x14ac:dyDescent="0.25">
      <c r="A778" t="s">
        <v>1426</v>
      </c>
      <c r="B778">
        <v>1</v>
      </c>
      <c r="C778" s="56">
        <v>42583</v>
      </c>
      <c r="D778" s="3" t="str">
        <f>YEAR(Datos_Consumo[[#This Row],[FECHA]])&amp;"-"&amp;MONTH(Datos_Consumo[[#This Row],[FECHA]])</f>
        <v>2016-8</v>
      </c>
    </row>
    <row r="779" spans="1:4" x14ac:dyDescent="0.25">
      <c r="A779" t="s">
        <v>2001</v>
      </c>
      <c r="B779">
        <v>7</v>
      </c>
      <c r="C779" s="56">
        <v>42522</v>
      </c>
      <c r="D779" s="3" t="str">
        <f>YEAR(Datos_Consumo[[#This Row],[FECHA]])&amp;"-"&amp;MONTH(Datos_Consumo[[#This Row],[FECHA]])</f>
        <v>2016-6</v>
      </c>
    </row>
    <row r="780" spans="1:4" x14ac:dyDescent="0.25">
      <c r="A780" t="s">
        <v>2001</v>
      </c>
      <c r="B780">
        <v>7</v>
      </c>
      <c r="C780" s="56">
        <v>42552</v>
      </c>
      <c r="D780" s="3" t="str">
        <f>YEAR(Datos_Consumo[[#This Row],[FECHA]])&amp;"-"&amp;MONTH(Datos_Consumo[[#This Row],[FECHA]])</f>
        <v>2016-7</v>
      </c>
    </row>
    <row r="781" spans="1:4" x14ac:dyDescent="0.25">
      <c r="A781" t="s">
        <v>2001</v>
      </c>
      <c r="B781">
        <v>1</v>
      </c>
      <c r="C781" s="56">
        <v>42583</v>
      </c>
      <c r="D781" s="3" t="str">
        <f>YEAR(Datos_Consumo[[#This Row],[FECHA]])&amp;"-"&amp;MONTH(Datos_Consumo[[#This Row],[FECHA]])</f>
        <v>2016-8</v>
      </c>
    </row>
    <row r="782" spans="1:4" x14ac:dyDescent="0.25">
      <c r="A782" t="s">
        <v>1470</v>
      </c>
      <c r="B782">
        <v>8</v>
      </c>
      <c r="C782" s="56">
        <v>42522</v>
      </c>
      <c r="D782" s="3" t="str">
        <f>YEAR(Datos_Consumo[[#This Row],[FECHA]])&amp;"-"&amp;MONTH(Datos_Consumo[[#This Row],[FECHA]])</f>
        <v>2016-6</v>
      </c>
    </row>
    <row r="783" spans="1:4" x14ac:dyDescent="0.25">
      <c r="A783" t="s">
        <v>1470</v>
      </c>
      <c r="B783">
        <v>6</v>
      </c>
      <c r="C783" s="56">
        <v>42552</v>
      </c>
      <c r="D783" s="3" t="str">
        <f>YEAR(Datos_Consumo[[#This Row],[FECHA]])&amp;"-"&amp;MONTH(Datos_Consumo[[#This Row],[FECHA]])</f>
        <v>2016-7</v>
      </c>
    </row>
    <row r="784" spans="1:4" x14ac:dyDescent="0.25">
      <c r="A784" t="s">
        <v>1470</v>
      </c>
      <c r="B784">
        <v>1</v>
      </c>
      <c r="C784" s="56">
        <v>42614</v>
      </c>
      <c r="D784" s="3" t="str">
        <f>YEAR(Datos_Consumo[[#This Row],[FECHA]])&amp;"-"&amp;MONTH(Datos_Consumo[[#This Row],[FECHA]])</f>
        <v>2016-9</v>
      </c>
    </row>
    <row r="785" spans="1:4" x14ac:dyDescent="0.25">
      <c r="A785" t="s">
        <v>1471</v>
      </c>
      <c r="B785">
        <v>7</v>
      </c>
      <c r="C785" s="56">
        <v>42522</v>
      </c>
      <c r="D785" s="3" t="str">
        <f>YEAR(Datos_Consumo[[#This Row],[FECHA]])&amp;"-"&amp;MONTH(Datos_Consumo[[#This Row],[FECHA]])</f>
        <v>2016-6</v>
      </c>
    </row>
    <row r="786" spans="1:4" x14ac:dyDescent="0.25">
      <c r="A786" t="s">
        <v>1471</v>
      </c>
      <c r="B786">
        <v>7</v>
      </c>
      <c r="C786" s="56">
        <v>42552</v>
      </c>
      <c r="D786" s="3" t="str">
        <f>YEAR(Datos_Consumo[[#This Row],[FECHA]])&amp;"-"&amp;MONTH(Datos_Consumo[[#This Row],[FECHA]])</f>
        <v>2016-7</v>
      </c>
    </row>
    <row r="787" spans="1:4" x14ac:dyDescent="0.25">
      <c r="A787" t="s">
        <v>1427</v>
      </c>
      <c r="B787">
        <v>3</v>
      </c>
      <c r="C787" s="56">
        <v>42491</v>
      </c>
      <c r="D787" s="3" t="str">
        <f>YEAR(Datos_Consumo[[#This Row],[FECHA]])&amp;"-"&amp;MONTH(Datos_Consumo[[#This Row],[FECHA]])</f>
        <v>2016-5</v>
      </c>
    </row>
    <row r="788" spans="1:4" x14ac:dyDescent="0.25">
      <c r="A788" t="s">
        <v>1427</v>
      </c>
      <c r="B788">
        <v>2</v>
      </c>
      <c r="C788" s="56">
        <v>42522</v>
      </c>
      <c r="D788" s="3" t="str">
        <f>YEAR(Datos_Consumo[[#This Row],[FECHA]])&amp;"-"&amp;MONTH(Datos_Consumo[[#This Row],[FECHA]])</f>
        <v>2016-6</v>
      </c>
    </row>
    <row r="789" spans="1:4" x14ac:dyDescent="0.25">
      <c r="A789" t="s">
        <v>1427</v>
      </c>
      <c r="B789">
        <v>2</v>
      </c>
      <c r="C789" s="56">
        <v>42552</v>
      </c>
      <c r="D789" s="3" t="str">
        <f>YEAR(Datos_Consumo[[#This Row],[FECHA]])&amp;"-"&amp;MONTH(Datos_Consumo[[#This Row],[FECHA]])</f>
        <v>2016-7</v>
      </c>
    </row>
    <row r="790" spans="1:4" x14ac:dyDescent="0.25">
      <c r="A790" t="s">
        <v>1428</v>
      </c>
      <c r="B790">
        <v>2</v>
      </c>
      <c r="C790" s="56">
        <v>42491</v>
      </c>
      <c r="D790" s="3" t="str">
        <f>YEAR(Datos_Consumo[[#This Row],[FECHA]])&amp;"-"&amp;MONTH(Datos_Consumo[[#This Row],[FECHA]])</f>
        <v>2016-5</v>
      </c>
    </row>
    <row r="791" spans="1:4" x14ac:dyDescent="0.25">
      <c r="A791" t="s">
        <v>1428</v>
      </c>
      <c r="B791">
        <v>5</v>
      </c>
      <c r="C791" s="56">
        <v>42522</v>
      </c>
      <c r="D791" s="3" t="str">
        <f>YEAR(Datos_Consumo[[#This Row],[FECHA]])&amp;"-"&amp;MONTH(Datos_Consumo[[#This Row],[FECHA]])</f>
        <v>2016-6</v>
      </c>
    </row>
    <row r="792" spans="1:4" x14ac:dyDescent="0.25">
      <c r="A792" t="s">
        <v>1428</v>
      </c>
      <c r="B792">
        <v>7</v>
      </c>
      <c r="C792" s="56">
        <v>42552</v>
      </c>
      <c r="D792" s="3" t="str">
        <f>YEAR(Datos_Consumo[[#This Row],[FECHA]])&amp;"-"&amp;MONTH(Datos_Consumo[[#This Row],[FECHA]])</f>
        <v>2016-7</v>
      </c>
    </row>
    <row r="793" spans="1:4" x14ac:dyDescent="0.25">
      <c r="A793" t="s">
        <v>1428</v>
      </c>
      <c r="B793">
        <v>1</v>
      </c>
      <c r="C793" s="56">
        <v>42583</v>
      </c>
      <c r="D793" s="3" t="str">
        <f>YEAR(Datos_Consumo[[#This Row],[FECHA]])&amp;"-"&amp;MONTH(Datos_Consumo[[#This Row],[FECHA]])</f>
        <v>2016-8</v>
      </c>
    </row>
    <row r="794" spans="1:4" x14ac:dyDescent="0.25">
      <c r="A794" t="s">
        <v>1429</v>
      </c>
      <c r="B794">
        <v>1</v>
      </c>
      <c r="C794" s="56">
        <v>42491</v>
      </c>
      <c r="D794" s="3" t="str">
        <f>YEAR(Datos_Consumo[[#This Row],[FECHA]])&amp;"-"&amp;MONTH(Datos_Consumo[[#This Row],[FECHA]])</f>
        <v>2016-5</v>
      </c>
    </row>
    <row r="795" spans="1:4" x14ac:dyDescent="0.25">
      <c r="A795" t="s">
        <v>1429</v>
      </c>
      <c r="B795">
        <v>8</v>
      </c>
      <c r="C795" s="56">
        <v>42522</v>
      </c>
      <c r="D795" s="3" t="str">
        <f>YEAR(Datos_Consumo[[#This Row],[FECHA]])&amp;"-"&amp;MONTH(Datos_Consumo[[#This Row],[FECHA]])</f>
        <v>2016-6</v>
      </c>
    </row>
    <row r="796" spans="1:4" x14ac:dyDescent="0.25">
      <c r="A796" t="s">
        <v>1429</v>
      </c>
      <c r="B796">
        <v>7</v>
      </c>
      <c r="C796" s="56">
        <v>42552</v>
      </c>
      <c r="D796" s="3" t="str">
        <f>YEAR(Datos_Consumo[[#This Row],[FECHA]])&amp;"-"&amp;MONTH(Datos_Consumo[[#This Row],[FECHA]])</f>
        <v>2016-7</v>
      </c>
    </row>
    <row r="797" spans="1:4" x14ac:dyDescent="0.25">
      <c r="A797" t="s">
        <v>1430</v>
      </c>
      <c r="B797">
        <v>2</v>
      </c>
      <c r="C797" s="56">
        <v>42491</v>
      </c>
      <c r="D797" s="3" t="str">
        <f>YEAR(Datos_Consumo[[#This Row],[FECHA]])&amp;"-"&amp;MONTH(Datos_Consumo[[#This Row],[FECHA]])</f>
        <v>2016-5</v>
      </c>
    </row>
    <row r="798" spans="1:4" x14ac:dyDescent="0.25">
      <c r="A798" t="s">
        <v>1430</v>
      </c>
      <c r="B798">
        <v>7</v>
      </c>
      <c r="C798" s="56">
        <v>42522</v>
      </c>
      <c r="D798" s="3" t="str">
        <f>YEAR(Datos_Consumo[[#This Row],[FECHA]])&amp;"-"&amp;MONTH(Datos_Consumo[[#This Row],[FECHA]])</f>
        <v>2016-6</v>
      </c>
    </row>
    <row r="799" spans="1:4" x14ac:dyDescent="0.25">
      <c r="A799" t="s">
        <v>1430</v>
      </c>
      <c r="B799">
        <v>5</v>
      </c>
      <c r="C799" s="56">
        <v>42552</v>
      </c>
      <c r="D799" s="3" t="str">
        <f>YEAR(Datos_Consumo[[#This Row],[FECHA]])&amp;"-"&amp;MONTH(Datos_Consumo[[#This Row],[FECHA]])</f>
        <v>2016-7</v>
      </c>
    </row>
    <row r="800" spans="1:4" x14ac:dyDescent="0.25">
      <c r="A800" t="s">
        <v>1430</v>
      </c>
      <c r="B800">
        <v>1</v>
      </c>
      <c r="C800" s="56">
        <v>42583</v>
      </c>
      <c r="D800" s="3" t="str">
        <f>YEAR(Datos_Consumo[[#This Row],[FECHA]])&amp;"-"&amp;MONTH(Datos_Consumo[[#This Row],[FECHA]])</f>
        <v>2016-8</v>
      </c>
    </row>
    <row r="801" spans="1:4" x14ac:dyDescent="0.25">
      <c r="A801" t="s">
        <v>1431</v>
      </c>
      <c r="B801">
        <v>5</v>
      </c>
      <c r="C801" s="56">
        <v>42522</v>
      </c>
      <c r="D801" s="3" t="str">
        <f>YEAR(Datos_Consumo[[#This Row],[FECHA]])&amp;"-"&amp;MONTH(Datos_Consumo[[#This Row],[FECHA]])</f>
        <v>2016-6</v>
      </c>
    </row>
    <row r="802" spans="1:4" x14ac:dyDescent="0.25">
      <c r="A802" t="s">
        <v>1431</v>
      </c>
      <c r="B802">
        <v>5</v>
      </c>
      <c r="C802" s="56">
        <v>42552</v>
      </c>
      <c r="D802" s="3" t="str">
        <f>YEAR(Datos_Consumo[[#This Row],[FECHA]])&amp;"-"&amp;MONTH(Datos_Consumo[[#This Row],[FECHA]])</f>
        <v>2016-7</v>
      </c>
    </row>
    <row r="803" spans="1:4" x14ac:dyDescent="0.25">
      <c r="A803" t="s">
        <v>1431</v>
      </c>
      <c r="B803">
        <v>1</v>
      </c>
      <c r="C803" s="56">
        <v>42583</v>
      </c>
      <c r="D803" s="3" t="str">
        <f>YEAR(Datos_Consumo[[#This Row],[FECHA]])&amp;"-"&amp;MONTH(Datos_Consumo[[#This Row],[FECHA]])</f>
        <v>2016-8</v>
      </c>
    </row>
    <row r="804" spans="1:4" x14ac:dyDescent="0.25">
      <c r="A804" t="s">
        <v>1432</v>
      </c>
      <c r="B804">
        <v>1</v>
      </c>
      <c r="C804" s="56">
        <v>42491</v>
      </c>
      <c r="D804" s="3" t="str">
        <f>YEAR(Datos_Consumo[[#This Row],[FECHA]])&amp;"-"&amp;MONTH(Datos_Consumo[[#This Row],[FECHA]])</f>
        <v>2016-5</v>
      </c>
    </row>
    <row r="805" spans="1:4" x14ac:dyDescent="0.25">
      <c r="A805" t="s">
        <v>1432</v>
      </c>
      <c r="B805">
        <v>7</v>
      </c>
      <c r="C805" s="56">
        <v>42522</v>
      </c>
      <c r="D805" s="3" t="str">
        <f>YEAR(Datos_Consumo[[#This Row],[FECHA]])&amp;"-"&amp;MONTH(Datos_Consumo[[#This Row],[FECHA]])</f>
        <v>2016-6</v>
      </c>
    </row>
    <row r="806" spans="1:4" x14ac:dyDescent="0.25">
      <c r="A806" t="s">
        <v>1432</v>
      </c>
      <c r="B806">
        <v>5</v>
      </c>
      <c r="C806" s="56">
        <v>42552</v>
      </c>
      <c r="D806" s="3" t="str">
        <f>YEAR(Datos_Consumo[[#This Row],[FECHA]])&amp;"-"&amp;MONTH(Datos_Consumo[[#This Row],[FECHA]])</f>
        <v>2016-7</v>
      </c>
    </row>
    <row r="807" spans="1:4" x14ac:dyDescent="0.25">
      <c r="A807" t="s">
        <v>1432</v>
      </c>
      <c r="B807">
        <v>1</v>
      </c>
      <c r="C807" s="56">
        <v>42583</v>
      </c>
      <c r="D807" s="3" t="str">
        <f>YEAR(Datos_Consumo[[#This Row],[FECHA]])&amp;"-"&amp;MONTH(Datos_Consumo[[#This Row],[FECHA]])</f>
        <v>2016-8</v>
      </c>
    </row>
    <row r="808" spans="1:4" x14ac:dyDescent="0.25">
      <c r="A808" t="s">
        <v>1472</v>
      </c>
      <c r="B808">
        <v>1</v>
      </c>
      <c r="C808" s="56">
        <v>42522</v>
      </c>
      <c r="D808" s="3" t="str">
        <f>YEAR(Datos_Consumo[[#This Row],[FECHA]])&amp;"-"&amp;MONTH(Datos_Consumo[[#This Row],[FECHA]])</f>
        <v>2016-6</v>
      </c>
    </row>
    <row r="809" spans="1:4" x14ac:dyDescent="0.25">
      <c r="A809" t="s">
        <v>1472</v>
      </c>
      <c r="B809">
        <v>2</v>
      </c>
      <c r="C809" s="56">
        <v>42583</v>
      </c>
      <c r="D809" s="3" t="str">
        <f>YEAR(Datos_Consumo[[#This Row],[FECHA]])&amp;"-"&amp;MONTH(Datos_Consumo[[#This Row],[FECHA]])</f>
        <v>2016-8</v>
      </c>
    </row>
    <row r="810" spans="1:4" x14ac:dyDescent="0.25">
      <c r="A810" t="s">
        <v>2017</v>
      </c>
      <c r="B810">
        <v>1</v>
      </c>
      <c r="C810" s="56">
        <v>42552</v>
      </c>
      <c r="D810" s="3" t="str">
        <f>YEAR(Datos_Consumo[[#This Row],[FECHA]])&amp;"-"&amp;MONTH(Datos_Consumo[[#This Row],[FECHA]])</f>
        <v>2016-7</v>
      </c>
    </row>
    <row r="811" spans="1:4" x14ac:dyDescent="0.25">
      <c r="A811" t="s">
        <v>1473</v>
      </c>
      <c r="B811">
        <v>1</v>
      </c>
      <c r="C811" s="56">
        <v>42491</v>
      </c>
      <c r="D811" s="3" t="str">
        <f>YEAR(Datos_Consumo[[#This Row],[FECHA]])&amp;"-"&amp;MONTH(Datos_Consumo[[#This Row],[FECHA]])</f>
        <v>2016-5</v>
      </c>
    </row>
    <row r="812" spans="1:4" x14ac:dyDescent="0.25">
      <c r="A812" t="s">
        <v>1475</v>
      </c>
      <c r="B812">
        <v>15</v>
      </c>
      <c r="C812" s="56">
        <v>42522</v>
      </c>
      <c r="D812" s="3" t="str">
        <f>YEAR(Datos_Consumo[[#This Row],[FECHA]])&amp;"-"&amp;MONTH(Datos_Consumo[[#This Row],[FECHA]])</f>
        <v>2016-6</v>
      </c>
    </row>
    <row r="813" spans="1:4" x14ac:dyDescent="0.25">
      <c r="A813" t="s">
        <v>1475</v>
      </c>
      <c r="B813">
        <v>15</v>
      </c>
      <c r="C813" s="56">
        <v>42552</v>
      </c>
      <c r="D813" s="3" t="str">
        <f>YEAR(Datos_Consumo[[#This Row],[FECHA]])&amp;"-"&amp;MONTH(Datos_Consumo[[#This Row],[FECHA]])</f>
        <v>2016-7</v>
      </c>
    </row>
    <row r="814" spans="1:4" x14ac:dyDescent="0.25">
      <c r="A814" t="s">
        <v>1476</v>
      </c>
      <c r="B814">
        <v>1</v>
      </c>
      <c r="C814" s="56">
        <v>42491</v>
      </c>
      <c r="D814" s="3" t="str">
        <f>YEAR(Datos_Consumo[[#This Row],[FECHA]])&amp;"-"&amp;MONTH(Datos_Consumo[[#This Row],[FECHA]])</f>
        <v>2016-5</v>
      </c>
    </row>
    <row r="815" spans="1:4" x14ac:dyDescent="0.25">
      <c r="A815" t="s">
        <v>1476</v>
      </c>
      <c r="B815">
        <v>15</v>
      </c>
      <c r="C815" s="56">
        <v>42522</v>
      </c>
      <c r="D815" s="3" t="str">
        <f>YEAR(Datos_Consumo[[#This Row],[FECHA]])&amp;"-"&amp;MONTH(Datos_Consumo[[#This Row],[FECHA]])</f>
        <v>2016-6</v>
      </c>
    </row>
    <row r="816" spans="1:4" x14ac:dyDescent="0.25">
      <c r="A816" t="s">
        <v>1476</v>
      </c>
      <c r="B816">
        <v>15</v>
      </c>
      <c r="C816" s="56">
        <v>42552</v>
      </c>
      <c r="D816" s="3" t="str">
        <f>YEAR(Datos_Consumo[[#This Row],[FECHA]])&amp;"-"&amp;MONTH(Datos_Consumo[[#This Row],[FECHA]])</f>
        <v>2016-7</v>
      </c>
    </row>
    <row r="817" spans="1:4" x14ac:dyDescent="0.25">
      <c r="A817" t="s">
        <v>1477</v>
      </c>
      <c r="B817">
        <v>1</v>
      </c>
      <c r="C817" s="56">
        <v>42491</v>
      </c>
      <c r="D817" s="3" t="str">
        <f>YEAR(Datos_Consumo[[#This Row],[FECHA]])&amp;"-"&amp;MONTH(Datos_Consumo[[#This Row],[FECHA]])</f>
        <v>2016-5</v>
      </c>
    </row>
    <row r="818" spans="1:4" x14ac:dyDescent="0.25">
      <c r="A818" t="s">
        <v>1477</v>
      </c>
      <c r="B818">
        <v>15</v>
      </c>
      <c r="C818" s="56">
        <v>42522</v>
      </c>
      <c r="D818" s="3" t="str">
        <f>YEAR(Datos_Consumo[[#This Row],[FECHA]])&amp;"-"&amp;MONTH(Datos_Consumo[[#This Row],[FECHA]])</f>
        <v>2016-6</v>
      </c>
    </row>
    <row r="819" spans="1:4" x14ac:dyDescent="0.25">
      <c r="A819" t="s">
        <v>1477</v>
      </c>
      <c r="B819">
        <v>15</v>
      </c>
      <c r="C819" s="56">
        <v>42552</v>
      </c>
      <c r="D819" s="3" t="str">
        <f>YEAR(Datos_Consumo[[#This Row],[FECHA]])&amp;"-"&amp;MONTH(Datos_Consumo[[#This Row],[FECHA]])</f>
        <v>2016-7</v>
      </c>
    </row>
    <row r="820" spans="1:4" x14ac:dyDescent="0.25">
      <c r="A820" t="s">
        <v>1478</v>
      </c>
      <c r="B820">
        <v>15</v>
      </c>
      <c r="C820" s="56">
        <v>42522</v>
      </c>
      <c r="D820" s="3" t="str">
        <f>YEAR(Datos_Consumo[[#This Row],[FECHA]])&amp;"-"&amp;MONTH(Datos_Consumo[[#This Row],[FECHA]])</f>
        <v>2016-6</v>
      </c>
    </row>
    <row r="821" spans="1:4" x14ac:dyDescent="0.25">
      <c r="A821" t="s">
        <v>1478</v>
      </c>
      <c r="B821">
        <v>15</v>
      </c>
      <c r="C821" s="56">
        <v>42552</v>
      </c>
      <c r="D821" s="3" t="str">
        <f>YEAR(Datos_Consumo[[#This Row],[FECHA]])&amp;"-"&amp;MONTH(Datos_Consumo[[#This Row],[FECHA]])</f>
        <v>2016-7</v>
      </c>
    </row>
    <row r="822" spans="1:4" x14ac:dyDescent="0.25">
      <c r="A822" t="s">
        <v>1433</v>
      </c>
      <c r="B822">
        <v>2</v>
      </c>
      <c r="C822" s="56">
        <v>42491</v>
      </c>
      <c r="D822" s="3" t="str">
        <f>YEAR(Datos_Consumo[[#This Row],[FECHA]])&amp;"-"&amp;MONTH(Datos_Consumo[[#This Row],[FECHA]])</f>
        <v>2016-5</v>
      </c>
    </row>
    <row r="823" spans="1:4" x14ac:dyDescent="0.25">
      <c r="A823" t="s">
        <v>1433</v>
      </c>
      <c r="B823">
        <v>1</v>
      </c>
      <c r="C823" s="56">
        <v>42583</v>
      </c>
      <c r="D823" s="3" t="str">
        <f>YEAR(Datos_Consumo[[#This Row],[FECHA]])&amp;"-"&amp;MONTH(Datos_Consumo[[#This Row],[FECHA]])</f>
        <v>2016-8</v>
      </c>
    </row>
    <row r="824" spans="1:4" x14ac:dyDescent="0.25">
      <c r="A824" t="s">
        <v>1433</v>
      </c>
      <c r="B824">
        <v>1</v>
      </c>
      <c r="C824" s="56">
        <v>42614</v>
      </c>
      <c r="D824" s="3" t="str">
        <f>YEAR(Datos_Consumo[[#This Row],[FECHA]])&amp;"-"&amp;MONTH(Datos_Consumo[[#This Row],[FECHA]])</f>
        <v>2016-9</v>
      </c>
    </row>
    <row r="825" spans="1:4" x14ac:dyDescent="0.25">
      <c r="A825" t="s">
        <v>1434</v>
      </c>
      <c r="B825">
        <v>4</v>
      </c>
      <c r="C825" s="56">
        <v>42522</v>
      </c>
      <c r="D825" s="3" t="str">
        <f>YEAR(Datos_Consumo[[#This Row],[FECHA]])&amp;"-"&amp;MONTH(Datos_Consumo[[#This Row],[FECHA]])</f>
        <v>2016-6</v>
      </c>
    </row>
    <row r="826" spans="1:4" x14ac:dyDescent="0.25">
      <c r="A826" t="s">
        <v>1434</v>
      </c>
      <c r="B826">
        <v>3</v>
      </c>
      <c r="C826" s="56">
        <v>42552</v>
      </c>
      <c r="D826" s="3" t="str">
        <f>YEAR(Datos_Consumo[[#This Row],[FECHA]])&amp;"-"&amp;MONTH(Datos_Consumo[[#This Row],[FECHA]])</f>
        <v>2016-7</v>
      </c>
    </row>
    <row r="827" spans="1:4" x14ac:dyDescent="0.25">
      <c r="A827" t="s">
        <v>2061</v>
      </c>
      <c r="B827">
        <v>3</v>
      </c>
      <c r="C827" s="56">
        <v>42522</v>
      </c>
      <c r="D827" s="3" t="str">
        <f>YEAR(Datos_Consumo[[#This Row],[FECHA]])&amp;"-"&amp;MONTH(Datos_Consumo[[#This Row],[FECHA]])</f>
        <v>2016-6</v>
      </c>
    </row>
    <row r="828" spans="1:4" x14ac:dyDescent="0.25">
      <c r="A828" t="s">
        <v>2061</v>
      </c>
      <c r="B828">
        <v>3</v>
      </c>
      <c r="C828" s="56">
        <v>42552</v>
      </c>
      <c r="D828" s="3" t="str">
        <f>YEAR(Datos_Consumo[[#This Row],[FECHA]])&amp;"-"&amp;MONTH(Datos_Consumo[[#This Row],[FECHA]])</f>
        <v>2016-7</v>
      </c>
    </row>
    <row r="829" spans="1:4" x14ac:dyDescent="0.25">
      <c r="A829" t="s">
        <v>2061</v>
      </c>
      <c r="B829">
        <v>1</v>
      </c>
      <c r="C829" s="56">
        <v>42583</v>
      </c>
      <c r="D829" s="3" t="str">
        <f>YEAR(Datos_Consumo[[#This Row],[FECHA]])&amp;"-"&amp;MONTH(Datos_Consumo[[#This Row],[FECHA]])</f>
        <v>2016-8</v>
      </c>
    </row>
    <row r="830" spans="1:4" x14ac:dyDescent="0.25">
      <c r="A830" t="s">
        <v>1435</v>
      </c>
      <c r="B830">
        <v>1</v>
      </c>
      <c r="C830" s="56">
        <v>42491</v>
      </c>
      <c r="D830" s="3" t="str">
        <f>YEAR(Datos_Consumo[[#This Row],[FECHA]])&amp;"-"&amp;MONTH(Datos_Consumo[[#This Row],[FECHA]])</f>
        <v>2016-5</v>
      </c>
    </row>
    <row r="831" spans="1:4" x14ac:dyDescent="0.25">
      <c r="A831" t="s">
        <v>1436</v>
      </c>
      <c r="B831">
        <v>1</v>
      </c>
      <c r="C831" s="56">
        <v>42491</v>
      </c>
      <c r="D831" s="3" t="str">
        <f>YEAR(Datos_Consumo[[#This Row],[FECHA]])&amp;"-"&amp;MONTH(Datos_Consumo[[#This Row],[FECHA]])</f>
        <v>2016-5</v>
      </c>
    </row>
    <row r="832" spans="1:4" x14ac:dyDescent="0.25">
      <c r="A832" t="s">
        <v>1436</v>
      </c>
      <c r="B832">
        <v>11</v>
      </c>
      <c r="C832" s="56">
        <v>42522</v>
      </c>
      <c r="D832" s="3" t="str">
        <f>YEAR(Datos_Consumo[[#This Row],[FECHA]])&amp;"-"&amp;MONTH(Datos_Consumo[[#This Row],[FECHA]])</f>
        <v>2016-6</v>
      </c>
    </row>
    <row r="833" spans="1:4" x14ac:dyDescent="0.25">
      <c r="A833" t="s">
        <v>1436</v>
      </c>
      <c r="B833">
        <v>11</v>
      </c>
      <c r="C833" s="56">
        <v>42552</v>
      </c>
      <c r="D833" s="3" t="str">
        <f>YEAR(Datos_Consumo[[#This Row],[FECHA]])&amp;"-"&amp;MONTH(Datos_Consumo[[#This Row],[FECHA]])</f>
        <v>2016-7</v>
      </c>
    </row>
    <row r="834" spans="1:4" x14ac:dyDescent="0.25">
      <c r="A834" t="s">
        <v>1436</v>
      </c>
      <c r="B834">
        <v>2</v>
      </c>
      <c r="C834" s="56">
        <v>42583</v>
      </c>
      <c r="D834" s="3" t="str">
        <f>YEAR(Datos_Consumo[[#This Row],[FECHA]])&amp;"-"&amp;MONTH(Datos_Consumo[[#This Row],[FECHA]])</f>
        <v>2016-8</v>
      </c>
    </row>
    <row r="835" spans="1:4" x14ac:dyDescent="0.25">
      <c r="A835" t="s">
        <v>1437</v>
      </c>
      <c r="B835">
        <v>3</v>
      </c>
      <c r="C835" s="56">
        <v>42522</v>
      </c>
      <c r="D835" s="3" t="str">
        <f>YEAR(Datos_Consumo[[#This Row],[FECHA]])&amp;"-"&amp;MONTH(Datos_Consumo[[#This Row],[FECHA]])</f>
        <v>2016-6</v>
      </c>
    </row>
    <row r="836" spans="1:4" x14ac:dyDescent="0.25">
      <c r="A836" t="s">
        <v>1437</v>
      </c>
      <c r="B836">
        <v>5</v>
      </c>
      <c r="C836" s="56">
        <v>42552</v>
      </c>
      <c r="D836" s="3" t="str">
        <f>YEAR(Datos_Consumo[[#This Row],[FECHA]])&amp;"-"&amp;MONTH(Datos_Consumo[[#This Row],[FECHA]])</f>
        <v>2016-7</v>
      </c>
    </row>
    <row r="837" spans="1:4" x14ac:dyDescent="0.25">
      <c r="A837" t="s">
        <v>1437</v>
      </c>
      <c r="B837">
        <v>1</v>
      </c>
      <c r="C837" s="56">
        <v>42583</v>
      </c>
      <c r="D837" s="3" t="str">
        <f>YEAR(Datos_Consumo[[#This Row],[FECHA]])&amp;"-"&amp;MONTH(Datos_Consumo[[#This Row],[FECHA]])</f>
        <v>2016-8</v>
      </c>
    </row>
    <row r="838" spans="1:4" x14ac:dyDescent="0.25">
      <c r="A838" t="s">
        <v>1438</v>
      </c>
      <c r="B838">
        <v>1</v>
      </c>
      <c r="C838" s="56">
        <v>42491</v>
      </c>
      <c r="D838" s="3" t="str">
        <f>YEAR(Datos_Consumo[[#This Row],[FECHA]])&amp;"-"&amp;MONTH(Datos_Consumo[[#This Row],[FECHA]])</f>
        <v>2016-5</v>
      </c>
    </row>
    <row r="839" spans="1:4" x14ac:dyDescent="0.25">
      <c r="A839" t="s">
        <v>1438</v>
      </c>
      <c r="B839">
        <v>6</v>
      </c>
      <c r="C839" s="56">
        <v>42522</v>
      </c>
      <c r="D839" s="3" t="str">
        <f>YEAR(Datos_Consumo[[#This Row],[FECHA]])&amp;"-"&amp;MONTH(Datos_Consumo[[#This Row],[FECHA]])</f>
        <v>2016-6</v>
      </c>
    </row>
    <row r="840" spans="1:4" x14ac:dyDescent="0.25">
      <c r="A840" t="s">
        <v>1438</v>
      </c>
      <c r="B840">
        <v>5</v>
      </c>
      <c r="C840" s="56">
        <v>42552</v>
      </c>
      <c r="D840" s="3" t="str">
        <f>YEAR(Datos_Consumo[[#This Row],[FECHA]])&amp;"-"&amp;MONTH(Datos_Consumo[[#This Row],[FECHA]])</f>
        <v>2016-7</v>
      </c>
    </row>
    <row r="841" spans="1:4" x14ac:dyDescent="0.25">
      <c r="A841" t="s">
        <v>2072</v>
      </c>
      <c r="B841">
        <v>2</v>
      </c>
      <c r="C841" s="56">
        <v>42522</v>
      </c>
      <c r="D841" s="3" t="str">
        <f>YEAR(Datos_Consumo[[#This Row],[FECHA]])&amp;"-"&amp;MONTH(Datos_Consumo[[#This Row],[FECHA]])</f>
        <v>2016-6</v>
      </c>
    </row>
    <row r="842" spans="1:4" x14ac:dyDescent="0.25">
      <c r="A842" t="s">
        <v>2072</v>
      </c>
      <c r="B842">
        <v>2</v>
      </c>
      <c r="C842" s="56">
        <v>42552</v>
      </c>
      <c r="D842" s="3" t="str">
        <f>YEAR(Datos_Consumo[[#This Row],[FECHA]])&amp;"-"&amp;MONTH(Datos_Consumo[[#This Row],[FECHA]])</f>
        <v>2016-7</v>
      </c>
    </row>
    <row r="843" spans="1:4" x14ac:dyDescent="0.25">
      <c r="A843" t="s">
        <v>2074</v>
      </c>
      <c r="B843">
        <v>1</v>
      </c>
      <c r="C843" s="56">
        <v>42522</v>
      </c>
      <c r="D843" s="3" t="str">
        <f>YEAR(Datos_Consumo[[#This Row],[FECHA]])&amp;"-"&amp;MONTH(Datos_Consumo[[#This Row],[FECHA]])</f>
        <v>2016-6</v>
      </c>
    </row>
    <row r="844" spans="1:4" x14ac:dyDescent="0.25">
      <c r="A844" t="s">
        <v>2074</v>
      </c>
      <c r="B844">
        <v>1</v>
      </c>
      <c r="C844" s="56">
        <v>42552</v>
      </c>
      <c r="D844" s="3" t="str">
        <f>YEAR(Datos_Consumo[[#This Row],[FECHA]])&amp;"-"&amp;MONTH(Datos_Consumo[[#This Row],[FECHA]])</f>
        <v>2016-7</v>
      </c>
    </row>
    <row r="845" spans="1:4" x14ac:dyDescent="0.25">
      <c r="A845" t="s">
        <v>1439</v>
      </c>
      <c r="B845">
        <v>6</v>
      </c>
      <c r="C845" s="56">
        <v>42522</v>
      </c>
      <c r="D845" s="3" t="str">
        <f>YEAR(Datos_Consumo[[#This Row],[FECHA]])&amp;"-"&amp;MONTH(Datos_Consumo[[#This Row],[FECHA]])</f>
        <v>2016-6</v>
      </c>
    </row>
    <row r="846" spans="1:4" x14ac:dyDescent="0.25">
      <c r="A846" t="s">
        <v>1439</v>
      </c>
      <c r="B846">
        <v>5</v>
      </c>
      <c r="C846" s="56">
        <v>42552</v>
      </c>
      <c r="D846" s="3" t="str">
        <f>YEAR(Datos_Consumo[[#This Row],[FECHA]])&amp;"-"&amp;MONTH(Datos_Consumo[[#This Row],[FECHA]])</f>
        <v>2016-7</v>
      </c>
    </row>
    <row r="847" spans="1:4" x14ac:dyDescent="0.25">
      <c r="A847" t="s">
        <v>1439</v>
      </c>
      <c r="B847">
        <v>1</v>
      </c>
      <c r="C847" s="56">
        <v>42583</v>
      </c>
      <c r="D847" s="3" t="str">
        <f>YEAR(Datos_Consumo[[#This Row],[FECHA]])&amp;"-"&amp;MONTH(Datos_Consumo[[#This Row],[FECHA]])</f>
        <v>2016-8</v>
      </c>
    </row>
    <row r="848" spans="1:4" x14ac:dyDescent="0.25">
      <c r="A848" t="s">
        <v>1439</v>
      </c>
      <c r="B848">
        <v>1</v>
      </c>
      <c r="C848" s="56">
        <v>42614</v>
      </c>
      <c r="D848" s="3" t="str">
        <f>YEAR(Datos_Consumo[[#This Row],[FECHA]])&amp;"-"&amp;MONTH(Datos_Consumo[[#This Row],[FECHA]])</f>
        <v>2016-9</v>
      </c>
    </row>
    <row r="849" spans="1:4" x14ac:dyDescent="0.25">
      <c r="A849" t="s">
        <v>1440</v>
      </c>
      <c r="B849">
        <v>2</v>
      </c>
      <c r="C849" s="56">
        <v>42491</v>
      </c>
      <c r="D849" s="3" t="str">
        <f>YEAR(Datos_Consumo[[#This Row],[FECHA]])&amp;"-"&amp;MONTH(Datos_Consumo[[#This Row],[FECHA]])</f>
        <v>2016-5</v>
      </c>
    </row>
    <row r="850" spans="1:4" x14ac:dyDescent="0.25">
      <c r="A850" t="s">
        <v>1440</v>
      </c>
      <c r="B850">
        <v>4</v>
      </c>
      <c r="C850" s="56">
        <v>42522</v>
      </c>
      <c r="D850" s="3" t="str">
        <f>YEAR(Datos_Consumo[[#This Row],[FECHA]])&amp;"-"&amp;MONTH(Datos_Consumo[[#This Row],[FECHA]])</f>
        <v>2016-6</v>
      </c>
    </row>
    <row r="851" spans="1:4" x14ac:dyDescent="0.25">
      <c r="A851" t="s">
        <v>1440</v>
      </c>
      <c r="B851">
        <v>4</v>
      </c>
      <c r="C851" s="56">
        <v>42552</v>
      </c>
      <c r="D851" s="3" t="str">
        <f>YEAR(Datos_Consumo[[#This Row],[FECHA]])&amp;"-"&amp;MONTH(Datos_Consumo[[#This Row],[FECHA]])</f>
        <v>2016-7</v>
      </c>
    </row>
    <row r="852" spans="1:4" x14ac:dyDescent="0.25">
      <c r="A852" t="s">
        <v>1440</v>
      </c>
      <c r="B852">
        <v>2</v>
      </c>
      <c r="C852" s="56">
        <v>42583</v>
      </c>
      <c r="D852" s="3" t="str">
        <f>YEAR(Datos_Consumo[[#This Row],[FECHA]])&amp;"-"&amp;MONTH(Datos_Consumo[[#This Row],[FECHA]])</f>
        <v>2016-8</v>
      </c>
    </row>
    <row r="853" spans="1:4" x14ac:dyDescent="0.25">
      <c r="A853" t="s">
        <v>2082</v>
      </c>
      <c r="B853">
        <v>7</v>
      </c>
      <c r="C853" s="56">
        <v>42522</v>
      </c>
      <c r="D853" s="3" t="str">
        <f>YEAR(Datos_Consumo[[#This Row],[FECHA]])&amp;"-"&amp;MONTH(Datos_Consumo[[#This Row],[FECHA]])</f>
        <v>2016-6</v>
      </c>
    </row>
    <row r="854" spans="1:4" x14ac:dyDescent="0.25">
      <c r="A854" t="s">
        <v>2082</v>
      </c>
      <c r="B854">
        <v>7</v>
      </c>
      <c r="C854" s="56">
        <v>42552</v>
      </c>
      <c r="D854" s="3" t="str">
        <f>YEAR(Datos_Consumo[[#This Row],[FECHA]])&amp;"-"&amp;MONTH(Datos_Consumo[[#This Row],[FECHA]])</f>
        <v>2016-7</v>
      </c>
    </row>
    <row r="855" spans="1:4" x14ac:dyDescent="0.25">
      <c r="A855" t="s">
        <v>2084</v>
      </c>
      <c r="B855">
        <v>3</v>
      </c>
      <c r="C855" s="56">
        <v>42522</v>
      </c>
      <c r="D855" s="3" t="str">
        <f>YEAR(Datos_Consumo[[#This Row],[FECHA]])&amp;"-"&amp;MONTH(Datos_Consumo[[#This Row],[FECHA]])</f>
        <v>2016-6</v>
      </c>
    </row>
    <row r="856" spans="1:4" x14ac:dyDescent="0.25">
      <c r="A856" t="s">
        <v>2084</v>
      </c>
      <c r="B856">
        <v>3</v>
      </c>
      <c r="C856" s="56">
        <v>42552</v>
      </c>
      <c r="D856" s="3" t="str">
        <f>YEAR(Datos_Consumo[[#This Row],[FECHA]])&amp;"-"&amp;MONTH(Datos_Consumo[[#This Row],[FECHA]])</f>
        <v>2016-7</v>
      </c>
    </row>
    <row r="857" spans="1:4" x14ac:dyDescent="0.25">
      <c r="A857" t="s">
        <v>1479</v>
      </c>
      <c r="B857">
        <v>1</v>
      </c>
      <c r="C857" s="56">
        <v>42491</v>
      </c>
      <c r="D857" s="3" t="str">
        <f>YEAR(Datos_Consumo[[#This Row],[FECHA]])&amp;"-"&amp;MONTH(Datos_Consumo[[#This Row],[FECHA]])</f>
        <v>2016-5</v>
      </c>
    </row>
    <row r="858" spans="1:4" x14ac:dyDescent="0.25">
      <c r="A858" t="s">
        <v>1479</v>
      </c>
      <c r="B858">
        <v>1</v>
      </c>
      <c r="C858" s="56">
        <v>42522</v>
      </c>
      <c r="D858" s="3" t="str">
        <f>YEAR(Datos_Consumo[[#This Row],[FECHA]])&amp;"-"&amp;MONTH(Datos_Consumo[[#This Row],[FECHA]])</f>
        <v>2016-6</v>
      </c>
    </row>
    <row r="859" spans="1:4" x14ac:dyDescent="0.25">
      <c r="A859" t="s">
        <v>1480</v>
      </c>
      <c r="B859">
        <v>4</v>
      </c>
      <c r="C859" s="56">
        <v>42522</v>
      </c>
      <c r="D859" s="3" t="str">
        <f>YEAR(Datos_Consumo[[#This Row],[FECHA]])&amp;"-"&amp;MONTH(Datos_Consumo[[#This Row],[FECHA]])</f>
        <v>2016-6</v>
      </c>
    </row>
    <row r="860" spans="1:4" x14ac:dyDescent="0.25">
      <c r="A860" t="s">
        <v>1480</v>
      </c>
      <c r="B860">
        <v>3</v>
      </c>
      <c r="C860" s="56">
        <v>42552</v>
      </c>
      <c r="D860" s="3" t="str">
        <f>YEAR(Datos_Consumo[[#This Row],[FECHA]])&amp;"-"&amp;MONTH(Datos_Consumo[[#This Row],[FECHA]])</f>
        <v>2016-7</v>
      </c>
    </row>
    <row r="861" spans="1:4" x14ac:dyDescent="0.25">
      <c r="A861" t="s">
        <v>2094</v>
      </c>
      <c r="B861">
        <v>1</v>
      </c>
      <c r="C861" s="56">
        <v>42522</v>
      </c>
      <c r="D861" s="3" t="str">
        <f>YEAR(Datos_Consumo[[#This Row],[FECHA]])&amp;"-"&amp;MONTH(Datos_Consumo[[#This Row],[FECHA]])</f>
        <v>2016-6</v>
      </c>
    </row>
    <row r="862" spans="1:4" x14ac:dyDescent="0.25">
      <c r="A862" t="s">
        <v>2094</v>
      </c>
      <c r="B862">
        <v>1</v>
      </c>
      <c r="C862" s="56">
        <v>42552</v>
      </c>
      <c r="D862" s="3" t="str">
        <f>YEAR(Datos_Consumo[[#This Row],[FECHA]])&amp;"-"&amp;MONTH(Datos_Consumo[[#This Row],[FECHA]])</f>
        <v>2016-7</v>
      </c>
    </row>
    <row r="863" spans="1:4" x14ac:dyDescent="0.25">
      <c r="A863" t="s">
        <v>2094</v>
      </c>
      <c r="B863">
        <v>1</v>
      </c>
      <c r="C863" s="56">
        <v>42583</v>
      </c>
      <c r="D863" s="3" t="str">
        <f>YEAR(Datos_Consumo[[#This Row],[FECHA]])&amp;"-"&amp;MONTH(Datos_Consumo[[#This Row],[FECHA]])</f>
        <v>2016-8</v>
      </c>
    </row>
    <row r="864" spans="1:4" x14ac:dyDescent="0.25">
      <c r="A864" t="s">
        <v>2096</v>
      </c>
      <c r="B864">
        <v>1</v>
      </c>
      <c r="C864" s="56">
        <v>42522</v>
      </c>
      <c r="D864" s="3" t="str">
        <f>YEAR(Datos_Consumo[[#This Row],[FECHA]])&amp;"-"&amp;MONTH(Datos_Consumo[[#This Row],[FECHA]])</f>
        <v>2016-6</v>
      </c>
    </row>
    <row r="865" spans="1:4" x14ac:dyDescent="0.25">
      <c r="A865" t="s">
        <v>2096</v>
      </c>
      <c r="B865">
        <v>1</v>
      </c>
      <c r="C865" s="56">
        <v>42552</v>
      </c>
      <c r="D865" s="3" t="str">
        <f>YEAR(Datos_Consumo[[#This Row],[FECHA]])&amp;"-"&amp;MONTH(Datos_Consumo[[#This Row],[FECHA]])</f>
        <v>2016-7</v>
      </c>
    </row>
    <row r="866" spans="1:4" x14ac:dyDescent="0.25">
      <c r="A866" t="s">
        <v>1441</v>
      </c>
      <c r="B866">
        <v>1</v>
      </c>
      <c r="C866" s="56">
        <v>42522</v>
      </c>
      <c r="D866" s="3" t="str">
        <f>YEAR(Datos_Consumo[[#This Row],[FECHA]])&amp;"-"&amp;MONTH(Datos_Consumo[[#This Row],[FECHA]])</f>
        <v>2016-6</v>
      </c>
    </row>
    <row r="867" spans="1:4" x14ac:dyDescent="0.25">
      <c r="A867" t="s">
        <v>2107</v>
      </c>
      <c r="B867">
        <v>1</v>
      </c>
      <c r="C867" s="56">
        <v>42522</v>
      </c>
      <c r="D867" s="3" t="str">
        <f>YEAR(Datos_Consumo[[#This Row],[FECHA]])&amp;"-"&amp;MONTH(Datos_Consumo[[#This Row],[FECHA]])</f>
        <v>2016-6</v>
      </c>
    </row>
    <row r="868" spans="1:4" x14ac:dyDescent="0.25">
      <c r="A868" t="s">
        <v>2109</v>
      </c>
      <c r="B868">
        <v>3</v>
      </c>
      <c r="C868" s="56">
        <v>42522</v>
      </c>
      <c r="D868" s="3" t="str">
        <f>YEAR(Datos_Consumo[[#This Row],[FECHA]])&amp;"-"&amp;MONTH(Datos_Consumo[[#This Row],[FECHA]])</f>
        <v>2016-6</v>
      </c>
    </row>
    <row r="869" spans="1:4" x14ac:dyDescent="0.25">
      <c r="A869" t="s">
        <v>2109</v>
      </c>
      <c r="B869">
        <v>3</v>
      </c>
      <c r="C869" s="56">
        <v>42552</v>
      </c>
      <c r="D869" s="3" t="str">
        <f>YEAR(Datos_Consumo[[#This Row],[FECHA]])&amp;"-"&amp;MONTH(Datos_Consumo[[#This Row],[FECHA]])</f>
        <v>2016-7</v>
      </c>
    </row>
    <row r="870" spans="1:4" x14ac:dyDescent="0.25">
      <c r="A870" t="s">
        <v>2112</v>
      </c>
      <c r="B870">
        <v>2</v>
      </c>
      <c r="C870" s="56">
        <v>42522</v>
      </c>
      <c r="D870" s="3" t="str">
        <f>YEAR(Datos_Consumo[[#This Row],[FECHA]])&amp;"-"&amp;MONTH(Datos_Consumo[[#This Row],[FECHA]])</f>
        <v>2016-6</v>
      </c>
    </row>
    <row r="871" spans="1:4" x14ac:dyDescent="0.25">
      <c r="A871" t="s">
        <v>2112</v>
      </c>
      <c r="B871">
        <v>2</v>
      </c>
      <c r="C871" s="56">
        <v>42552</v>
      </c>
      <c r="D871" s="3" t="str">
        <f>YEAR(Datos_Consumo[[#This Row],[FECHA]])&amp;"-"&amp;MONTH(Datos_Consumo[[#This Row],[FECHA]])</f>
        <v>2016-7</v>
      </c>
    </row>
    <row r="872" spans="1:4" x14ac:dyDescent="0.25">
      <c r="A872" t="s">
        <v>2112</v>
      </c>
      <c r="B872">
        <v>1</v>
      </c>
      <c r="C872" s="56">
        <v>42583</v>
      </c>
      <c r="D872" s="3" t="str">
        <f>YEAR(Datos_Consumo[[#This Row],[FECHA]])&amp;"-"&amp;MONTH(Datos_Consumo[[#This Row],[FECHA]])</f>
        <v>2016-8</v>
      </c>
    </row>
    <row r="873" spans="1:4" x14ac:dyDescent="0.25">
      <c r="A873" t="s">
        <v>2112</v>
      </c>
      <c r="B873">
        <v>1</v>
      </c>
      <c r="C873" s="56">
        <v>42614</v>
      </c>
      <c r="D873" s="3" t="str">
        <f>YEAR(Datos_Consumo[[#This Row],[FECHA]])&amp;"-"&amp;MONTH(Datos_Consumo[[#This Row],[FECHA]])</f>
        <v>2016-9</v>
      </c>
    </row>
    <row r="874" spans="1:4" x14ac:dyDescent="0.25">
      <c r="A874" t="s">
        <v>2116</v>
      </c>
      <c r="B874">
        <v>1</v>
      </c>
      <c r="C874" s="56">
        <v>42522</v>
      </c>
      <c r="D874" s="3" t="str">
        <f>YEAR(Datos_Consumo[[#This Row],[FECHA]])&amp;"-"&amp;MONTH(Datos_Consumo[[#This Row],[FECHA]])</f>
        <v>2016-6</v>
      </c>
    </row>
    <row r="875" spans="1:4" x14ac:dyDescent="0.25">
      <c r="A875" t="s">
        <v>2116</v>
      </c>
      <c r="B875">
        <v>1</v>
      </c>
      <c r="C875" s="56">
        <v>42552</v>
      </c>
      <c r="D875" s="3" t="str">
        <f>YEAR(Datos_Consumo[[#This Row],[FECHA]])&amp;"-"&amp;MONTH(Datos_Consumo[[#This Row],[FECHA]])</f>
        <v>2016-7</v>
      </c>
    </row>
    <row r="876" spans="1:4" x14ac:dyDescent="0.25">
      <c r="A876" t="s">
        <v>2118</v>
      </c>
      <c r="B876">
        <v>1</v>
      </c>
      <c r="C876" s="56">
        <v>42522</v>
      </c>
      <c r="D876" s="3" t="str">
        <f>YEAR(Datos_Consumo[[#This Row],[FECHA]])&amp;"-"&amp;MONTH(Datos_Consumo[[#This Row],[FECHA]])</f>
        <v>2016-6</v>
      </c>
    </row>
    <row r="877" spans="1:4" x14ac:dyDescent="0.25">
      <c r="A877" t="s">
        <v>2118</v>
      </c>
      <c r="B877">
        <v>1</v>
      </c>
      <c r="C877" s="56">
        <v>42552</v>
      </c>
      <c r="D877" s="3" t="str">
        <f>YEAR(Datos_Consumo[[#This Row],[FECHA]])&amp;"-"&amp;MONTH(Datos_Consumo[[#This Row],[FECHA]])</f>
        <v>2016-7</v>
      </c>
    </row>
    <row r="878" spans="1:4" x14ac:dyDescent="0.25">
      <c r="A878" t="s">
        <v>2120</v>
      </c>
      <c r="B878">
        <v>1</v>
      </c>
      <c r="C878" s="56">
        <v>42522</v>
      </c>
      <c r="D878" s="3" t="str">
        <f>YEAR(Datos_Consumo[[#This Row],[FECHA]])&amp;"-"&amp;MONTH(Datos_Consumo[[#This Row],[FECHA]])</f>
        <v>2016-6</v>
      </c>
    </row>
    <row r="879" spans="1:4" x14ac:dyDescent="0.25">
      <c r="A879" t="s">
        <v>2120</v>
      </c>
      <c r="B879">
        <v>1</v>
      </c>
      <c r="C879" s="56">
        <v>42552</v>
      </c>
      <c r="D879" s="3" t="str">
        <f>YEAR(Datos_Consumo[[#This Row],[FECHA]])&amp;"-"&amp;MONTH(Datos_Consumo[[#This Row],[FECHA]])</f>
        <v>2016-7</v>
      </c>
    </row>
    <row r="880" spans="1:4" x14ac:dyDescent="0.25">
      <c r="A880" t="s">
        <v>2122</v>
      </c>
      <c r="B880">
        <v>5</v>
      </c>
      <c r="C880" s="56">
        <v>42522</v>
      </c>
      <c r="D880" s="3" t="str">
        <f>YEAR(Datos_Consumo[[#This Row],[FECHA]])&amp;"-"&amp;MONTH(Datos_Consumo[[#This Row],[FECHA]])</f>
        <v>2016-6</v>
      </c>
    </row>
    <row r="881" spans="1:4" x14ac:dyDescent="0.25">
      <c r="A881" t="s">
        <v>2122</v>
      </c>
      <c r="B881">
        <v>5</v>
      </c>
      <c r="C881" s="56">
        <v>42552</v>
      </c>
      <c r="D881" s="3" t="str">
        <f>YEAR(Datos_Consumo[[#This Row],[FECHA]])&amp;"-"&amp;MONTH(Datos_Consumo[[#This Row],[FECHA]])</f>
        <v>2016-7</v>
      </c>
    </row>
    <row r="882" spans="1:4" x14ac:dyDescent="0.25">
      <c r="A882" t="s">
        <v>2124</v>
      </c>
      <c r="B882">
        <v>2</v>
      </c>
      <c r="C882" s="56">
        <v>42522</v>
      </c>
      <c r="D882" s="3" t="str">
        <f>YEAR(Datos_Consumo[[#This Row],[FECHA]])&amp;"-"&amp;MONTH(Datos_Consumo[[#This Row],[FECHA]])</f>
        <v>2016-6</v>
      </c>
    </row>
    <row r="883" spans="1:4" x14ac:dyDescent="0.25">
      <c r="A883" t="s">
        <v>2124</v>
      </c>
      <c r="B883">
        <v>2</v>
      </c>
      <c r="C883" s="56">
        <v>42552</v>
      </c>
      <c r="D883" s="3" t="str">
        <f>YEAR(Datos_Consumo[[#This Row],[FECHA]])&amp;"-"&amp;MONTH(Datos_Consumo[[#This Row],[FECHA]])</f>
        <v>2016-7</v>
      </c>
    </row>
    <row r="884" spans="1:4" x14ac:dyDescent="0.25">
      <c r="A884" t="s">
        <v>1481</v>
      </c>
      <c r="B884">
        <v>1</v>
      </c>
      <c r="C884" s="56">
        <v>42491</v>
      </c>
      <c r="D884" s="3" t="str">
        <f>YEAR(Datos_Consumo[[#This Row],[FECHA]])&amp;"-"&amp;MONTH(Datos_Consumo[[#This Row],[FECHA]])</f>
        <v>2016-5</v>
      </c>
    </row>
    <row r="885" spans="1:4" x14ac:dyDescent="0.25">
      <c r="A885" t="s">
        <v>1481</v>
      </c>
      <c r="B885">
        <v>3</v>
      </c>
      <c r="C885" s="56">
        <v>42522</v>
      </c>
      <c r="D885" s="3" t="str">
        <f>YEAR(Datos_Consumo[[#This Row],[FECHA]])&amp;"-"&amp;MONTH(Datos_Consumo[[#This Row],[FECHA]])</f>
        <v>2016-6</v>
      </c>
    </row>
    <row r="886" spans="1:4" x14ac:dyDescent="0.25">
      <c r="A886" t="s">
        <v>1481</v>
      </c>
      <c r="B886">
        <v>3</v>
      </c>
      <c r="C886" s="56">
        <v>42552</v>
      </c>
      <c r="D886" s="3" t="str">
        <f>YEAR(Datos_Consumo[[#This Row],[FECHA]])&amp;"-"&amp;MONTH(Datos_Consumo[[#This Row],[FECHA]])</f>
        <v>2016-7</v>
      </c>
    </row>
    <row r="887" spans="1:4" x14ac:dyDescent="0.25">
      <c r="A887" t="s">
        <v>2127</v>
      </c>
      <c r="B887">
        <v>2</v>
      </c>
      <c r="C887" s="56">
        <v>42522</v>
      </c>
      <c r="D887" s="3" t="str">
        <f>YEAR(Datos_Consumo[[#This Row],[FECHA]])&amp;"-"&amp;MONTH(Datos_Consumo[[#This Row],[FECHA]])</f>
        <v>2016-6</v>
      </c>
    </row>
    <row r="888" spans="1:4" x14ac:dyDescent="0.25">
      <c r="A888" t="s">
        <v>2127</v>
      </c>
      <c r="B888">
        <v>2</v>
      </c>
      <c r="C888" s="56">
        <v>42552</v>
      </c>
      <c r="D888" s="3" t="str">
        <f>YEAR(Datos_Consumo[[#This Row],[FECHA]])&amp;"-"&amp;MONTH(Datos_Consumo[[#This Row],[FECHA]])</f>
        <v>2016-7</v>
      </c>
    </row>
    <row r="889" spans="1:4" x14ac:dyDescent="0.25">
      <c r="A889" t="s">
        <v>1482</v>
      </c>
      <c r="B889">
        <v>4</v>
      </c>
      <c r="C889" s="56">
        <v>42522</v>
      </c>
      <c r="D889" s="3" t="str">
        <f>YEAR(Datos_Consumo[[#This Row],[FECHA]])&amp;"-"&amp;MONTH(Datos_Consumo[[#This Row],[FECHA]])</f>
        <v>2016-6</v>
      </c>
    </row>
    <row r="890" spans="1:4" x14ac:dyDescent="0.25">
      <c r="A890" t="s">
        <v>1482</v>
      </c>
      <c r="B890">
        <v>4</v>
      </c>
      <c r="C890" s="56">
        <v>42552</v>
      </c>
      <c r="D890" s="3" t="str">
        <f>YEAR(Datos_Consumo[[#This Row],[FECHA]])&amp;"-"&amp;MONTH(Datos_Consumo[[#This Row],[FECHA]])</f>
        <v>2016-7</v>
      </c>
    </row>
    <row r="891" spans="1:4" x14ac:dyDescent="0.25">
      <c r="A891" t="s">
        <v>1483</v>
      </c>
      <c r="B891">
        <v>1</v>
      </c>
      <c r="C891" s="56">
        <v>42522</v>
      </c>
      <c r="D891" s="3" t="str">
        <f>YEAR(Datos_Consumo[[#This Row],[FECHA]])&amp;"-"&amp;MONTH(Datos_Consumo[[#This Row],[FECHA]])</f>
        <v>2016-6</v>
      </c>
    </row>
    <row r="892" spans="1:4" x14ac:dyDescent="0.25">
      <c r="A892" t="s">
        <v>1484</v>
      </c>
      <c r="B892">
        <v>1</v>
      </c>
      <c r="C892" s="56">
        <v>42522</v>
      </c>
      <c r="D892" s="3" t="str">
        <f>YEAR(Datos_Consumo[[#This Row],[FECHA]])&amp;"-"&amp;MONTH(Datos_Consumo[[#This Row],[FECHA]])</f>
        <v>2016-6</v>
      </c>
    </row>
    <row r="893" spans="1:4" x14ac:dyDescent="0.25">
      <c r="A893" t="s">
        <v>1442</v>
      </c>
      <c r="B893">
        <v>1</v>
      </c>
      <c r="C893" s="56">
        <v>42522</v>
      </c>
      <c r="D893" s="3" t="str">
        <f>YEAR(Datos_Consumo[[#This Row],[FECHA]])&amp;"-"&amp;MONTH(Datos_Consumo[[#This Row],[FECHA]])</f>
        <v>2016-6</v>
      </c>
    </row>
    <row r="894" spans="1:4" x14ac:dyDescent="0.25">
      <c r="A894" t="s">
        <v>2218</v>
      </c>
      <c r="B894">
        <v>2</v>
      </c>
      <c r="C894" s="56">
        <v>42522</v>
      </c>
      <c r="D894" s="3" t="str">
        <f>YEAR(Datos_Consumo[[#This Row],[FECHA]])&amp;"-"&amp;MONTH(Datos_Consumo[[#This Row],[FECHA]])</f>
        <v>2016-6</v>
      </c>
    </row>
    <row r="895" spans="1:4" x14ac:dyDescent="0.25">
      <c r="A895" t="s">
        <v>2237</v>
      </c>
      <c r="B895">
        <v>1</v>
      </c>
      <c r="C895" s="56">
        <v>42583</v>
      </c>
      <c r="D895" s="3" t="str">
        <f>YEAR(Datos_Consumo[[#This Row],[FECHA]])&amp;"-"&amp;MONTH(Datos_Consumo[[#This Row],[FECHA]])</f>
        <v>2016-8</v>
      </c>
    </row>
    <row r="896" spans="1:4" x14ac:dyDescent="0.25">
      <c r="A896" t="s">
        <v>1485</v>
      </c>
      <c r="B896">
        <v>2</v>
      </c>
      <c r="C896" s="56">
        <v>42522</v>
      </c>
      <c r="D896" s="3" t="str">
        <f>YEAR(Datos_Consumo[[#This Row],[FECHA]])&amp;"-"&amp;MONTH(Datos_Consumo[[#This Row],[FECHA]])</f>
        <v>2016-6</v>
      </c>
    </row>
    <row r="897" spans="1:4" x14ac:dyDescent="0.25">
      <c r="A897" t="s">
        <v>1486</v>
      </c>
      <c r="B897">
        <v>1</v>
      </c>
      <c r="C897" s="56">
        <v>42522</v>
      </c>
      <c r="D897" s="3" t="str">
        <f>YEAR(Datos_Consumo[[#This Row],[FECHA]])&amp;"-"&amp;MONTH(Datos_Consumo[[#This Row],[FECHA]])</f>
        <v>2016-6</v>
      </c>
    </row>
    <row r="898" spans="1:4" x14ac:dyDescent="0.25">
      <c r="A898" t="s">
        <v>1488</v>
      </c>
      <c r="B898">
        <v>1</v>
      </c>
      <c r="C898" s="56">
        <v>42552</v>
      </c>
      <c r="D898" s="3" t="str">
        <f>YEAR(Datos_Consumo[[#This Row],[FECHA]])&amp;"-"&amp;MONTH(Datos_Consumo[[#This Row],[FECHA]])</f>
        <v>2016-7</v>
      </c>
    </row>
    <row r="899" spans="1:4" x14ac:dyDescent="0.25">
      <c r="A899" t="s">
        <v>2277</v>
      </c>
      <c r="B899">
        <v>1</v>
      </c>
      <c r="C899" s="56">
        <v>42583</v>
      </c>
      <c r="D899" s="3" t="str">
        <f>YEAR(Datos_Consumo[[#This Row],[FECHA]])&amp;"-"&amp;MONTH(Datos_Consumo[[#This Row],[FECHA]])</f>
        <v>2016-8</v>
      </c>
    </row>
    <row r="900" spans="1:4" x14ac:dyDescent="0.25">
      <c r="A900" t="s">
        <v>1489</v>
      </c>
      <c r="B900">
        <v>1</v>
      </c>
      <c r="C900" s="56">
        <v>42491</v>
      </c>
      <c r="D900" s="3" t="str">
        <f>YEAR(Datos_Consumo[[#This Row],[FECHA]])&amp;"-"&amp;MONTH(Datos_Consumo[[#This Row],[FECHA]])</f>
        <v>2016-5</v>
      </c>
    </row>
    <row r="901" spans="1:4" x14ac:dyDescent="0.25">
      <c r="A901" t="s">
        <v>2291</v>
      </c>
      <c r="B901">
        <v>1</v>
      </c>
      <c r="C901" s="56">
        <v>42552</v>
      </c>
      <c r="D901" s="3" t="str">
        <f>YEAR(Datos_Consumo[[#This Row],[FECHA]])&amp;"-"&amp;MONTH(Datos_Consumo[[#This Row],[FECHA]])</f>
        <v>2016-7</v>
      </c>
    </row>
    <row r="902" spans="1:4" x14ac:dyDescent="0.25">
      <c r="A902" t="s">
        <v>2291</v>
      </c>
      <c r="B902">
        <v>1</v>
      </c>
      <c r="C902" s="56">
        <v>42583</v>
      </c>
      <c r="D902" s="3" t="str">
        <f>YEAR(Datos_Consumo[[#This Row],[FECHA]])&amp;"-"&amp;MONTH(Datos_Consumo[[#This Row],[FECHA]])</f>
        <v>2016-8</v>
      </c>
    </row>
    <row r="903" spans="1:4" x14ac:dyDescent="0.25">
      <c r="A903" t="s">
        <v>1490</v>
      </c>
      <c r="B903">
        <v>1</v>
      </c>
      <c r="C903" s="56">
        <v>42491</v>
      </c>
      <c r="D903" s="3" t="str">
        <f>YEAR(Datos_Consumo[[#This Row],[FECHA]])&amp;"-"&amp;MONTH(Datos_Consumo[[#This Row],[FECHA]])</f>
        <v>2016-5</v>
      </c>
    </row>
    <row r="904" spans="1:4" x14ac:dyDescent="0.25">
      <c r="A904" t="s">
        <v>1490</v>
      </c>
      <c r="B904">
        <v>1</v>
      </c>
      <c r="C904" s="56">
        <v>42522</v>
      </c>
      <c r="D904" s="3" t="str">
        <f>YEAR(Datos_Consumo[[#This Row],[FECHA]])&amp;"-"&amp;MONTH(Datos_Consumo[[#This Row],[FECHA]])</f>
        <v>2016-6</v>
      </c>
    </row>
    <row r="905" spans="1:4" x14ac:dyDescent="0.25">
      <c r="A905" t="s">
        <v>2296</v>
      </c>
      <c r="B905">
        <v>1</v>
      </c>
      <c r="C905" s="56">
        <v>42522</v>
      </c>
      <c r="D905" s="3" t="str">
        <f>YEAR(Datos_Consumo[[#This Row],[FECHA]])&amp;"-"&amp;MONTH(Datos_Consumo[[#This Row],[FECHA]])</f>
        <v>2016-6</v>
      </c>
    </row>
    <row r="906" spans="1:4" x14ac:dyDescent="0.25">
      <c r="A906" t="s">
        <v>1491</v>
      </c>
      <c r="B906">
        <v>1</v>
      </c>
      <c r="C906" s="56">
        <v>42552</v>
      </c>
      <c r="D906" s="3" t="str">
        <f>YEAR(Datos_Consumo[[#This Row],[FECHA]])&amp;"-"&amp;MONTH(Datos_Consumo[[#This Row],[FECHA]])</f>
        <v>2016-7</v>
      </c>
    </row>
    <row r="907" spans="1:4" x14ac:dyDescent="0.25">
      <c r="A907" t="s">
        <v>1492</v>
      </c>
      <c r="B907">
        <v>1</v>
      </c>
      <c r="C907" s="56">
        <v>42522</v>
      </c>
      <c r="D907" s="3" t="str">
        <f>YEAR(Datos_Consumo[[#This Row],[FECHA]])&amp;"-"&amp;MONTH(Datos_Consumo[[#This Row],[FECHA]])</f>
        <v>2016-6</v>
      </c>
    </row>
    <row r="908" spans="1:4" x14ac:dyDescent="0.25">
      <c r="A908" t="s">
        <v>1493</v>
      </c>
      <c r="B908">
        <v>1</v>
      </c>
      <c r="C908" s="56">
        <v>42491</v>
      </c>
      <c r="D908" s="3" t="str">
        <f>YEAR(Datos_Consumo[[#This Row],[FECHA]])&amp;"-"&amp;MONTH(Datos_Consumo[[#This Row],[FECHA]])</f>
        <v>2016-5</v>
      </c>
    </row>
    <row r="909" spans="1:4" x14ac:dyDescent="0.25">
      <c r="A909" t="s">
        <v>1494</v>
      </c>
      <c r="B909">
        <v>1</v>
      </c>
      <c r="C909" s="56">
        <v>42522</v>
      </c>
      <c r="D909" s="3" t="str">
        <f>YEAR(Datos_Consumo[[#This Row],[FECHA]])&amp;"-"&amp;MONTH(Datos_Consumo[[#This Row],[FECHA]])</f>
        <v>2016-6</v>
      </c>
    </row>
    <row r="910" spans="1:4" x14ac:dyDescent="0.25">
      <c r="A910" t="s">
        <v>2321</v>
      </c>
      <c r="B910">
        <v>1</v>
      </c>
      <c r="C910" s="56">
        <v>42522</v>
      </c>
      <c r="D910" s="3" t="str">
        <f>YEAR(Datos_Consumo[[#This Row],[FECHA]])&amp;"-"&amp;MONTH(Datos_Consumo[[#This Row],[FECHA]])</f>
        <v>2016-6</v>
      </c>
    </row>
    <row r="911" spans="1:4" x14ac:dyDescent="0.25">
      <c r="A911" t="s">
        <v>1444</v>
      </c>
      <c r="B911">
        <v>2</v>
      </c>
      <c r="C911" s="56">
        <v>42522</v>
      </c>
      <c r="D911" s="3" t="str">
        <f>YEAR(Datos_Consumo[[#This Row],[FECHA]])&amp;"-"&amp;MONTH(Datos_Consumo[[#This Row],[FECHA]])</f>
        <v>2016-6</v>
      </c>
    </row>
    <row r="912" spans="1:4" x14ac:dyDescent="0.25">
      <c r="A912" t="s">
        <v>1444</v>
      </c>
      <c r="B912">
        <v>1</v>
      </c>
      <c r="C912" s="56">
        <v>42583</v>
      </c>
      <c r="D912" s="3" t="str">
        <f>YEAR(Datos_Consumo[[#This Row],[FECHA]])&amp;"-"&amp;MONTH(Datos_Consumo[[#This Row],[FECHA]])</f>
        <v>2016-8</v>
      </c>
    </row>
    <row r="913" spans="1:4" x14ac:dyDescent="0.25">
      <c r="A913" t="s">
        <v>1445</v>
      </c>
      <c r="B913">
        <v>1</v>
      </c>
      <c r="C913" s="56">
        <v>42491</v>
      </c>
      <c r="D913" s="3" t="str">
        <f>YEAR(Datos_Consumo[[#This Row],[FECHA]])&amp;"-"&amp;MONTH(Datos_Consumo[[#This Row],[FECHA]])</f>
        <v>2016-5</v>
      </c>
    </row>
    <row r="914" spans="1:4" x14ac:dyDescent="0.25">
      <c r="A914" t="s">
        <v>2326</v>
      </c>
      <c r="B914">
        <v>1</v>
      </c>
      <c r="C914" s="56">
        <v>42522</v>
      </c>
      <c r="D914" s="3" t="str">
        <f>YEAR(Datos_Consumo[[#This Row],[FECHA]])&amp;"-"&amp;MONTH(Datos_Consumo[[#This Row],[FECHA]])</f>
        <v>2016-6</v>
      </c>
    </row>
    <row r="915" spans="1:4" x14ac:dyDescent="0.25">
      <c r="A915" t="s">
        <v>2330</v>
      </c>
      <c r="B915">
        <v>1</v>
      </c>
      <c r="C915" s="56">
        <v>42522</v>
      </c>
      <c r="D915" s="3" t="str">
        <f>YEAR(Datos_Consumo[[#This Row],[FECHA]])&amp;"-"&amp;MONTH(Datos_Consumo[[#This Row],[FECHA]])</f>
        <v>2016-6</v>
      </c>
    </row>
    <row r="916" spans="1:4" x14ac:dyDescent="0.25">
      <c r="A916" t="s">
        <v>2345</v>
      </c>
      <c r="B916">
        <v>1</v>
      </c>
      <c r="C916" s="56">
        <v>42552</v>
      </c>
      <c r="D916" s="3" t="str">
        <f>YEAR(Datos_Consumo[[#This Row],[FECHA]])&amp;"-"&amp;MONTH(Datos_Consumo[[#This Row],[FECHA]])</f>
        <v>2016-7</v>
      </c>
    </row>
    <row r="917" spans="1:4" x14ac:dyDescent="0.25">
      <c r="A917" t="s">
        <v>1496</v>
      </c>
      <c r="B917">
        <v>1</v>
      </c>
      <c r="C917" s="56">
        <v>42491</v>
      </c>
      <c r="D917" s="3" t="str">
        <f>YEAR(Datos_Consumo[[#This Row],[FECHA]])&amp;"-"&amp;MONTH(Datos_Consumo[[#This Row],[FECHA]])</f>
        <v>2016-5</v>
      </c>
    </row>
    <row r="918" spans="1:4" x14ac:dyDescent="0.25">
      <c r="A918" t="s">
        <v>1497</v>
      </c>
      <c r="B918">
        <v>1</v>
      </c>
      <c r="C918" s="56">
        <v>42491</v>
      </c>
      <c r="D918" s="3" t="str">
        <f>YEAR(Datos_Consumo[[#This Row],[FECHA]])&amp;"-"&amp;MONTH(Datos_Consumo[[#This Row],[FECHA]])</f>
        <v>2016-5</v>
      </c>
    </row>
    <row r="919" spans="1:4" x14ac:dyDescent="0.25">
      <c r="A919" t="s">
        <v>1497</v>
      </c>
      <c r="B919">
        <v>2</v>
      </c>
      <c r="C919" s="56">
        <v>42522</v>
      </c>
      <c r="D919" s="3" t="str">
        <f>YEAR(Datos_Consumo[[#This Row],[FECHA]])&amp;"-"&amp;MONTH(Datos_Consumo[[#This Row],[FECHA]])</f>
        <v>2016-6</v>
      </c>
    </row>
    <row r="920" spans="1:4" x14ac:dyDescent="0.25">
      <c r="A920" t="s">
        <v>1497</v>
      </c>
      <c r="B920">
        <v>2</v>
      </c>
      <c r="C920" s="56">
        <v>42552</v>
      </c>
      <c r="D920" s="3" t="str">
        <f>YEAR(Datos_Consumo[[#This Row],[FECHA]])&amp;"-"&amp;MONTH(Datos_Consumo[[#This Row],[FECHA]])</f>
        <v>2016-7</v>
      </c>
    </row>
    <row r="921" spans="1:4" x14ac:dyDescent="0.25">
      <c r="A921" t="s">
        <v>2355</v>
      </c>
      <c r="B921">
        <v>1</v>
      </c>
      <c r="C921" s="56">
        <v>42522</v>
      </c>
      <c r="D921" s="3" t="str">
        <f>YEAR(Datos_Consumo[[#This Row],[FECHA]])&amp;"-"&amp;MONTH(Datos_Consumo[[#This Row],[FECHA]])</f>
        <v>2016-6</v>
      </c>
    </row>
    <row r="922" spans="1:4" x14ac:dyDescent="0.25">
      <c r="A922" t="s">
        <v>2355</v>
      </c>
      <c r="B922">
        <v>1</v>
      </c>
      <c r="C922" s="56">
        <v>42552</v>
      </c>
      <c r="D922" s="3" t="str">
        <f>YEAR(Datos_Consumo[[#This Row],[FECHA]])&amp;"-"&amp;MONTH(Datos_Consumo[[#This Row],[FECHA]])</f>
        <v>2016-7</v>
      </c>
    </row>
    <row r="923" spans="1:4" x14ac:dyDescent="0.25">
      <c r="A923" t="s">
        <v>1446</v>
      </c>
      <c r="B923">
        <v>2</v>
      </c>
      <c r="C923" s="56">
        <v>42491</v>
      </c>
      <c r="D923" s="3" t="str">
        <f>YEAR(Datos_Consumo[[#This Row],[FECHA]])&amp;"-"&amp;MONTH(Datos_Consumo[[#This Row],[FECHA]])</f>
        <v>2016-5</v>
      </c>
    </row>
    <row r="924" spans="1:4" x14ac:dyDescent="0.25">
      <c r="A924" t="s">
        <v>1446</v>
      </c>
      <c r="B924">
        <v>1</v>
      </c>
      <c r="C924" s="56">
        <v>42552</v>
      </c>
      <c r="D924" s="3" t="str">
        <f>YEAR(Datos_Consumo[[#This Row],[FECHA]])&amp;"-"&amp;MONTH(Datos_Consumo[[#This Row],[FECHA]])</f>
        <v>2016-7</v>
      </c>
    </row>
    <row r="925" spans="1:4" x14ac:dyDescent="0.25">
      <c r="A925" t="s">
        <v>1448</v>
      </c>
      <c r="B925">
        <v>2</v>
      </c>
      <c r="C925" s="56">
        <v>42522</v>
      </c>
      <c r="D925" s="3" t="str">
        <f>YEAR(Datos_Consumo[[#This Row],[FECHA]])&amp;"-"&amp;MONTH(Datos_Consumo[[#This Row],[FECHA]])</f>
        <v>2016-6</v>
      </c>
    </row>
    <row r="926" spans="1:4" x14ac:dyDescent="0.25">
      <c r="A926" t="s">
        <v>2363</v>
      </c>
      <c r="B926">
        <v>1</v>
      </c>
      <c r="C926" s="56">
        <v>42522</v>
      </c>
      <c r="D926" s="3" t="str">
        <f>YEAR(Datos_Consumo[[#This Row],[FECHA]])&amp;"-"&amp;MONTH(Datos_Consumo[[#This Row],[FECHA]])</f>
        <v>2016-6</v>
      </c>
    </row>
    <row r="927" spans="1:4" x14ac:dyDescent="0.25">
      <c r="A927" t="s">
        <v>2365</v>
      </c>
      <c r="B927">
        <v>1</v>
      </c>
      <c r="C927" s="56">
        <v>42522</v>
      </c>
      <c r="D927" s="3" t="str">
        <f>YEAR(Datos_Consumo[[#This Row],[FECHA]])&amp;"-"&amp;MONTH(Datos_Consumo[[#This Row],[FECHA]])</f>
        <v>2016-6</v>
      </c>
    </row>
    <row r="928" spans="1:4" x14ac:dyDescent="0.25">
      <c r="A928" t="s">
        <v>2365</v>
      </c>
      <c r="B928">
        <v>1</v>
      </c>
      <c r="C928" s="56">
        <v>42552</v>
      </c>
      <c r="D928" s="3" t="str">
        <f>YEAR(Datos_Consumo[[#This Row],[FECHA]])&amp;"-"&amp;MONTH(Datos_Consumo[[#This Row],[FECHA]])</f>
        <v>2016-7</v>
      </c>
    </row>
    <row r="929" spans="1:4" x14ac:dyDescent="0.25">
      <c r="A929" t="s">
        <v>2367</v>
      </c>
      <c r="B929">
        <v>2</v>
      </c>
      <c r="C929" s="56">
        <v>42522</v>
      </c>
      <c r="D929" s="3" t="str">
        <f>YEAR(Datos_Consumo[[#This Row],[FECHA]])&amp;"-"&amp;MONTH(Datos_Consumo[[#This Row],[FECHA]])</f>
        <v>2016-6</v>
      </c>
    </row>
    <row r="930" spans="1:4" x14ac:dyDescent="0.25">
      <c r="A930" t="s">
        <v>2367</v>
      </c>
      <c r="B930">
        <v>2</v>
      </c>
      <c r="C930" s="56">
        <v>42552</v>
      </c>
      <c r="D930" s="3" t="str">
        <f>YEAR(Datos_Consumo[[#This Row],[FECHA]])&amp;"-"&amp;MONTH(Datos_Consumo[[#This Row],[FECHA]])</f>
        <v>2016-7</v>
      </c>
    </row>
    <row r="931" spans="1:4" x14ac:dyDescent="0.25">
      <c r="A931" t="s">
        <v>2369</v>
      </c>
      <c r="B931">
        <v>2</v>
      </c>
      <c r="C931" s="56">
        <v>42522</v>
      </c>
      <c r="D931" s="3" t="str">
        <f>YEAR(Datos_Consumo[[#This Row],[FECHA]])&amp;"-"&amp;MONTH(Datos_Consumo[[#This Row],[FECHA]])</f>
        <v>2016-6</v>
      </c>
    </row>
    <row r="932" spans="1:4" x14ac:dyDescent="0.25">
      <c r="A932" t="s">
        <v>2369</v>
      </c>
      <c r="B932">
        <v>2</v>
      </c>
      <c r="C932" s="56">
        <v>42552</v>
      </c>
      <c r="D932" s="3" t="str">
        <f>YEAR(Datos_Consumo[[#This Row],[FECHA]])&amp;"-"&amp;MONTH(Datos_Consumo[[#This Row],[FECHA]])</f>
        <v>2016-7</v>
      </c>
    </row>
    <row r="933" spans="1:4" x14ac:dyDescent="0.25">
      <c r="A933" t="s">
        <v>2373</v>
      </c>
      <c r="B933">
        <v>3</v>
      </c>
      <c r="C933" s="56">
        <v>42522</v>
      </c>
      <c r="D933" s="3" t="str">
        <f>YEAR(Datos_Consumo[[#This Row],[FECHA]])&amp;"-"&amp;MONTH(Datos_Consumo[[#This Row],[FECHA]])</f>
        <v>2016-6</v>
      </c>
    </row>
    <row r="934" spans="1:4" x14ac:dyDescent="0.25">
      <c r="A934" t="s">
        <v>2373</v>
      </c>
      <c r="B934">
        <v>3</v>
      </c>
      <c r="C934" s="56">
        <v>42552</v>
      </c>
      <c r="D934" s="3" t="str">
        <f>YEAR(Datos_Consumo[[#This Row],[FECHA]])&amp;"-"&amp;MONTH(Datos_Consumo[[#This Row],[FECHA]])</f>
        <v>2016-7</v>
      </c>
    </row>
    <row r="935" spans="1:4" x14ac:dyDescent="0.25">
      <c r="A935" t="s">
        <v>2375</v>
      </c>
      <c r="B935">
        <v>2</v>
      </c>
      <c r="C935" s="56">
        <v>42522</v>
      </c>
      <c r="D935" s="3" t="str">
        <f>YEAR(Datos_Consumo[[#This Row],[FECHA]])&amp;"-"&amp;MONTH(Datos_Consumo[[#This Row],[FECHA]])</f>
        <v>2016-6</v>
      </c>
    </row>
    <row r="936" spans="1:4" x14ac:dyDescent="0.25">
      <c r="A936" t="s">
        <v>2375</v>
      </c>
      <c r="B936">
        <v>2</v>
      </c>
      <c r="C936" s="56">
        <v>42552</v>
      </c>
      <c r="D936" s="3" t="str">
        <f>YEAR(Datos_Consumo[[#This Row],[FECHA]])&amp;"-"&amp;MONTH(Datos_Consumo[[#This Row],[FECHA]])</f>
        <v>2016-7</v>
      </c>
    </row>
    <row r="937" spans="1:4" x14ac:dyDescent="0.25">
      <c r="A937" t="s">
        <v>2443</v>
      </c>
      <c r="B937">
        <v>1</v>
      </c>
      <c r="C937" s="56">
        <v>42583</v>
      </c>
      <c r="D937" s="3" t="str">
        <f>YEAR(Datos_Consumo[[#This Row],[FECHA]])&amp;"-"&amp;MONTH(Datos_Consumo[[#This Row],[FECHA]])</f>
        <v>2016-8</v>
      </c>
    </row>
    <row r="938" spans="1:4" x14ac:dyDescent="0.25">
      <c r="A938" t="s">
        <v>1687</v>
      </c>
      <c r="B938">
        <v>1</v>
      </c>
      <c r="C938" s="56">
        <v>42491</v>
      </c>
      <c r="D938" s="3" t="str">
        <f>YEAR(Datos_Consumo[[#This Row],[FECHA]])&amp;"-"&amp;MONTH(Datos_Consumo[[#This Row],[FECHA]])</f>
        <v>2016-5</v>
      </c>
    </row>
    <row r="939" spans="1:4" x14ac:dyDescent="0.25">
      <c r="A939" t="s">
        <v>1687</v>
      </c>
      <c r="B939">
        <v>1</v>
      </c>
      <c r="C939" s="56">
        <v>42522</v>
      </c>
      <c r="D939" s="3" t="str">
        <f>YEAR(Datos_Consumo[[#This Row],[FECHA]])&amp;"-"&amp;MONTH(Datos_Consumo[[#This Row],[FECHA]])</f>
        <v>2016-6</v>
      </c>
    </row>
    <row r="940" spans="1:4" x14ac:dyDescent="0.25">
      <c r="A940" t="s">
        <v>1688</v>
      </c>
      <c r="B940">
        <v>5</v>
      </c>
      <c r="C940" s="56">
        <v>42491</v>
      </c>
      <c r="D940" s="3" t="str">
        <f>YEAR(Datos_Consumo[[#This Row],[FECHA]])&amp;"-"&amp;MONTH(Datos_Consumo[[#This Row],[FECHA]])</f>
        <v>2016-5</v>
      </c>
    </row>
    <row r="941" spans="1:4" x14ac:dyDescent="0.25">
      <c r="A941" t="s">
        <v>1688</v>
      </c>
      <c r="B941">
        <v>1</v>
      </c>
      <c r="C941" s="56">
        <v>42522</v>
      </c>
      <c r="D941" s="3" t="str">
        <f>YEAR(Datos_Consumo[[#This Row],[FECHA]])&amp;"-"&amp;MONTH(Datos_Consumo[[#This Row],[FECHA]])</f>
        <v>2016-6</v>
      </c>
    </row>
    <row r="942" spans="1:4" x14ac:dyDescent="0.25">
      <c r="A942" t="s">
        <v>1688</v>
      </c>
      <c r="B942">
        <v>3</v>
      </c>
      <c r="C942" s="56">
        <v>42583</v>
      </c>
      <c r="D942" s="3" t="str">
        <f>YEAR(Datos_Consumo[[#This Row],[FECHA]])&amp;"-"&amp;MONTH(Datos_Consumo[[#This Row],[FECHA]])</f>
        <v>2016-8</v>
      </c>
    </row>
    <row r="943" spans="1:4" x14ac:dyDescent="0.25">
      <c r="A943" t="s">
        <v>1500</v>
      </c>
      <c r="B943">
        <v>2</v>
      </c>
      <c r="C943" s="56">
        <v>42491</v>
      </c>
      <c r="D943" s="3" t="str">
        <f>YEAR(Datos_Consumo[[#This Row],[FECHA]])&amp;"-"&amp;MONTH(Datos_Consumo[[#This Row],[FECHA]])</f>
        <v>2016-5</v>
      </c>
    </row>
    <row r="944" spans="1:4" x14ac:dyDescent="0.25">
      <c r="A944" t="s">
        <v>1500</v>
      </c>
      <c r="B944">
        <v>1</v>
      </c>
      <c r="C944" s="56">
        <v>42522</v>
      </c>
      <c r="D944" s="3" t="str">
        <f>YEAR(Datos_Consumo[[#This Row],[FECHA]])&amp;"-"&amp;MONTH(Datos_Consumo[[#This Row],[FECHA]])</f>
        <v>2016-6</v>
      </c>
    </row>
    <row r="945" spans="1:4" x14ac:dyDescent="0.25">
      <c r="A945" t="s">
        <v>1500</v>
      </c>
      <c r="B945">
        <v>2</v>
      </c>
      <c r="C945" s="56">
        <v>42552</v>
      </c>
      <c r="D945" s="3" t="str">
        <f>YEAR(Datos_Consumo[[#This Row],[FECHA]])&amp;"-"&amp;MONTH(Datos_Consumo[[#This Row],[FECHA]])</f>
        <v>2016-7</v>
      </c>
    </row>
    <row r="946" spans="1:4" x14ac:dyDescent="0.25">
      <c r="A946" t="s">
        <v>1500</v>
      </c>
      <c r="B946">
        <v>1</v>
      </c>
      <c r="C946" s="56">
        <v>42583</v>
      </c>
      <c r="D946" s="3" t="str">
        <f>YEAR(Datos_Consumo[[#This Row],[FECHA]])&amp;"-"&amp;MONTH(Datos_Consumo[[#This Row],[FECHA]])</f>
        <v>2016-8</v>
      </c>
    </row>
    <row r="947" spans="1:4" x14ac:dyDescent="0.25">
      <c r="A947" t="s">
        <v>2444</v>
      </c>
      <c r="B947">
        <v>1</v>
      </c>
      <c r="C947" s="56">
        <v>42583</v>
      </c>
      <c r="D947" s="3" t="str">
        <f>YEAR(Datos_Consumo[[#This Row],[FECHA]])&amp;"-"&amp;MONTH(Datos_Consumo[[#This Row],[FECHA]])</f>
        <v>2016-8</v>
      </c>
    </row>
    <row r="948" spans="1:4" x14ac:dyDescent="0.25">
      <c r="A948" t="s">
        <v>2445</v>
      </c>
      <c r="B948">
        <v>1</v>
      </c>
      <c r="C948" s="56">
        <v>42583</v>
      </c>
      <c r="D948" s="3" t="str">
        <f>YEAR(Datos_Consumo[[#This Row],[FECHA]])&amp;"-"&amp;MONTH(Datos_Consumo[[#This Row],[FECHA]])</f>
        <v>2016-8</v>
      </c>
    </row>
    <row r="949" spans="1:4" x14ac:dyDescent="0.25">
      <c r="A949" t="s">
        <v>2446</v>
      </c>
      <c r="B949">
        <v>1</v>
      </c>
      <c r="C949" s="56">
        <v>42583</v>
      </c>
      <c r="D949" s="3" t="str">
        <f>YEAR(Datos_Consumo[[#This Row],[FECHA]])&amp;"-"&amp;MONTH(Datos_Consumo[[#This Row],[FECHA]])</f>
        <v>2016-8</v>
      </c>
    </row>
    <row r="950" spans="1:4" x14ac:dyDescent="0.25">
      <c r="A950" t="s">
        <v>2447</v>
      </c>
      <c r="B950">
        <v>2</v>
      </c>
      <c r="C950" s="56">
        <v>42583</v>
      </c>
      <c r="D950" s="3" t="str">
        <f>YEAR(Datos_Consumo[[#This Row],[FECHA]])&amp;"-"&amp;MONTH(Datos_Consumo[[#This Row],[FECHA]])</f>
        <v>2016-8</v>
      </c>
    </row>
    <row r="951" spans="1:4" x14ac:dyDescent="0.25">
      <c r="A951" t="s">
        <v>1689</v>
      </c>
      <c r="B951">
        <v>10</v>
      </c>
      <c r="C951" s="56">
        <v>42491</v>
      </c>
      <c r="D951" s="3" t="str">
        <f>YEAR(Datos_Consumo[[#This Row],[FECHA]])&amp;"-"&amp;MONTH(Datos_Consumo[[#This Row],[FECHA]])</f>
        <v>2016-5</v>
      </c>
    </row>
    <row r="952" spans="1:4" x14ac:dyDescent="0.25">
      <c r="A952" t="s">
        <v>1689</v>
      </c>
      <c r="B952">
        <v>30</v>
      </c>
      <c r="C952" s="56">
        <v>42522</v>
      </c>
      <c r="D952" s="3" t="str">
        <f>YEAR(Datos_Consumo[[#This Row],[FECHA]])&amp;"-"&amp;MONTH(Datos_Consumo[[#This Row],[FECHA]])</f>
        <v>2016-6</v>
      </c>
    </row>
    <row r="953" spans="1:4" x14ac:dyDescent="0.25">
      <c r="A953" t="s">
        <v>1689</v>
      </c>
      <c r="B953">
        <v>59</v>
      </c>
      <c r="C953" s="56">
        <v>42583</v>
      </c>
      <c r="D953" s="3" t="str">
        <f>YEAR(Datos_Consumo[[#This Row],[FECHA]])&amp;"-"&amp;MONTH(Datos_Consumo[[#This Row],[FECHA]])</f>
        <v>2016-8</v>
      </c>
    </row>
    <row r="954" spans="1:4" x14ac:dyDescent="0.25">
      <c r="A954" t="s">
        <v>2448</v>
      </c>
      <c r="B954">
        <v>4</v>
      </c>
      <c r="C954" s="56">
        <v>42583</v>
      </c>
      <c r="D954" s="3" t="str">
        <f>YEAR(Datos_Consumo[[#This Row],[FECHA]])&amp;"-"&amp;MONTH(Datos_Consumo[[#This Row],[FECHA]])</f>
        <v>2016-8</v>
      </c>
    </row>
    <row r="955" spans="1:4" x14ac:dyDescent="0.25">
      <c r="A955" t="s">
        <v>1719</v>
      </c>
      <c r="B955">
        <v>1</v>
      </c>
      <c r="C955" s="56">
        <v>42522</v>
      </c>
      <c r="D955" s="3" t="str">
        <f>YEAR(Datos_Consumo[[#This Row],[FECHA]])&amp;"-"&amp;MONTH(Datos_Consumo[[#This Row],[FECHA]])</f>
        <v>2016-6</v>
      </c>
    </row>
    <row r="956" spans="1:4" x14ac:dyDescent="0.25">
      <c r="A956" t="s">
        <v>1690</v>
      </c>
      <c r="B956">
        <v>149</v>
      </c>
      <c r="C956" s="56">
        <v>42491</v>
      </c>
      <c r="D956" s="3" t="str">
        <f>YEAR(Datos_Consumo[[#This Row],[FECHA]])&amp;"-"&amp;MONTH(Datos_Consumo[[#This Row],[FECHA]])</f>
        <v>2016-5</v>
      </c>
    </row>
    <row r="957" spans="1:4" x14ac:dyDescent="0.25">
      <c r="A957" t="s">
        <v>1690</v>
      </c>
      <c r="B957">
        <v>588</v>
      </c>
      <c r="C957" s="56">
        <v>42522</v>
      </c>
      <c r="D957" s="3" t="str">
        <f>YEAR(Datos_Consumo[[#This Row],[FECHA]])&amp;"-"&amp;MONTH(Datos_Consumo[[#This Row],[FECHA]])</f>
        <v>2016-6</v>
      </c>
    </row>
    <row r="958" spans="1:4" x14ac:dyDescent="0.25">
      <c r="A958" t="s">
        <v>1690</v>
      </c>
      <c r="B958">
        <v>1300</v>
      </c>
      <c r="C958" s="56">
        <v>42552</v>
      </c>
      <c r="D958" s="3" t="str">
        <f>YEAR(Datos_Consumo[[#This Row],[FECHA]])&amp;"-"&amp;MONTH(Datos_Consumo[[#This Row],[FECHA]])</f>
        <v>2016-7</v>
      </c>
    </row>
    <row r="959" spans="1:4" x14ac:dyDescent="0.25">
      <c r="A959" t="s">
        <v>1690</v>
      </c>
      <c r="B959">
        <v>1039</v>
      </c>
      <c r="C959" s="56">
        <v>42583</v>
      </c>
      <c r="D959" s="3" t="str">
        <f>YEAR(Datos_Consumo[[#This Row],[FECHA]])&amp;"-"&amp;MONTH(Datos_Consumo[[#This Row],[FECHA]])</f>
        <v>2016-8</v>
      </c>
    </row>
    <row r="960" spans="1:4" x14ac:dyDescent="0.25">
      <c r="A960" t="s">
        <v>1690</v>
      </c>
      <c r="B960">
        <v>234</v>
      </c>
      <c r="C960" s="56">
        <v>42614</v>
      </c>
      <c r="D960" s="3" t="str">
        <f>YEAR(Datos_Consumo[[#This Row],[FECHA]])&amp;"-"&amp;MONTH(Datos_Consumo[[#This Row],[FECHA]])</f>
        <v>2016-9</v>
      </c>
    </row>
    <row r="961" spans="1:4" x14ac:dyDescent="0.25">
      <c r="A961" t="s">
        <v>2449</v>
      </c>
      <c r="B961">
        <v>600</v>
      </c>
      <c r="C961" s="56">
        <v>42552</v>
      </c>
      <c r="D961" s="3" t="str">
        <f>YEAR(Datos_Consumo[[#This Row],[FECHA]])&amp;"-"&amp;MONTH(Datos_Consumo[[#This Row],[FECHA]])</f>
        <v>2016-7</v>
      </c>
    </row>
    <row r="962" spans="1:4" x14ac:dyDescent="0.25">
      <c r="A962" t="s">
        <v>2450</v>
      </c>
      <c r="B962">
        <v>1500</v>
      </c>
      <c r="C962" s="56">
        <v>42552</v>
      </c>
      <c r="D962" s="3" t="str">
        <f>YEAR(Datos_Consumo[[#This Row],[FECHA]])&amp;"-"&amp;MONTH(Datos_Consumo[[#This Row],[FECHA]])</f>
        <v>2016-7</v>
      </c>
    </row>
    <row r="963" spans="1:4" x14ac:dyDescent="0.25">
      <c r="A963" t="s">
        <v>2451</v>
      </c>
      <c r="B963">
        <v>1</v>
      </c>
      <c r="C963" s="56">
        <v>42552</v>
      </c>
      <c r="D963" s="3" t="str">
        <f>YEAR(Datos_Consumo[[#This Row],[FECHA]])&amp;"-"&amp;MONTH(Datos_Consumo[[#This Row],[FECHA]])</f>
        <v>2016-7</v>
      </c>
    </row>
    <row r="964" spans="1:4" x14ac:dyDescent="0.25">
      <c r="A964" t="s">
        <v>2452</v>
      </c>
      <c r="B964">
        <v>1</v>
      </c>
      <c r="C964" s="56">
        <v>42552</v>
      </c>
      <c r="D964" s="3" t="str">
        <f>YEAR(Datos_Consumo[[#This Row],[FECHA]])&amp;"-"&amp;MONTH(Datos_Consumo[[#This Row],[FECHA]])</f>
        <v>2016-7</v>
      </c>
    </row>
    <row r="965" spans="1:4" x14ac:dyDescent="0.25">
      <c r="A965" t="s">
        <v>1691</v>
      </c>
      <c r="B965">
        <v>8</v>
      </c>
      <c r="C965" s="56">
        <v>42491</v>
      </c>
      <c r="D965" s="3" t="str">
        <f>YEAR(Datos_Consumo[[#This Row],[FECHA]])&amp;"-"&amp;MONTH(Datos_Consumo[[#This Row],[FECHA]])</f>
        <v>2016-5</v>
      </c>
    </row>
    <row r="966" spans="1:4" x14ac:dyDescent="0.25">
      <c r="A966" t="s">
        <v>1691</v>
      </c>
      <c r="B966">
        <v>12</v>
      </c>
      <c r="C966" s="56">
        <v>42522</v>
      </c>
      <c r="D966" s="3" t="str">
        <f>YEAR(Datos_Consumo[[#This Row],[FECHA]])&amp;"-"&amp;MONTH(Datos_Consumo[[#This Row],[FECHA]])</f>
        <v>2016-6</v>
      </c>
    </row>
    <row r="967" spans="1:4" x14ac:dyDescent="0.25">
      <c r="A967" t="s">
        <v>1691</v>
      </c>
      <c r="B967">
        <v>5</v>
      </c>
      <c r="C967" s="56">
        <v>42583</v>
      </c>
      <c r="D967" s="3" t="str">
        <f>YEAR(Datos_Consumo[[#This Row],[FECHA]])&amp;"-"&amp;MONTH(Datos_Consumo[[#This Row],[FECHA]])</f>
        <v>2016-8</v>
      </c>
    </row>
    <row r="968" spans="1:4" x14ac:dyDescent="0.25">
      <c r="A968" t="s">
        <v>2453</v>
      </c>
      <c r="B968">
        <v>6</v>
      </c>
      <c r="C968" s="56">
        <v>42583</v>
      </c>
      <c r="D968" s="3" t="str">
        <f>YEAR(Datos_Consumo[[#This Row],[FECHA]])&amp;"-"&amp;MONTH(Datos_Consumo[[#This Row],[FECHA]])</f>
        <v>2016-8</v>
      </c>
    </row>
    <row r="969" spans="1:4" x14ac:dyDescent="0.25">
      <c r="A969" t="s">
        <v>1692</v>
      </c>
      <c r="B969">
        <v>6</v>
      </c>
      <c r="C969" s="56">
        <v>42491</v>
      </c>
      <c r="D969" s="3" t="str">
        <f>YEAR(Datos_Consumo[[#This Row],[FECHA]])&amp;"-"&amp;MONTH(Datos_Consumo[[#This Row],[FECHA]])</f>
        <v>2016-5</v>
      </c>
    </row>
    <row r="970" spans="1:4" x14ac:dyDescent="0.25">
      <c r="A970" t="s">
        <v>1692</v>
      </c>
      <c r="B970">
        <v>9</v>
      </c>
      <c r="C970" s="56">
        <v>42522</v>
      </c>
      <c r="D970" s="3" t="str">
        <f>YEAR(Datos_Consumo[[#This Row],[FECHA]])&amp;"-"&amp;MONTH(Datos_Consumo[[#This Row],[FECHA]])</f>
        <v>2016-6</v>
      </c>
    </row>
    <row r="971" spans="1:4" x14ac:dyDescent="0.25">
      <c r="A971" t="s">
        <v>1692</v>
      </c>
      <c r="B971">
        <v>9</v>
      </c>
      <c r="C971" s="56">
        <v>42552</v>
      </c>
      <c r="D971" s="3" t="str">
        <f>YEAR(Datos_Consumo[[#This Row],[FECHA]])&amp;"-"&amp;MONTH(Datos_Consumo[[#This Row],[FECHA]])</f>
        <v>2016-7</v>
      </c>
    </row>
    <row r="972" spans="1:4" x14ac:dyDescent="0.25">
      <c r="A972" t="s">
        <v>1692</v>
      </c>
      <c r="B972">
        <v>1</v>
      </c>
      <c r="C972" s="56">
        <v>42614</v>
      </c>
      <c r="D972" s="3" t="str">
        <f>YEAR(Datos_Consumo[[#This Row],[FECHA]])&amp;"-"&amp;MONTH(Datos_Consumo[[#This Row],[FECHA]])</f>
        <v>2016-9</v>
      </c>
    </row>
    <row r="973" spans="1:4" x14ac:dyDescent="0.25">
      <c r="A973" t="s">
        <v>1693</v>
      </c>
      <c r="B973">
        <v>10</v>
      </c>
      <c r="C973" s="56">
        <v>42491</v>
      </c>
      <c r="D973" s="3" t="str">
        <f>YEAR(Datos_Consumo[[#This Row],[FECHA]])&amp;"-"&amp;MONTH(Datos_Consumo[[#This Row],[FECHA]])</f>
        <v>2016-5</v>
      </c>
    </row>
    <row r="974" spans="1:4" x14ac:dyDescent="0.25">
      <c r="A974" t="s">
        <v>1693</v>
      </c>
      <c r="B974">
        <v>27</v>
      </c>
      <c r="C974" s="56">
        <v>42522</v>
      </c>
      <c r="D974" s="3" t="str">
        <f>YEAR(Datos_Consumo[[#This Row],[FECHA]])&amp;"-"&amp;MONTH(Datos_Consumo[[#This Row],[FECHA]])</f>
        <v>2016-6</v>
      </c>
    </row>
    <row r="975" spans="1:4" x14ac:dyDescent="0.25">
      <c r="A975" t="s">
        <v>1693</v>
      </c>
      <c r="B975">
        <v>20</v>
      </c>
      <c r="C975" s="56">
        <v>42552</v>
      </c>
      <c r="D975" s="3" t="str">
        <f>YEAR(Datos_Consumo[[#This Row],[FECHA]])&amp;"-"&amp;MONTH(Datos_Consumo[[#This Row],[FECHA]])</f>
        <v>2016-7</v>
      </c>
    </row>
    <row r="976" spans="1:4" x14ac:dyDescent="0.25">
      <c r="A976" t="s">
        <v>1693</v>
      </c>
      <c r="B976">
        <v>28</v>
      </c>
      <c r="C976" s="56">
        <v>42583</v>
      </c>
      <c r="D976" s="3" t="str">
        <f>YEAR(Datos_Consumo[[#This Row],[FECHA]])&amp;"-"&amp;MONTH(Datos_Consumo[[#This Row],[FECHA]])</f>
        <v>2016-8</v>
      </c>
    </row>
    <row r="977" spans="1:4" x14ac:dyDescent="0.25">
      <c r="A977" t="s">
        <v>1693</v>
      </c>
      <c r="B977">
        <v>2</v>
      </c>
      <c r="C977" s="56">
        <v>42614</v>
      </c>
      <c r="D977" s="3" t="str">
        <f>YEAR(Datos_Consumo[[#This Row],[FECHA]])&amp;"-"&amp;MONTH(Datos_Consumo[[#This Row],[FECHA]])</f>
        <v>2016-9</v>
      </c>
    </row>
    <row r="978" spans="1:4" x14ac:dyDescent="0.25">
      <c r="A978" t="s">
        <v>1694</v>
      </c>
      <c r="B978">
        <v>278</v>
      </c>
      <c r="C978" s="56">
        <v>42491</v>
      </c>
      <c r="D978" s="3" t="str">
        <f>YEAR(Datos_Consumo[[#This Row],[FECHA]])&amp;"-"&amp;MONTH(Datos_Consumo[[#This Row],[FECHA]])</f>
        <v>2016-5</v>
      </c>
    </row>
    <row r="979" spans="1:4" x14ac:dyDescent="0.25">
      <c r="A979" t="s">
        <v>1694</v>
      </c>
      <c r="B979">
        <v>20928</v>
      </c>
      <c r="C979" s="56">
        <v>42522</v>
      </c>
      <c r="D979" s="3" t="str">
        <f>YEAR(Datos_Consumo[[#This Row],[FECHA]])&amp;"-"&amp;MONTH(Datos_Consumo[[#This Row],[FECHA]])</f>
        <v>2016-6</v>
      </c>
    </row>
    <row r="980" spans="1:4" x14ac:dyDescent="0.25">
      <c r="A980" t="s">
        <v>1694</v>
      </c>
      <c r="B980">
        <v>2379</v>
      </c>
      <c r="C980" s="56">
        <v>42552</v>
      </c>
      <c r="D980" s="3" t="str">
        <f>YEAR(Datos_Consumo[[#This Row],[FECHA]])&amp;"-"&amp;MONTH(Datos_Consumo[[#This Row],[FECHA]])</f>
        <v>2016-7</v>
      </c>
    </row>
    <row r="981" spans="1:4" x14ac:dyDescent="0.25">
      <c r="A981" t="s">
        <v>1694</v>
      </c>
      <c r="B981">
        <v>1546</v>
      </c>
      <c r="C981" s="56">
        <v>42583</v>
      </c>
      <c r="D981" s="3" t="str">
        <f>YEAR(Datos_Consumo[[#This Row],[FECHA]])&amp;"-"&amp;MONTH(Datos_Consumo[[#This Row],[FECHA]])</f>
        <v>2016-8</v>
      </c>
    </row>
    <row r="982" spans="1:4" x14ac:dyDescent="0.25">
      <c r="A982" t="s">
        <v>1694</v>
      </c>
      <c r="B982">
        <v>380</v>
      </c>
      <c r="C982" s="56">
        <v>42614</v>
      </c>
      <c r="D982" s="3" t="str">
        <f>YEAR(Datos_Consumo[[#This Row],[FECHA]])&amp;"-"&amp;MONTH(Datos_Consumo[[#This Row],[FECHA]])</f>
        <v>2016-9</v>
      </c>
    </row>
    <row r="983" spans="1:4" x14ac:dyDescent="0.25">
      <c r="A983" t="s">
        <v>1695</v>
      </c>
      <c r="B983">
        <v>936</v>
      </c>
      <c r="C983" s="56">
        <v>42491</v>
      </c>
      <c r="D983" s="3" t="str">
        <f>YEAR(Datos_Consumo[[#This Row],[FECHA]])&amp;"-"&amp;MONTH(Datos_Consumo[[#This Row],[FECHA]])</f>
        <v>2016-5</v>
      </c>
    </row>
    <row r="984" spans="1:4" x14ac:dyDescent="0.25">
      <c r="A984" t="s">
        <v>1695</v>
      </c>
      <c r="B984">
        <v>7450</v>
      </c>
      <c r="C984" s="56">
        <v>42522</v>
      </c>
      <c r="D984" s="3" t="str">
        <f>YEAR(Datos_Consumo[[#This Row],[FECHA]])&amp;"-"&amp;MONTH(Datos_Consumo[[#This Row],[FECHA]])</f>
        <v>2016-6</v>
      </c>
    </row>
    <row r="985" spans="1:4" x14ac:dyDescent="0.25">
      <c r="A985" t="s">
        <v>1695</v>
      </c>
      <c r="B985">
        <v>5076</v>
      </c>
      <c r="C985" s="56">
        <v>42552</v>
      </c>
      <c r="D985" s="3" t="str">
        <f>YEAR(Datos_Consumo[[#This Row],[FECHA]])&amp;"-"&amp;MONTH(Datos_Consumo[[#This Row],[FECHA]])</f>
        <v>2016-7</v>
      </c>
    </row>
    <row r="986" spans="1:4" x14ac:dyDescent="0.25">
      <c r="A986" t="s">
        <v>1695</v>
      </c>
      <c r="B986">
        <v>2538</v>
      </c>
      <c r="C986" s="56">
        <v>42583</v>
      </c>
      <c r="D986" s="3" t="str">
        <f>YEAR(Datos_Consumo[[#This Row],[FECHA]])&amp;"-"&amp;MONTH(Datos_Consumo[[#This Row],[FECHA]])</f>
        <v>2016-8</v>
      </c>
    </row>
    <row r="987" spans="1:4" x14ac:dyDescent="0.25">
      <c r="A987" t="s">
        <v>1695</v>
      </c>
      <c r="B987">
        <v>1718</v>
      </c>
      <c r="C987" s="56">
        <v>42614</v>
      </c>
      <c r="D987" s="3" t="str">
        <f>YEAR(Datos_Consumo[[#This Row],[FECHA]])&amp;"-"&amp;MONTH(Datos_Consumo[[#This Row],[FECHA]])</f>
        <v>2016-9</v>
      </c>
    </row>
    <row r="988" spans="1:4" x14ac:dyDescent="0.25">
      <c r="A988" t="s">
        <v>1696</v>
      </c>
      <c r="B988">
        <v>153</v>
      </c>
      <c r="C988" s="56">
        <v>42491</v>
      </c>
      <c r="D988" s="3" t="str">
        <f>YEAR(Datos_Consumo[[#This Row],[FECHA]])&amp;"-"&amp;MONTH(Datos_Consumo[[#This Row],[FECHA]])</f>
        <v>2016-5</v>
      </c>
    </row>
    <row r="989" spans="1:4" x14ac:dyDescent="0.25">
      <c r="A989" t="s">
        <v>1696</v>
      </c>
      <c r="B989">
        <v>2963</v>
      </c>
      <c r="C989" s="56">
        <v>42522</v>
      </c>
      <c r="D989" s="3" t="str">
        <f>YEAR(Datos_Consumo[[#This Row],[FECHA]])&amp;"-"&amp;MONTH(Datos_Consumo[[#This Row],[FECHA]])</f>
        <v>2016-6</v>
      </c>
    </row>
    <row r="990" spans="1:4" x14ac:dyDescent="0.25">
      <c r="A990" t="s">
        <v>1696</v>
      </c>
      <c r="B990">
        <v>2135</v>
      </c>
      <c r="C990" s="56">
        <v>42552</v>
      </c>
      <c r="D990" s="3" t="str">
        <f>YEAR(Datos_Consumo[[#This Row],[FECHA]])&amp;"-"&amp;MONTH(Datos_Consumo[[#This Row],[FECHA]])</f>
        <v>2016-7</v>
      </c>
    </row>
    <row r="991" spans="1:4" x14ac:dyDescent="0.25">
      <c r="A991" t="s">
        <v>1696</v>
      </c>
      <c r="B991">
        <v>440</v>
      </c>
      <c r="C991" s="56">
        <v>42583</v>
      </c>
      <c r="D991" s="3" t="str">
        <f>YEAR(Datos_Consumo[[#This Row],[FECHA]])&amp;"-"&amp;MONTH(Datos_Consumo[[#This Row],[FECHA]])</f>
        <v>2016-8</v>
      </c>
    </row>
    <row r="992" spans="1:4" x14ac:dyDescent="0.25">
      <c r="A992" t="s">
        <v>1696</v>
      </c>
      <c r="B992">
        <v>149</v>
      </c>
      <c r="C992" s="56">
        <v>42614</v>
      </c>
      <c r="D992" s="3" t="str">
        <f>YEAR(Datos_Consumo[[#This Row],[FECHA]])&amp;"-"&amp;MONTH(Datos_Consumo[[#This Row],[FECHA]])</f>
        <v>2016-9</v>
      </c>
    </row>
    <row r="993" spans="1:4" x14ac:dyDescent="0.25">
      <c r="A993" t="s">
        <v>1697</v>
      </c>
      <c r="B993">
        <v>1</v>
      </c>
      <c r="C993" s="56">
        <v>42491</v>
      </c>
      <c r="D993" s="3" t="str">
        <f>YEAR(Datos_Consumo[[#This Row],[FECHA]])&amp;"-"&amp;MONTH(Datos_Consumo[[#This Row],[FECHA]])</f>
        <v>2016-5</v>
      </c>
    </row>
    <row r="994" spans="1:4" x14ac:dyDescent="0.25">
      <c r="A994" t="s">
        <v>1698</v>
      </c>
      <c r="B994">
        <v>1</v>
      </c>
      <c r="C994" s="56">
        <v>42491</v>
      </c>
      <c r="D994" s="3" t="str">
        <f>YEAR(Datos_Consumo[[#This Row],[FECHA]])&amp;"-"&amp;MONTH(Datos_Consumo[[#This Row],[FECHA]])</f>
        <v>2016-5</v>
      </c>
    </row>
    <row r="995" spans="1:4" x14ac:dyDescent="0.25">
      <c r="A995" t="s">
        <v>2454</v>
      </c>
      <c r="B995">
        <v>10</v>
      </c>
      <c r="C995" s="56">
        <v>42583</v>
      </c>
      <c r="D995" s="3" t="str">
        <f>YEAR(Datos_Consumo[[#This Row],[FECHA]])&amp;"-"&amp;MONTH(Datos_Consumo[[#This Row],[FECHA]])</f>
        <v>2016-8</v>
      </c>
    </row>
    <row r="996" spans="1:4" x14ac:dyDescent="0.25">
      <c r="A996" t="s">
        <v>1699</v>
      </c>
      <c r="B996">
        <v>51</v>
      </c>
      <c r="C996" s="56">
        <v>42522</v>
      </c>
      <c r="D996" s="3" t="str">
        <f>YEAR(Datos_Consumo[[#This Row],[FECHA]])&amp;"-"&amp;MONTH(Datos_Consumo[[#This Row],[FECHA]])</f>
        <v>2016-6</v>
      </c>
    </row>
    <row r="997" spans="1:4" x14ac:dyDescent="0.25">
      <c r="A997" t="s">
        <v>1699</v>
      </c>
      <c r="B997">
        <v>65</v>
      </c>
      <c r="C997" s="56">
        <v>42552</v>
      </c>
      <c r="D997" s="3" t="str">
        <f>YEAR(Datos_Consumo[[#This Row],[FECHA]])&amp;"-"&amp;MONTH(Datos_Consumo[[#This Row],[FECHA]])</f>
        <v>2016-7</v>
      </c>
    </row>
    <row r="998" spans="1:4" x14ac:dyDescent="0.25">
      <c r="A998" t="s">
        <v>1699</v>
      </c>
      <c r="B998">
        <v>63</v>
      </c>
      <c r="C998" s="56">
        <v>42583</v>
      </c>
      <c r="D998" s="3" t="str">
        <f>YEAR(Datos_Consumo[[#This Row],[FECHA]])&amp;"-"&amp;MONTH(Datos_Consumo[[#This Row],[FECHA]])</f>
        <v>2016-8</v>
      </c>
    </row>
    <row r="999" spans="1:4" x14ac:dyDescent="0.25">
      <c r="A999" t="s">
        <v>1699</v>
      </c>
      <c r="B999">
        <v>20</v>
      </c>
      <c r="C999" s="56">
        <v>42614</v>
      </c>
      <c r="D999" s="3" t="str">
        <f>YEAR(Datos_Consumo[[#This Row],[FECHA]])&amp;"-"&amp;MONTH(Datos_Consumo[[#This Row],[FECHA]])</f>
        <v>2016-9</v>
      </c>
    </row>
    <row r="1000" spans="1:4" x14ac:dyDescent="0.25">
      <c r="A1000" t="s">
        <v>1700</v>
      </c>
      <c r="B1000">
        <v>91</v>
      </c>
      <c r="C1000" s="56">
        <v>42491</v>
      </c>
      <c r="D1000" s="3" t="str">
        <f>YEAR(Datos_Consumo[[#This Row],[FECHA]])&amp;"-"&amp;MONTH(Datos_Consumo[[#This Row],[FECHA]])</f>
        <v>2016-5</v>
      </c>
    </row>
    <row r="1001" spans="1:4" x14ac:dyDescent="0.25">
      <c r="A1001" t="s">
        <v>1700</v>
      </c>
      <c r="B1001">
        <v>12</v>
      </c>
      <c r="C1001" s="56">
        <v>42583</v>
      </c>
      <c r="D1001" s="3" t="str">
        <f>YEAR(Datos_Consumo[[#This Row],[FECHA]])&amp;"-"&amp;MONTH(Datos_Consumo[[#This Row],[FECHA]])</f>
        <v>2016-8</v>
      </c>
    </row>
    <row r="1002" spans="1:4" x14ac:dyDescent="0.25">
      <c r="A1002" t="s">
        <v>1701</v>
      </c>
      <c r="B1002">
        <v>16</v>
      </c>
      <c r="C1002" s="56">
        <v>42491</v>
      </c>
      <c r="D1002" s="3" t="str">
        <f>YEAR(Datos_Consumo[[#This Row],[FECHA]])&amp;"-"&amp;MONTH(Datos_Consumo[[#This Row],[FECHA]])</f>
        <v>2016-5</v>
      </c>
    </row>
    <row r="1003" spans="1:4" x14ac:dyDescent="0.25">
      <c r="A1003" t="s">
        <v>1701</v>
      </c>
      <c r="B1003">
        <v>10</v>
      </c>
      <c r="C1003" s="56">
        <v>42583</v>
      </c>
      <c r="D1003" s="3" t="str">
        <f>YEAR(Datos_Consumo[[#This Row],[FECHA]])&amp;"-"&amp;MONTH(Datos_Consumo[[#This Row],[FECHA]])</f>
        <v>2016-8</v>
      </c>
    </row>
    <row r="1004" spans="1:4" x14ac:dyDescent="0.25">
      <c r="A1004" t="s">
        <v>1702</v>
      </c>
      <c r="B1004">
        <v>465</v>
      </c>
      <c r="C1004" s="56">
        <v>42491</v>
      </c>
      <c r="D1004" s="3" t="str">
        <f>YEAR(Datos_Consumo[[#This Row],[FECHA]])&amp;"-"&amp;MONTH(Datos_Consumo[[#This Row],[FECHA]])</f>
        <v>2016-5</v>
      </c>
    </row>
    <row r="1005" spans="1:4" x14ac:dyDescent="0.25">
      <c r="A1005" t="s">
        <v>1702</v>
      </c>
      <c r="B1005">
        <v>2268</v>
      </c>
      <c r="C1005" s="56">
        <v>42522</v>
      </c>
      <c r="D1005" s="3" t="str">
        <f>YEAR(Datos_Consumo[[#This Row],[FECHA]])&amp;"-"&amp;MONTH(Datos_Consumo[[#This Row],[FECHA]])</f>
        <v>2016-6</v>
      </c>
    </row>
    <row r="1006" spans="1:4" x14ac:dyDescent="0.25">
      <c r="A1006" t="s">
        <v>1702</v>
      </c>
      <c r="B1006">
        <v>2084</v>
      </c>
      <c r="C1006" s="56">
        <v>42552</v>
      </c>
      <c r="D1006" s="3" t="str">
        <f>YEAR(Datos_Consumo[[#This Row],[FECHA]])&amp;"-"&amp;MONTH(Datos_Consumo[[#This Row],[FECHA]])</f>
        <v>2016-7</v>
      </c>
    </row>
    <row r="1007" spans="1:4" x14ac:dyDescent="0.25">
      <c r="A1007" t="s">
        <v>1702</v>
      </c>
      <c r="B1007">
        <v>532</v>
      </c>
      <c r="C1007" s="56">
        <v>42583</v>
      </c>
      <c r="D1007" s="3" t="str">
        <f>YEAR(Datos_Consumo[[#This Row],[FECHA]])&amp;"-"&amp;MONTH(Datos_Consumo[[#This Row],[FECHA]])</f>
        <v>2016-8</v>
      </c>
    </row>
    <row r="1008" spans="1:4" x14ac:dyDescent="0.25">
      <c r="A1008" t="s">
        <v>1702</v>
      </c>
      <c r="B1008">
        <v>262</v>
      </c>
      <c r="C1008" s="56">
        <v>42614</v>
      </c>
      <c r="D1008" s="3" t="str">
        <f>YEAR(Datos_Consumo[[#This Row],[FECHA]])&amp;"-"&amp;MONTH(Datos_Consumo[[#This Row],[FECHA]])</f>
        <v>2016-9</v>
      </c>
    </row>
    <row r="1009" spans="1:4" x14ac:dyDescent="0.25">
      <c r="A1009" t="s">
        <v>1703</v>
      </c>
      <c r="B1009">
        <v>783</v>
      </c>
      <c r="C1009" s="56">
        <v>42491</v>
      </c>
      <c r="D1009" s="3" t="str">
        <f>YEAR(Datos_Consumo[[#This Row],[FECHA]])&amp;"-"&amp;MONTH(Datos_Consumo[[#This Row],[FECHA]])</f>
        <v>2016-5</v>
      </c>
    </row>
    <row r="1010" spans="1:4" x14ac:dyDescent="0.25">
      <c r="A1010" t="s">
        <v>1703</v>
      </c>
      <c r="B1010">
        <v>3382</v>
      </c>
      <c r="C1010" s="56">
        <v>42522</v>
      </c>
      <c r="D1010" s="3" t="str">
        <f>YEAR(Datos_Consumo[[#This Row],[FECHA]])&amp;"-"&amp;MONTH(Datos_Consumo[[#This Row],[FECHA]])</f>
        <v>2016-6</v>
      </c>
    </row>
    <row r="1011" spans="1:4" x14ac:dyDescent="0.25">
      <c r="A1011" t="s">
        <v>1703</v>
      </c>
      <c r="B1011">
        <v>2477</v>
      </c>
      <c r="C1011" s="56">
        <v>42552</v>
      </c>
      <c r="D1011" s="3" t="str">
        <f>YEAR(Datos_Consumo[[#This Row],[FECHA]])&amp;"-"&amp;MONTH(Datos_Consumo[[#This Row],[FECHA]])</f>
        <v>2016-7</v>
      </c>
    </row>
    <row r="1012" spans="1:4" x14ac:dyDescent="0.25">
      <c r="A1012" t="s">
        <v>1703</v>
      </c>
      <c r="B1012">
        <v>326</v>
      </c>
      <c r="C1012" s="56">
        <v>42583</v>
      </c>
      <c r="D1012" s="3" t="str">
        <f>YEAR(Datos_Consumo[[#This Row],[FECHA]])&amp;"-"&amp;MONTH(Datos_Consumo[[#This Row],[FECHA]])</f>
        <v>2016-8</v>
      </c>
    </row>
    <row r="1013" spans="1:4" x14ac:dyDescent="0.25">
      <c r="A1013" t="s">
        <v>1703</v>
      </c>
      <c r="B1013">
        <v>869</v>
      </c>
      <c r="C1013" s="56">
        <v>42614</v>
      </c>
      <c r="D1013" s="3" t="str">
        <f>YEAR(Datos_Consumo[[#This Row],[FECHA]])&amp;"-"&amp;MONTH(Datos_Consumo[[#This Row],[FECHA]])</f>
        <v>2016-9</v>
      </c>
    </row>
    <row r="1014" spans="1:4" x14ac:dyDescent="0.25">
      <c r="A1014" t="s">
        <v>1704</v>
      </c>
      <c r="B1014">
        <v>2</v>
      </c>
      <c r="C1014" s="56">
        <v>42491</v>
      </c>
      <c r="D1014" s="3" t="str">
        <f>YEAR(Datos_Consumo[[#This Row],[FECHA]])&amp;"-"&amp;MONTH(Datos_Consumo[[#This Row],[FECHA]])</f>
        <v>2016-5</v>
      </c>
    </row>
    <row r="1015" spans="1:4" x14ac:dyDescent="0.25">
      <c r="A1015" t="s">
        <v>1704</v>
      </c>
      <c r="B1015">
        <v>100</v>
      </c>
      <c r="C1015" s="56">
        <v>42522</v>
      </c>
      <c r="D1015" s="3" t="str">
        <f>YEAR(Datos_Consumo[[#This Row],[FECHA]])&amp;"-"&amp;MONTH(Datos_Consumo[[#This Row],[FECHA]])</f>
        <v>2016-6</v>
      </c>
    </row>
    <row r="1016" spans="1:4" x14ac:dyDescent="0.25">
      <c r="A1016" t="s">
        <v>1704</v>
      </c>
      <c r="B1016">
        <v>900</v>
      </c>
      <c r="C1016" s="56">
        <v>42552</v>
      </c>
      <c r="D1016" s="3" t="str">
        <f>YEAR(Datos_Consumo[[#This Row],[FECHA]])&amp;"-"&amp;MONTH(Datos_Consumo[[#This Row],[FECHA]])</f>
        <v>2016-7</v>
      </c>
    </row>
    <row r="1017" spans="1:4" x14ac:dyDescent="0.25">
      <c r="A1017" t="s">
        <v>1704</v>
      </c>
      <c r="B1017">
        <v>6</v>
      </c>
      <c r="C1017" s="56">
        <v>42583</v>
      </c>
      <c r="D1017" s="3" t="str">
        <f>YEAR(Datos_Consumo[[#This Row],[FECHA]])&amp;"-"&amp;MONTH(Datos_Consumo[[#This Row],[FECHA]])</f>
        <v>2016-8</v>
      </c>
    </row>
    <row r="1018" spans="1:4" x14ac:dyDescent="0.25">
      <c r="A1018" t="s">
        <v>2455</v>
      </c>
      <c r="B1018">
        <v>1</v>
      </c>
      <c r="C1018" s="56">
        <v>42552</v>
      </c>
      <c r="D1018" s="3" t="str">
        <f>YEAR(Datos_Consumo[[#This Row],[FECHA]])&amp;"-"&amp;MONTH(Datos_Consumo[[#This Row],[FECHA]])</f>
        <v>2016-7</v>
      </c>
    </row>
    <row r="1019" spans="1:4" x14ac:dyDescent="0.25">
      <c r="A1019" t="s">
        <v>2455</v>
      </c>
      <c r="B1019">
        <v>2</v>
      </c>
      <c r="C1019" s="56">
        <v>42583</v>
      </c>
      <c r="D1019" s="3" t="str">
        <f>YEAR(Datos_Consumo[[#This Row],[FECHA]])&amp;"-"&amp;MONTH(Datos_Consumo[[#This Row],[FECHA]])</f>
        <v>2016-8</v>
      </c>
    </row>
    <row r="1020" spans="1:4" x14ac:dyDescent="0.25">
      <c r="A1020" t="s">
        <v>2456</v>
      </c>
      <c r="B1020">
        <v>1</v>
      </c>
      <c r="C1020" s="56">
        <v>42583</v>
      </c>
      <c r="D1020" s="3" t="str">
        <f>YEAR(Datos_Consumo[[#This Row],[FECHA]])&amp;"-"&amp;MONTH(Datos_Consumo[[#This Row],[FECHA]])</f>
        <v>2016-8</v>
      </c>
    </row>
    <row r="1021" spans="1:4" x14ac:dyDescent="0.25">
      <c r="A1021" t="s">
        <v>2457</v>
      </c>
      <c r="B1021">
        <v>1</v>
      </c>
      <c r="C1021" s="56">
        <v>42583</v>
      </c>
      <c r="D1021" s="3" t="str">
        <f>YEAR(Datos_Consumo[[#This Row],[FECHA]])&amp;"-"&amp;MONTH(Datos_Consumo[[#This Row],[FECHA]])</f>
        <v>2016-8</v>
      </c>
    </row>
    <row r="1022" spans="1:4" x14ac:dyDescent="0.25">
      <c r="A1022" t="s">
        <v>2458</v>
      </c>
      <c r="B1022">
        <v>1</v>
      </c>
      <c r="C1022" s="56">
        <v>42583</v>
      </c>
      <c r="D1022" s="3" t="str">
        <f>YEAR(Datos_Consumo[[#This Row],[FECHA]])&amp;"-"&amp;MONTH(Datos_Consumo[[#This Row],[FECHA]])</f>
        <v>2016-8</v>
      </c>
    </row>
    <row r="1023" spans="1:4" x14ac:dyDescent="0.25">
      <c r="A1023" t="s">
        <v>1705</v>
      </c>
      <c r="B1023">
        <v>71</v>
      </c>
      <c r="C1023" s="56">
        <v>42491</v>
      </c>
      <c r="D1023" s="3" t="str">
        <f>YEAR(Datos_Consumo[[#This Row],[FECHA]])&amp;"-"&amp;MONTH(Datos_Consumo[[#This Row],[FECHA]])</f>
        <v>2016-5</v>
      </c>
    </row>
    <row r="1024" spans="1:4" x14ac:dyDescent="0.25">
      <c r="A1024" t="s">
        <v>1705</v>
      </c>
      <c r="B1024">
        <v>100</v>
      </c>
      <c r="C1024" s="56">
        <v>42522</v>
      </c>
      <c r="D1024" s="3" t="str">
        <f>YEAR(Datos_Consumo[[#This Row],[FECHA]])&amp;"-"&amp;MONTH(Datos_Consumo[[#This Row],[FECHA]])</f>
        <v>2016-6</v>
      </c>
    </row>
    <row r="1025" spans="1:4" x14ac:dyDescent="0.25">
      <c r="A1025" t="s">
        <v>1705</v>
      </c>
      <c r="B1025">
        <v>21</v>
      </c>
      <c r="C1025" s="56">
        <v>42552</v>
      </c>
      <c r="D1025" s="3" t="str">
        <f>YEAR(Datos_Consumo[[#This Row],[FECHA]])&amp;"-"&amp;MONTH(Datos_Consumo[[#This Row],[FECHA]])</f>
        <v>2016-7</v>
      </c>
    </row>
    <row r="1026" spans="1:4" x14ac:dyDescent="0.25">
      <c r="A1026" t="s">
        <v>1705</v>
      </c>
      <c r="B1026">
        <v>52</v>
      </c>
      <c r="C1026" s="56">
        <v>42583</v>
      </c>
      <c r="D1026" s="3" t="str">
        <f>YEAR(Datos_Consumo[[#This Row],[FECHA]])&amp;"-"&amp;MONTH(Datos_Consumo[[#This Row],[FECHA]])</f>
        <v>2016-8</v>
      </c>
    </row>
    <row r="1027" spans="1:4" x14ac:dyDescent="0.25">
      <c r="A1027" t="s">
        <v>1705</v>
      </c>
      <c r="B1027">
        <v>20</v>
      </c>
      <c r="C1027" s="56">
        <v>42614</v>
      </c>
      <c r="D1027" s="3" t="str">
        <f>YEAR(Datos_Consumo[[#This Row],[FECHA]])&amp;"-"&amp;MONTH(Datos_Consumo[[#This Row],[FECHA]])</f>
        <v>2016-9</v>
      </c>
    </row>
    <row r="1028" spans="1:4" x14ac:dyDescent="0.25">
      <c r="A1028" t="s">
        <v>1706</v>
      </c>
      <c r="B1028">
        <v>12</v>
      </c>
      <c r="C1028" s="56">
        <v>42522</v>
      </c>
      <c r="D1028" s="3" t="str">
        <f>YEAR(Datos_Consumo[[#This Row],[FECHA]])&amp;"-"&amp;MONTH(Datos_Consumo[[#This Row],[FECHA]])</f>
        <v>2016-6</v>
      </c>
    </row>
    <row r="1029" spans="1:4" x14ac:dyDescent="0.25">
      <c r="A1029" t="s">
        <v>2459</v>
      </c>
      <c r="B1029">
        <v>8</v>
      </c>
      <c r="C1029" s="56">
        <v>42583</v>
      </c>
      <c r="D1029" s="3" t="str">
        <f>YEAR(Datos_Consumo[[#This Row],[FECHA]])&amp;"-"&amp;MONTH(Datos_Consumo[[#This Row],[FECHA]])</f>
        <v>2016-8</v>
      </c>
    </row>
    <row r="1030" spans="1:4" x14ac:dyDescent="0.25">
      <c r="A1030" t="s">
        <v>1707</v>
      </c>
      <c r="B1030">
        <v>5</v>
      </c>
      <c r="C1030" s="56">
        <v>42491</v>
      </c>
      <c r="D1030" s="3" t="str">
        <f>YEAR(Datos_Consumo[[#This Row],[FECHA]])&amp;"-"&amp;MONTH(Datos_Consumo[[#This Row],[FECHA]])</f>
        <v>2016-5</v>
      </c>
    </row>
    <row r="1031" spans="1:4" x14ac:dyDescent="0.25">
      <c r="A1031" t="s">
        <v>1707</v>
      </c>
      <c r="B1031">
        <v>200</v>
      </c>
      <c r="C1031" s="56">
        <v>42614</v>
      </c>
      <c r="D1031" s="3" t="str">
        <f>YEAR(Datos_Consumo[[#This Row],[FECHA]])&amp;"-"&amp;MONTH(Datos_Consumo[[#This Row],[FECHA]])</f>
        <v>2016-9</v>
      </c>
    </row>
    <row r="1032" spans="1:4" x14ac:dyDescent="0.25">
      <c r="A1032" t="s">
        <v>1708</v>
      </c>
      <c r="B1032">
        <v>1</v>
      </c>
      <c r="C1032" s="56">
        <v>42491</v>
      </c>
      <c r="D1032" s="3" t="str">
        <f>YEAR(Datos_Consumo[[#This Row],[FECHA]])&amp;"-"&amp;MONTH(Datos_Consumo[[#This Row],[FECHA]])</f>
        <v>2016-5</v>
      </c>
    </row>
    <row r="1033" spans="1:4" x14ac:dyDescent="0.25">
      <c r="A1033" t="s">
        <v>1708</v>
      </c>
      <c r="B1033">
        <v>1</v>
      </c>
      <c r="C1033" s="56">
        <v>42552</v>
      </c>
      <c r="D1033" s="3" t="str">
        <f>YEAR(Datos_Consumo[[#This Row],[FECHA]])&amp;"-"&amp;MONTH(Datos_Consumo[[#This Row],[FECHA]])</f>
        <v>2016-7</v>
      </c>
    </row>
    <row r="1034" spans="1:4" x14ac:dyDescent="0.25">
      <c r="A1034" t="s">
        <v>1709</v>
      </c>
      <c r="B1034">
        <v>2</v>
      </c>
      <c r="C1034" s="56">
        <v>42491</v>
      </c>
      <c r="D1034" s="3" t="str">
        <f>YEAR(Datos_Consumo[[#This Row],[FECHA]])&amp;"-"&amp;MONTH(Datos_Consumo[[#This Row],[FECHA]])</f>
        <v>2016-5</v>
      </c>
    </row>
    <row r="1035" spans="1:4" x14ac:dyDescent="0.25">
      <c r="A1035" t="s">
        <v>1709</v>
      </c>
      <c r="B1035">
        <v>2</v>
      </c>
      <c r="C1035" s="56">
        <v>42583</v>
      </c>
      <c r="D1035" s="3" t="str">
        <f>YEAR(Datos_Consumo[[#This Row],[FECHA]])&amp;"-"&amp;MONTH(Datos_Consumo[[#This Row],[FECHA]])</f>
        <v>2016-8</v>
      </c>
    </row>
    <row r="1036" spans="1:4" x14ac:dyDescent="0.25">
      <c r="A1036" t="s">
        <v>2460</v>
      </c>
      <c r="B1036">
        <v>8</v>
      </c>
      <c r="C1036" s="56">
        <v>42583</v>
      </c>
      <c r="D1036" s="3" t="str">
        <f>YEAR(Datos_Consumo[[#This Row],[FECHA]])&amp;"-"&amp;MONTH(Datos_Consumo[[#This Row],[FECHA]])</f>
        <v>2016-8</v>
      </c>
    </row>
    <row r="1037" spans="1:4" x14ac:dyDescent="0.25">
      <c r="A1037" t="s">
        <v>1710</v>
      </c>
      <c r="B1037">
        <v>10</v>
      </c>
      <c r="C1037" s="56">
        <v>42522</v>
      </c>
      <c r="D1037" s="3" t="str">
        <f>YEAR(Datos_Consumo[[#This Row],[FECHA]])&amp;"-"&amp;MONTH(Datos_Consumo[[#This Row],[FECHA]])</f>
        <v>2016-6</v>
      </c>
    </row>
    <row r="1038" spans="1:4" x14ac:dyDescent="0.25">
      <c r="A1038" t="s">
        <v>1710</v>
      </c>
      <c r="B1038">
        <v>2</v>
      </c>
      <c r="C1038" s="56">
        <v>42614</v>
      </c>
      <c r="D1038" s="3" t="str">
        <f>YEAR(Datos_Consumo[[#This Row],[FECHA]])&amp;"-"&amp;MONTH(Datos_Consumo[[#This Row],[FECHA]])</f>
        <v>2016-9</v>
      </c>
    </row>
    <row r="1039" spans="1:4" x14ac:dyDescent="0.25">
      <c r="A1039" t="s">
        <v>1711</v>
      </c>
      <c r="B1039">
        <v>7</v>
      </c>
      <c r="C1039" s="56">
        <v>42491</v>
      </c>
      <c r="D1039" s="3" t="str">
        <f>YEAR(Datos_Consumo[[#This Row],[FECHA]])&amp;"-"&amp;MONTH(Datos_Consumo[[#This Row],[FECHA]])</f>
        <v>2016-5</v>
      </c>
    </row>
    <row r="1040" spans="1:4" x14ac:dyDescent="0.25">
      <c r="A1040" t="s">
        <v>1711</v>
      </c>
      <c r="B1040">
        <v>6</v>
      </c>
      <c r="C1040" s="56">
        <v>42522</v>
      </c>
      <c r="D1040" s="3" t="str">
        <f>YEAR(Datos_Consumo[[#This Row],[FECHA]])&amp;"-"&amp;MONTH(Datos_Consumo[[#This Row],[FECHA]])</f>
        <v>2016-6</v>
      </c>
    </row>
    <row r="1041" spans="1:4" x14ac:dyDescent="0.25">
      <c r="A1041" t="s">
        <v>1711</v>
      </c>
      <c r="B1041">
        <v>15</v>
      </c>
      <c r="C1041" s="56">
        <v>42552</v>
      </c>
      <c r="D1041" s="3" t="str">
        <f>YEAR(Datos_Consumo[[#This Row],[FECHA]])&amp;"-"&amp;MONTH(Datos_Consumo[[#This Row],[FECHA]])</f>
        <v>2016-7</v>
      </c>
    </row>
    <row r="1042" spans="1:4" x14ac:dyDescent="0.25">
      <c r="A1042" t="s">
        <v>1711</v>
      </c>
      <c r="B1042">
        <v>193</v>
      </c>
      <c r="C1042" s="56">
        <v>42583</v>
      </c>
      <c r="D1042" s="3" t="str">
        <f>YEAR(Datos_Consumo[[#This Row],[FECHA]])&amp;"-"&amp;MONTH(Datos_Consumo[[#This Row],[FECHA]])</f>
        <v>2016-8</v>
      </c>
    </row>
    <row r="1043" spans="1:4" x14ac:dyDescent="0.25">
      <c r="A1043" t="s">
        <v>1712</v>
      </c>
      <c r="B1043">
        <v>20</v>
      </c>
      <c r="C1043" s="56">
        <v>42491</v>
      </c>
      <c r="D1043" s="3" t="str">
        <f>YEAR(Datos_Consumo[[#This Row],[FECHA]])&amp;"-"&amp;MONTH(Datos_Consumo[[#This Row],[FECHA]])</f>
        <v>2016-5</v>
      </c>
    </row>
    <row r="1044" spans="1:4" x14ac:dyDescent="0.25">
      <c r="A1044" t="s">
        <v>1712</v>
      </c>
      <c r="B1044">
        <v>26</v>
      </c>
      <c r="C1044" s="56">
        <v>42522</v>
      </c>
      <c r="D1044" s="3" t="str">
        <f>YEAR(Datos_Consumo[[#This Row],[FECHA]])&amp;"-"&amp;MONTH(Datos_Consumo[[#This Row],[FECHA]])</f>
        <v>2016-6</v>
      </c>
    </row>
    <row r="1045" spans="1:4" x14ac:dyDescent="0.25">
      <c r="A1045" t="s">
        <v>1712</v>
      </c>
      <c r="B1045">
        <v>32</v>
      </c>
      <c r="C1045" s="56">
        <v>42552</v>
      </c>
      <c r="D1045" s="3" t="str">
        <f>YEAR(Datos_Consumo[[#This Row],[FECHA]])&amp;"-"&amp;MONTH(Datos_Consumo[[#This Row],[FECHA]])</f>
        <v>2016-7</v>
      </c>
    </row>
    <row r="1046" spans="1:4" x14ac:dyDescent="0.25">
      <c r="A1046" t="s">
        <v>1712</v>
      </c>
      <c r="B1046">
        <v>11</v>
      </c>
      <c r="C1046" s="56">
        <v>42583</v>
      </c>
      <c r="D1046" s="3" t="str">
        <f>YEAR(Datos_Consumo[[#This Row],[FECHA]])&amp;"-"&amp;MONTH(Datos_Consumo[[#This Row],[FECHA]])</f>
        <v>2016-8</v>
      </c>
    </row>
    <row r="1047" spans="1:4" x14ac:dyDescent="0.25">
      <c r="A1047" t="s">
        <v>1712</v>
      </c>
      <c r="B1047">
        <v>4</v>
      </c>
      <c r="C1047" s="56">
        <v>42614</v>
      </c>
      <c r="D1047" s="3" t="str">
        <f>YEAR(Datos_Consumo[[#This Row],[FECHA]])&amp;"-"&amp;MONTH(Datos_Consumo[[#This Row],[FECHA]])</f>
        <v>2016-9</v>
      </c>
    </row>
    <row r="1048" spans="1:4" x14ac:dyDescent="0.25">
      <c r="A1048" t="s">
        <v>2461</v>
      </c>
      <c r="B1048">
        <v>3</v>
      </c>
      <c r="C1048" s="56">
        <v>42583</v>
      </c>
      <c r="D1048" s="3" t="str">
        <f>YEAR(Datos_Consumo[[#This Row],[FECHA]])&amp;"-"&amp;MONTH(Datos_Consumo[[#This Row],[FECHA]])</f>
        <v>2016-8</v>
      </c>
    </row>
    <row r="1049" spans="1:4" x14ac:dyDescent="0.25">
      <c r="A1049" t="s">
        <v>2462</v>
      </c>
      <c r="B1049">
        <v>3</v>
      </c>
      <c r="C1049" s="56">
        <v>42583</v>
      </c>
      <c r="D1049" s="3" t="str">
        <f>YEAR(Datos_Consumo[[#This Row],[FECHA]])&amp;"-"&amp;MONTH(Datos_Consumo[[#This Row],[FECHA]])</f>
        <v>2016-8</v>
      </c>
    </row>
    <row r="1050" spans="1:4" x14ac:dyDescent="0.25">
      <c r="A1050" t="s">
        <v>1713</v>
      </c>
      <c r="B1050">
        <v>3</v>
      </c>
      <c r="C1050" s="56">
        <v>42491</v>
      </c>
      <c r="D1050" s="3" t="str">
        <f>YEAR(Datos_Consumo[[#This Row],[FECHA]])&amp;"-"&amp;MONTH(Datos_Consumo[[#This Row],[FECHA]])</f>
        <v>2016-5</v>
      </c>
    </row>
    <row r="1051" spans="1:4" x14ac:dyDescent="0.25">
      <c r="A1051" t="s">
        <v>1713</v>
      </c>
      <c r="B1051">
        <v>1</v>
      </c>
      <c r="C1051" s="56">
        <v>42522</v>
      </c>
      <c r="D1051" s="3" t="str">
        <f>YEAR(Datos_Consumo[[#This Row],[FECHA]])&amp;"-"&amp;MONTH(Datos_Consumo[[#This Row],[FECHA]])</f>
        <v>2016-6</v>
      </c>
    </row>
    <row r="1052" spans="1:4" x14ac:dyDescent="0.25">
      <c r="A1052" t="s">
        <v>1713</v>
      </c>
      <c r="B1052">
        <v>1</v>
      </c>
      <c r="C1052" s="56">
        <v>42583</v>
      </c>
      <c r="D1052" s="3" t="str">
        <f>YEAR(Datos_Consumo[[#This Row],[FECHA]])&amp;"-"&amp;MONTH(Datos_Consumo[[#This Row],[FECHA]])</f>
        <v>2016-8</v>
      </c>
    </row>
    <row r="1053" spans="1:4" x14ac:dyDescent="0.25">
      <c r="A1053" t="s">
        <v>1714</v>
      </c>
      <c r="B1053">
        <v>3</v>
      </c>
      <c r="C1053" s="56">
        <v>42491</v>
      </c>
      <c r="D1053" s="3" t="str">
        <f>YEAR(Datos_Consumo[[#This Row],[FECHA]])&amp;"-"&amp;MONTH(Datos_Consumo[[#This Row],[FECHA]])</f>
        <v>2016-5</v>
      </c>
    </row>
  </sheetData>
  <pageMargins left="0.7" right="0.7" top="0.75" bottom="0.75" header="0.3" footer="0.3"/>
  <pageSetup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24</vt:i4>
      </vt:variant>
    </vt:vector>
  </HeadingPairs>
  <TitlesOfParts>
    <vt:vector size="41" baseType="lpstr">
      <vt:lpstr>TRANSFERENCIA</vt:lpstr>
      <vt:lpstr>Form</vt:lpstr>
      <vt:lpstr>DUE</vt:lpstr>
      <vt:lpstr>PATH</vt:lpstr>
      <vt:lpstr>DATOS</vt:lpstr>
      <vt:lpstr>REPETIDO</vt:lpstr>
      <vt:lpstr>USER</vt:lpstr>
      <vt:lpstr>CUBICAJE</vt:lpstr>
      <vt:lpstr>RECETAS</vt:lpstr>
      <vt:lpstr>ASIGNACION</vt:lpstr>
      <vt:lpstr>MPyPT</vt:lpstr>
      <vt:lpstr>Causas</vt:lpstr>
      <vt:lpstr>IMPRESION</vt:lpstr>
      <vt:lpstr>CriteriosFiltros</vt:lpstr>
      <vt:lpstr>CONSOLIDADOS</vt:lpstr>
      <vt:lpstr>v_buffer_hist_hoy</vt:lpstr>
      <vt:lpstr>CONSUMO</vt:lpstr>
      <vt:lpstr>CODTRANSFERENCIA</vt:lpstr>
      <vt:lpstr>DESTINO</vt:lpstr>
      <vt:lpstr>EMPRESA</vt:lpstr>
      <vt:lpstr>FaltaCausa</vt:lpstr>
      <vt:lpstr>FECHAARRIBO</vt:lpstr>
      <vt:lpstr>FECHACIERRE</vt:lpstr>
      <vt:lpstr>FECHANOMBRE</vt:lpstr>
      <vt:lpstr>FECHAORIGEN</vt:lpstr>
      <vt:lpstr>ImprEmpresa</vt:lpstr>
      <vt:lpstr>ImprFecha</vt:lpstr>
      <vt:lpstr>INI_PERIODO</vt:lpstr>
      <vt:lpstr>INICIO</vt:lpstr>
      <vt:lpstr>Observacion</vt:lpstr>
      <vt:lpstr>ORIGEN</vt:lpstr>
      <vt:lpstr>PATHTRANSFERENCIA</vt:lpstr>
      <vt:lpstr>PERSONA</vt:lpstr>
      <vt:lpstr>RangoCausas</vt:lpstr>
      <vt:lpstr>REFERENCIA</vt:lpstr>
      <vt:lpstr>TABLA</vt:lpstr>
      <vt:lpstr>TIPO</vt:lpstr>
      <vt:lpstr>TIPO_TRANSFER</vt:lpstr>
      <vt:lpstr>US</vt:lpstr>
      <vt:lpstr>USER</vt:lpstr>
      <vt:lpstr>VALORTOTAL</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2012-09-10T17:11:01Z</cp:lastPrinted>
  <dcterms:created xsi:type="dcterms:W3CDTF">2010-03-30T06:48:36Z</dcterms:created>
  <dcterms:modified xsi:type="dcterms:W3CDTF">2016-10-18T16:57:26Z</dcterms:modified>
</cp:coreProperties>
</file>