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120" windowWidth="20055" windowHeight="9210" activeTab="1"/>
  </bookViews>
  <sheets>
    <sheet name="CABECERA" sheetId="1" r:id="rId1"/>
    <sheet name="DETALLE" sheetId="2" r:id="rId2"/>
    <sheet name="DATOS" sheetId="4" r:id="rId3"/>
  </sheets>
  <definedNames>
    <definedName name="Consulta_desde_ODBC_RAMCAS1" localSheetId="2" hidden="1">DATOS!$A$1:$B$2</definedName>
    <definedName name="Consulta_desde_ODBC_RAMCAS1_1" localSheetId="2" hidden="1">DATOS!$D$1:$G$53</definedName>
    <definedName name="Consulta_desde_ODBC_RAMCAS1_2" localSheetId="2" hidden="1">DATOS!$I$1:$J$15</definedName>
  </definedNames>
  <calcPr calcId="125725"/>
</workbook>
</file>

<file path=xl/calcChain.xml><?xml version="1.0" encoding="utf-8"?>
<calcChain xmlns="http://schemas.openxmlformats.org/spreadsheetml/2006/main">
  <c r="A5" i="2"/>
  <c r="A6"/>
  <c r="A5" i="1"/>
  <c r="D5"/>
  <c r="F5"/>
  <c r="A4" i="2"/>
  <c r="A4" i="1"/>
  <c r="D4"/>
  <c r="F4"/>
  <c r="A3" i="2"/>
  <c r="A3" i="1"/>
  <c r="D3"/>
  <c r="F3"/>
  <c r="A2" i="2"/>
  <c r="A2" i="1"/>
  <c r="D2"/>
  <c r="F2"/>
</calcChain>
</file>

<file path=xl/connections.xml><?xml version="1.0" encoding="utf-8"?>
<connections xmlns="http://schemas.openxmlformats.org/spreadsheetml/2006/main">
  <connection id="1" name="Consulta desde ODBC RAMCAS1" type="1" refreshedVersion="3" background="1" saveData="1">
    <dbPr connection="DSN=ODBC RAMCAS1;" command="SELECT empresa_0.emp_codigo, empresa_0.emp_nombre_x000d__x000a_FROM ramcas.empresa empresa_0"/>
  </connection>
  <connection id="2" name="Consulta desde ODBC RAMCAS11" type="1" refreshedVersion="3" saveData="1">
    <dbPr connection="DSN=ODBC RAMCAS1;" command="SELECT_x000d__x000a_empresa.emp_nombre,_x000d__x000a_bodega.bod_codigo,_x000d__x000a_bodega.bod_nombre,_x000d__x000a_empresa.emp_codigo_x000d__x000a_FROM_x000d__x000a_bodega_x000d__x000a_INNER JOIN empresa ON bodega.bod_empresa_id = empresa.empresa_id AND empresa.empresa_id = bodega.bod_empresa_id"/>
  </connection>
  <connection id="3" name="Consulta desde ODBC RAMCAS12" type="1" refreshedVersion="3" saveData="1">
    <dbPr connection="DSN=ODBC RAMCAS1;" command="select pro_codigo, pro_nombre from proveedor"/>
  </connection>
</connections>
</file>

<file path=xl/sharedStrings.xml><?xml version="1.0" encoding="utf-8"?>
<sst xmlns="http://schemas.openxmlformats.org/spreadsheetml/2006/main" count="282" uniqueCount="144">
  <si>
    <t>COD_TRANSFERENCIA</t>
  </si>
  <si>
    <t>BOD_ORIGEN</t>
  </si>
  <si>
    <t>BOD_DESTINO</t>
  </si>
  <si>
    <t>FECHA_CREACION</t>
  </si>
  <si>
    <t>COD_PRODUCTO</t>
  </si>
  <si>
    <t>REQUERIM</t>
  </si>
  <si>
    <t>REQ_NETO</t>
  </si>
  <si>
    <t>bod_codigo</t>
  </si>
  <si>
    <t>bod_nombre</t>
  </si>
  <si>
    <t>emp_codigo</t>
  </si>
  <si>
    <t>emp_nombre</t>
  </si>
  <si>
    <t>pro_nombre</t>
  </si>
  <si>
    <t>EMPRESA</t>
  </si>
  <si>
    <t>COD_EMPRESA</t>
  </si>
  <si>
    <t>COD_BOD_ORIGEN</t>
  </si>
  <si>
    <t>COD_BOD_DESTINO</t>
  </si>
  <si>
    <t>pro_codigo</t>
  </si>
  <si>
    <t>15</t>
  </si>
  <si>
    <t>16</t>
  </si>
  <si>
    <t>22</t>
  </si>
  <si>
    <t>24</t>
  </si>
  <si>
    <t>25</t>
  </si>
  <si>
    <t>28</t>
  </si>
  <si>
    <t>29</t>
  </si>
  <si>
    <t>31</t>
  </si>
  <si>
    <t>32</t>
  </si>
  <si>
    <t>33</t>
  </si>
  <si>
    <t>34</t>
  </si>
  <si>
    <t>35</t>
  </si>
  <si>
    <t>2</t>
  </si>
  <si>
    <t>JAHER</t>
  </si>
  <si>
    <t>CDC CALIFORNIA</t>
  </si>
  <si>
    <t>261</t>
  </si>
  <si>
    <t>CDR.MACHALA</t>
  </si>
  <si>
    <t>274</t>
  </si>
  <si>
    <t>CDR.CUENCA</t>
  </si>
  <si>
    <t>CDR GUAYAQUIL 25</t>
  </si>
  <si>
    <t>196</t>
  </si>
  <si>
    <t>CDR.QUITO</t>
  </si>
  <si>
    <t>CDR.AMBATO</t>
  </si>
  <si>
    <t>124</t>
  </si>
  <si>
    <t>CDR.MANABI</t>
  </si>
  <si>
    <t>159</t>
  </si>
  <si>
    <t>CDR.BABAHOYO</t>
  </si>
  <si>
    <t>1</t>
  </si>
  <si>
    <t>CUE.Luis Cordero</t>
  </si>
  <si>
    <t>CUE.Mall del Rio</t>
  </si>
  <si>
    <t>309</t>
  </si>
  <si>
    <t>CUE.El Arenal 2</t>
  </si>
  <si>
    <t>CUE.El Arenal</t>
  </si>
  <si>
    <t>250</t>
  </si>
  <si>
    <t>CUE.Lamar</t>
  </si>
  <si>
    <t>9</t>
  </si>
  <si>
    <t>AMB.Cevallos</t>
  </si>
  <si>
    <t>11</t>
  </si>
  <si>
    <t>AMB.Riobamba</t>
  </si>
  <si>
    <t>AMB.Tena</t>
  </si>
  <si>
    <t>269</t>
  </si>
  <si>
    <t>AMB.Salcedo</t>
  </si>
  <si>
    <t>270</t>
  </si>
  <si>
    <t>AMB.Puyo</t>
  </si>
  <si>
    <t>GYE.9 de Octubre I</t>
  </si>
  <si>
    <t>GYE.9 de Octubre II</t>
  </si>
  <si>
    <t>189</t>
  </si>
  <si>
    <t>GYE.Duran III</t>
  </si>
  <si>
    <t>249</t>
  </si>
  <si>
    <t>GYE.Portete III</t>
  </si>
  <si>
    <t>87</t>
  </si>
  <si>
    <t>MAN.Mega</t>
  </si>
  <si>
    <t>125</t>
  </si>
  <si>
    <t>MAN.Rocafuerte</t>
  </si>
  <si>
    <t>188</t>
  </si>
  <si>
    <t>MAN.Portoviejo II</t>
  </si>
  <si>
    <t>266</t>
  </si>
  <si>
    <t>MAN.Tarqui II</t>
  </si>
  <si>
    <t>5</t>
  </si>
  <si>
    <t>BBH.Guaranda</t>
  </si>
  <si>
    <t>BBH.Montalvo</t>
  </si>
  <si>
    <t>BBH:Babahoyo</t>
  </si>
  <si>
    <t>101</t>
  </si>
  <si>
    <t>BBH.Quevedo</t>
  </si>
  <si>
    <t>265</t>
  </si>
  <si>
    <t>BBH.Ventanas</t>
  </si>
  <si>
    <t>116</t>
  </si>
  <si>
    <t>UIO.Santo Domingo</t>
  </si>
  <si>
    <t>198</t>
  </si>
  <si>
    <t>UIO.Santo Domingo 3</t>
  </si>
  <si>
    <t>228</t>
  </si>
  <si>
    <t>UIO.Naciones Unidas</t>
  </si>
  <si>
    <t>229</t>
  </si>
  <si>
    <t>UIO.Recreo</t>
  </si>
  <si>
    <t>244</t>
  </si>
  <si>
    <t>UIO.Recreo III</t>
  </si>
  <si>
    <t>247</t>
  </si>
  <si>
    <t>UIO.Sangolquí</t>
  </si>
  <si>
    <t>248</t>
  </si>
  <si>
    <t>UIO.La Prensa 2</t>
  </si>
  <si>
    <t>6</t>
  </si>
  <si>
    <t>MAC.Machala</t>
  </si>
  <si>
    <t>MAC.Pasaje</t>
  </si>
  <si>
    <t>CDC.Mall del Sur</t>
  </si>
  <si>
    <t>49</t>
  </si>
  <si>
    <t>CDC.California</t>
  </si>
  <si>
    <t>108</t>
  </si>
  <si>
    <t>CDC.Trinitaria</t>
  </si>
  <si>
    <t>152</t>
  </si>
  <si>
    <t>CDC.Alborada II</t>
  </si>
  <si>
    <t>182</t>
  </si>
  <si>
    <t>CDC.Florida II</t>
  </si>
  <si>
    <t>190</t>
  </si>
  <si>
    <t>CDC.Guasmo III</t>
  </si>
  <si>
    <t>260</t>
  </si>
  <si>
    <t>CDC.Daule</t>
  </si>
  <si>
    <t>267</t>
  </si>
  <si>
    <t>CDC.La Libertad</t>
  </si>
  <si>
    <t>8</t>
  </si>
  <si>
    <t>CDC.La Troncal</t>
  </si>
  <si>
    <t>100</t>
  </si>
  <si>
    <t>CDC.Milagro</t>
  </si>
  <si>
    <t>350</t>
  </si>
  <si>
    <t>GYE.Mayoreo</t>
  </si>
  <si>
    <t>351</t>
  </si>
  <si>
    <t>UIO.Mayoreo</t>
  </si>
  <si>
    <t>CDC.GYE</t>
  </si>
  <si>
    <t>4</t>
  </si>
  <si>
    <t>CDR.CUE</t>
  </si>
  <si>
    <t>CDR.AMB</t>
  </si>
  <si>
    <t>CDR 25</t>
  </si>
  <si>
    <t>CDR.Manabí</t>
  </si>
  <si>
    <t>CDR.Babahoyo</t>
  </si>
  <si>
    <t>CDR.UIO Sur</t>
  </si>
  <si>
    <t>MAC. Bodega Machala II</t>
  </si>
  <si>
    <t>Induglob</t>
  </si>
  <si>
    <t>10</t>
  </si>
  <si>
    <t>Electrolux</t>
  </si>
  <si>
    <t>Mabe</t>
  </si>
  <si>
    <t>12</t>
  </si>
  <si>
    <t>LG</t>
  </si>
  <si>
    <t>13</t>
  </si>
  <si>
    <t>IMPORTACIÓN</t>
  </si>
  <si>
    <t>14</t>
  </si>
  <si>
    <t>COMPRA LOCAL</t>
  </si>
  <si>
    <t>BC2011</t>
  </si>
  <si>
    <t>BC2026</t>
  </si>
</sst>
</file>

<file path=xl/styles.xml><?xml version="1.0" encoding="utf-8"?>
<styleSheet xmlns="http://schemas.openxmlformats.org/spreadsheetml/2006/main">
  <numFmts count="1">
    <numFmt numFmtId="164" formatCode="yyyy\-mm\-dd;@"/>
  </numFmts>
  <fonts count="2"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0" xfId="0" applyNumberFormat="1"/>
    <xf numFmtId="0" fontId="0" fillId="0" borderId="0" xfId="0" applyNumberFormat="1" applyFont="1"/>
    <xf numFmtId="0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0" fontId="1" fillId="0" borderId="0" xfId="0" applyNumberFormat="1" applyFont="1" applyBorder="1"/>
  </cellXfs>
  <cellStyles count="1">
    <cellStyle name="Normal" xfId="0" builtinId="0"/>
  </cellStyles>
  <dxfs count="5">
    <dxf>
      <numFmt numFmtId="0" formatCode="General"/>
    </dxf>
    <dxf>
      <numFmt numFmtId="164" formatCode="yyyy\-mm\-dd;@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sulta desde ODBC RAMCAS1" connectionId="1" autoFormatId="16" applyNumberFormats="0" applyBorderFormats="0" applyFontFormats="0" applyPatternFormats="0" applyAlignmentFormats="0" applyWidthHeightFormats="0">
  <queryTableRefresh nextId="6">
    <queryTableFields count="2">
      <queryTableField id="4" name="emp_codigo" tableColumnId="4"/>
      <queryTableField id="5" name="emp_nombre" tableColumnId="5"/>
    </queryTableFields>
  </queryTableRefresh>
</queryTable>
</file>

<file path=xl/queryTables/queryTable2.xml><?xml version="1.0" encoding="utf-8"?>
<queryTable xmlns="http://schemas.openxmlformats.org/spreadsheetml/2006/main" name="Consulta desde ODBC RAMCAS1_1" backgroundRefresh="0" connectionId="2" autoFormatId="16" applyNumberFormats="0" applyBorderFormats="0" applyFontFormats="0" applyPatternFormats="0" applyAlignmentFormats="0" applyWidthHeightFormats="0">
  <queryTableRefresh nextId="6">
    <queryTableFields count="4">
      <queryTableField id="2" name="bod_codigo" tableColumnId="2"/>
      <queryTableField id="3" name="bod_nombre" tableColumnId="3"/>
      <queryTableField id="4" name="emp_nombre" tableColumnId="4"/>
      <queryTableField id="5" name="emp_codigo" tableColumnId="5"/>
    </queryTableFields>
  </queryTableRefresh>
</queryTable>
</file>

<file path=xl/queryTables/queryTable3.xml><?xml version="1.0" encoding="utf-8"?>
<queryTable xmlns="http://schemas.openxmlformats.org/spreadsheetml/2006/main" name="Consulta desde ODBC RAMCAS1_2" backgroundRefresh="0" connectionId="3" autoFormatId="16" applyNumberFormats="0" applyBorderFormats="0" applyFontFormats="0" applyPatternFormats="0" applyAlignmentFormats="0" applyWidthHeightFormats="0">
  <queryTableRefresh nextId="9">
    <queryTableFields count="2">
      <queryTableField id="7" name="pro_codigo" tableColumnId="1"/>
      <queryTableField id="6" name="pro_nombre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abecera" displayName="Cabecera" ref="A1:H5" totalsRowShown="0">
  <autoFilter ref="A1:H5">
    <filterColumn colId="0"/>
    <filterColumn colId="1"/>
    <filterColumn colId="3"/>
    <filterColumn colId="5"/>
  </autoFilter>
  <tableColumns count="8">
    <tableColumn id="6" name="COD_EMPRESA" dataDxfId="4">
      <calculatedColumnFormula>INDEX(Empresa[emp_codigo],MATCH(Cabecera[[#This Row],[EMPRESA]],Empresa[emp_nombre],0))</calculatedColumnFormula>
    </tableColumn>
    <tableColumn id="5" name="EMPRESA"/>
    <tableColumn id="1" name="COD_TRANSFERENCIA"/>
    <tableColumn id="7" name="COD_BOD_ORIGEN" dataDxfId="3">
      <calculatedColumnFormula>INDEX(Proveedor[pro_codigo],MATCH(Cabecera[[#This Row],[BOD_ORIGEN]],Proveedor[pro_nombre],0))</calculatedColumnFormula>
    </tableColumn>
    <tableColumn id="2" name="BOD_ORIGEN"/>
    <tableColumn id="8" name="COD_BOD_DESTINO" dataDxfId="2">
      <calculatedColumnFormula>INDEX(Bodega[bod_codigo],MATCH(Cabecera[[#This Row],[BOD_DESTINO]],Bodega[bod_nombre],0),1)</calculatedColumnFormula>
    </tableColumn>
    <tableColumn id="3" name="BOD_DESTINO"/>
    <tableColumn id="4" name="FECHA_CREACION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Detalle" displayName="Detalle" ref="A1:F6" totalsRowShown="0">
  <autoFilter ref="A1:F6">
    <filterColumn colId="0"/>
    <filterColumn colId="1"/>
  </autoFilter>
  <tableColumns count="6">
    <tableColumn id="6" name="COD_EMPRESA" dataDxfId="0">
      <calculatedColumnFormula>INDEX(Empresa[emp_codigo],MATCH(Detalle[[#This Row],[EMPRESA]],Empresa[emp_nombre],0),1)</calculatedColumnFormula>
    </tableColumn>
    <tableColumn id="5" name="EMPRESA"/>
    <tableColumn id="1" name="COD_TRANSFERENCIA"/>
    <tableColumn id="2" name="COD_PRODUCTO"/>
    <tableColumn id="3" name="REQUERIM"/>
    <tableColumn id="4" name="REQ_NETO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Empresa" displayName="Empresa" ref="A1:B2" tableType="queryTable" totalsRowShown="0">
  <autoFilter ref="A1:B2"/>
  <tableColumns count="2">
    <tableColumn id="4" uniqueName="4" name="emp_codigo" queryTableFieldId="4"/>
    <tableColumn id="5" uniqueName="5" name="emp_nombre" queryTableFieldId="5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Bodega" displayName="Bodega" ref="D1:G53" tableType="queryTable" totalsRowShown="0">
  <autoFilter ref="D1:G53"/>
  <tableColumns count="4">
    <tableColumn id="2" uniqueName="2" name="bod_codigo" queryTableFieldId="2"/>
    <tableColumn id="3" uniqueName="3" name="bod_nombre" queryTableFieldId="3"/>
    <tableColumn id="4" uniqueName="4" name="emp_nombre" queryTableFieldId="4"/>
    <tableColumn id="5" uniqueName="5" name="emp_codigo" queryTableFieldId="5"/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id="5" name="Proveedor" displayName="Proveedor" ref="I1:J15" tableType="queryTable" totalsRowShown="0">
  <autoFilter ref="I1:J15"/>
  <tableColumns count="2">
    <tableColumn id="1" uniqueName="1" name="pro_codigo" queryTableFieldId="7"/>
    <tableColumn id="6" uniqueName="6" name="pro_nombre" queryTableFieldId="6"/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H5"/>
  <sheetViews>
    <sheetView showGridLines="0" workbookViewId="0">
      <selection activeCell="A2" sqref="A2:H129"/>
    </sheetView>
  </sheetViews>
  <sheetFormatPr baseColWidth="10" defaultRowHeight="15"/>
  <cols>
    <col min="1" max="1" width="16.5703125" bestFit="1" customWidth="1"/>
    <col min="2" max="3" width="22.7109375" bestFit="1" customWidth="1"/>
    <col min="4" max="4" width="19" customWidth="1"/>
    <col min="5" max="5" width="19.28515625" bestFit="1" customWidth="1"/>
    <col min="6" max="6" width="16.5703125" bestFit="1" customWidth="1"/>
    <col min="7" max="7" width="20.140625" bestFit="1" customWidth="1"/>
    <col min="8" max="8" width="20.85546875" bestFit="1" customWidth="1"/>
  </cols>
  <sheetData>
    <row r="1" spans="1:8">
      <c r="A1" t="s">
        <v>13</v>
      </c>
      <c r="B1" t="s">
        <v>12</v>
      </c>
      <c r="C1" t="s">
        <v>0</v>
      </c>
      <c r="D1" t="s">
        <v>14</v>
      </c>
      <c r="E1" t="s">
        <v>1</v>
      </c>
      <c r="F1" t="s">
        <v>15</v>
      </c>
      <c r="G1" t="s">
        <v>2</v>
      </c>
      <c r="H1" t="s">
        <v>3</v>
      </c>
    </row>
    <row r="2" spans="1:8">
      <c r="A2" s="2" t="str">
        <f>INDEX(Empresa[emp_codigo],MATCH(Cabecera[[#This Row],[EMPRESA]],Empresa[emp_nombre],0))</f>
        <v>2</v>
      </c>
      <c r="B2" t="s">
        <v>30</v>
      </c>
      <c r="C2">
        <v>230</v>
      </c>
      <c r="D2" s="3" t="str">
        <f>INDEX(Proveedor[pro_codigo],MATCH(Cabecera[[#This Row],[BOD_ORIGEN]],Proveedor[pro_nombre],0))</f>
        <v>28</v>
      </c>
      <c r="E2" t="s">
        <v>123</v>
      </c>
      <c r="F2" s="2" t="str">
        <f>INDEX(Bodega[bod_codigo],MATCH(Cabecera[[#This Row],[BOD_DESTINO]],Bodega[bod_nombre],0),1)</f>
        <v>25</v>
      </c>
      <c r="G2" t="s">
        <v>36</v>
      </c>
      <c r="H2" s="1">
        <v>41561</v>
      </c>
    </row>
    <row r="3" spans="1:8">
      <c r="A3" s="4" t="str">
        <f>INDEX(Empresa[emp_codigo],MATCH(Cabecera[[#This Row],[EMPRESA]],Empresa[emp_nombre],0))</f>
        <v>2</v>
      </c>
      <c r="B3" s="5" t="s">
        <v>30</v>
      </c>
      <c r="C3" s="5">
        <v>231</v>
      </c>
      <c r="D3" s="7" t="str">
        <f>INDEX(Proveedor[pro_codigo],MATCH(Cabecera[[#This Row],[BOD_ORIGEN]],Proveedor[pro_nombre],0))</f>
        <v>28</v>
      </c>
      <c r="E3" s="5" t="s">
        <v>123</v>
      </c>
      <c r="F3" s="4" t="str">
        <f>INDEX(Bodega[bod_codigo],MATCH(Cabecera[[#This Row],[BOD_DESTINO]],Bodega[bod_nombre],0),1)</f>
        <v>24</v>
      </c>
      <c r="G3" s="5" t="s">
        <v>39</v>
      </c>
      <c r="H3" s="6">
        <v>41561</v>
      </c>
    </row>
    <row r="4" spans="1:8">
      <c r="A4" s="4" t="str">
        <f>INDEX(Empresa[emp_codigo],MATCH(Cabecera[[#This Row],[EMPRESA]],Empresa[emp_nombre],0))</f>
        <v>2</v>
      </c>
      <c r="B4" s="5" t="s">
        <v>30</v>
      </c>
      <c r="C4" s="5">
        <v>232</v>
      </c>
      <c r="D4" s="7" t="str">
        <f>INDEX(Proveedor[pro_codigo],MATCH(Cabecera[[#This Row],[BOD_ORIGEN]],Proveedor[pro_nombre],0))</f>
        <v>28</v>
      </c>
      <c r="E4" s="5" t="s">
        <v>123</v>
      </c>
      <c r="F4" s="4" t="str">
        <f>INDEX(Bodega[bod_codigo],MATCH(Cabecera[[#This Row],[BOD_DESTINO]],Bodega[bod_nombre],0),1)</f>
        <v>261</v>
      </c>
      <c r="G4" s="5" t="s">
        <v>33</v>
      </c>
      <c r="H4" s="6">
        <v>41561</v>
      </c>
    </row>
    <row r="5" spans="1:8">
      <c r="A5" s="4" t="str">
        <f>INDEX(Empresa[emp_codigo],MATCH(Cabecera[[#This Row],[EMPRESA]],Empresa[emp_nombre],0))</f>
        <v>2</v>
      </c>
      <c r="B5" s="5" t="s">
        <v>30</v>
      </c>
      <c r="C5" s="5">
        <v>233</v>
      </c>
      <c r="D5" s="7" t="str">
        <f>INDEX(Proveedor[pro_codigo],MATCH(Cabecera[[#This Row],[BOD_ORIGEN]],Proveedor[pro_nombre],0))</f>
        <v>28</v>
      </c>
      <c r="E5" s="5" t="s">
        <v>123</v>
      </c>
      <c r="F5" s="4" t="str">
        <f>INDEX(Bodega[bod_codigo],MATCH(Cabecera[[#This Row],[BOD_DESTINO]],Bodega[bod_nombre],0),1)</f>
        <v>196</v>
      </c>
      <c r="G5" s="5" t="s">
        <v>38</v>
      </c>
      <c r="H5" s="6">
        <v>41561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F6"/>
  <sheetViews>
    <sheetView tabSelected="1" workbookViewId="0">
      <selection activeCell="F5" sqref="F5:F6"/>
    </sheetView>
  </sheetViews>
  <sheetFormatPr baseColWidth="10" defaultRowHeight="15"/>
  <cols>
    <col min="1" max="1" width="16.5703125" bestFit="1" customWidth="1"/>
    <col min="2" max="2" width="12" customWidth="1"/>
  </cols>
  <sheetData>
    <row r="1" spans="1:6">
      <c r="A1" t="s">
        <v>13</v>
      </c>
      <c r="B1" t="s">
        <v>12</v>
      </c>
      <c r="C1" t="s">
        <v>0</v>
      </c>
      <c r="D1" t="s">
        <v>4</v>
      </c>
      <c r="E1" t="s">
        <v>5</v>
      </c>
      <c r="F1" t="s">
        <v>6</v>
      </c>
    </row>
    <row r="2" spans="1:6">
      <c r="A2" s="2" t="str">
        <f>INDEX(Empresa[emp_codigo],MATCH(Detalle[[#This Row],[EMPRESA]],Empresa[emp_nombre],0),1)</f>
        <v>2</v>
      </c>
      <c r="B2" t="s">
        <v>30</v>
      </c>
      <c r="C2">
        <v>230</v>
      </c>
      <c r="D2" t="s">
        <v>142</v>
      </c>
      <c r="E2">
        <v>1</v>
      </c>
      <c r="F2">
        <v>1</v>
      </c>
    </row>
    <row r="3" spans="1:6">
      <c r="A3" s="4" t="str">
        <f>INDEX(Empresa[emp_codigo],MATCH(Detalle[[#This Row],[EMPRESA]],Empresa[emp_nombre],0),1)</f>
        <v>2</v>
      </c>
      <c r="B3" s="5" t="s">
        <v>30</v>
      </c>
      <c r="C3" s="5">
        <v>231</v>
      </c>
      <c r="D3" s="5" t="s">
        <v>142</v>
      </c>
      <c r="E3" s="5">
        <v>1</v>
      </c>
      <c r="F3" s="5">
        <v>1</v>
      </c>
    </row>
    <row r="4" spans="1:6">
      <c r="A4" s="4" t="str">
        <f>INDEX(Empresa[emp_codigo],MATCH(Detalle[[#This Row],[EMPRESA]],Empresa[emp_nombre],0),1)</f>
        <v>2</v>
      </c>
      <c r="B4" s="5" t="s">
        <v>30</v>
      </c>
      <c r="C4" s="5">
        <v>232</v>
      </c>
      <c r="D4" s="5" t="s">
        <v>142</v>
      </c>
      <c r="E4" s="5">
        <v>1</v>
      </c>
      <c r="F4" s="5">
        <v>1</v>
      </c>
    </row>
    <row r="5" spans="1:6">
      <c r="A5" s="2" t="str">
        <f>INDEX(Empresa[emp_codigo],MATCH(Detalle[[#This Row],[EMPRESA]],Empresa[emp_nombre],0),1)</f>
        <v>2</v>
      </c>
      <c r="B5" t="s">
        <v>30</v>
      </c>
      <c r="C5">
        <v>233</v>
      </c>
      <c r="D5" t="s">
        <v>142</v>
      </c>
      <c r="E5">
        <v>1</v>
      </c>
      <c r="F5">
        <v>1</v>
      </c>
    </row>
    <row r="6" spans="1:6">
      <c r="A6" s="4" t="str">
        <f>INDEX(Empresa[emp_codigo],MATCH(Detalle[[#This Row],[EMPRESA]],Empresa[emp_nombre],0),1)</f>
        <v>2</v>
      </c>
      <c r="B6" s="5" t="s">
        <v>30</v>
      </c>
      <c r="C6" s="5">
        <v>233</v>
      </c>
      <c r="D6" s="5" t="s">
        <v>143</v>
      </c>
      <c r="E6" s="5">
        <v>1</v>
      </c>
      <c r="F6" s="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J53"/>
  <sheetViews>
    <sheetView workbookViewId="0">
      <selection activeCell="F26" sqref="F26"/>
    </sheetView>
  </sheetViews>
  <sheetFormatPr baseColWidth="10" defaultRowHeight="15"/>
  <cols>
    <col min="1" max="1" width="14.140625" customWidth="1"/>
    <col min="2" max="2" width="15.28515625" customWidth="1"/>
    <col min="3" max="3" width="18.140625" bestFit="1" customWidth="1"/>
    <col min="4" max="4" width="13.5703125" bestFit="1" customWidth="1"/>
    <col min="5" max="5" width="20" bestFit="1" customWidth="1"/>
    <col min="6" max="6" width="15.28515625" bestFit="1" customWidth="1"/>
    <col min="7" max="7" width="14.140625" bestFit="1" customWidth="1"/>
    <col min="9" max="9" width="13.140625" customWidth="1"/>
    <col min="10" max="10" width="22.42578125" customWidth="1"/>
  </cols>
  <sheetData>
    <row r="1" spans="1:10">
      <c r="A1" t="s">
        <v>9</v>
      </c>
      <c r="B1" t="s">
        <v>10</v>
      </c>
      <c r="D1" t="s">
        <v>7</v>
      </c>
      <c r="E1" t="s">
        <v>8</v>
      </c>
      <c r="F1" t="s">
        <v>10</v>
      </c>
      <c r="G1" t="s">
        <v>9</v>
      </c>
      <c r="I1" t="s">
        <v>16</v>
      </c>
      <c r="J1" t="s">
        <v>11</v>
      </c>
    </row>
    <row r="2" spans="1:10">
      <c r="A2" t="s">
        <v>29</v>
      </c>
      <c r="B2" t="s">
        <v>30</v>
      </c>
      <c r="D2" t="s">
        <v>22</v>
      </c>
      <c r="E2" t="s">
        <v>31</v>
      </c>
      <c r="F2" t="s">
        <v>30</v>
      </c>
      <c r="G2" t="s">
        <v>29</v>
      </c>
      <c r="I2" t="s">
        <v>22</v>
      </c>
      <c r="J2" t="s">
        <v>123</v>
      </c>
    </row>
    <row r="3" spans="1:10">
      <c r="D3" t="s">
        <v>32</v>
      </c>
      <c r="E3" t="s">
        <v>33</v>
      </c>
      <c r="F3" t="s">
        <v>30</v>
      </c>
      <c r="G3" t="s">
        <v>29</v>
      </c>
      <c r="I3" t="s">
        <v>124</v>
      </c>
      <c r="J3" t="s">
        <v>125</v>
      </c>
    </row>
    <row r="4" spans="1:10">
      <c r="D4" t="s">
        <v>34</v>
      </c>
      <c r="E4" t="s">
        <v>35</v>
      </c>
      <c r="F4" t="s">
        <v>30</v>
      </c>
      <c r="G4" t="s">
        <v>29</v>
      </c>
      <c r="I4" t="s">
        <v>20</v>
      </c>
      <c r="J4" t="s">
        <v>126</v>
      </c>
    </row>
    <row r="5" spans="1:10">
      <c r="D5" t="s">
        <v>21</v>
      </c>
      <c r="E5" t="s">
        <v>36</v>
      </c>
      <c r="F5" t="s">
        <v>30</v>
      </c>
      <c r="G5" t="s">
        <v>29</v>
      </c>
      <c r="I5" t="s">
        <v>21</v>
      </c>
      <c r="J5" t="s">
        <v>127</v>
      </c>
    </row>
    <row r="6" spans="1:10">
      <c r="D6" t="s">
        <v>37</v>
      </c>
      <c r="E6" t="s">
        <v>38</v>
      </c>
      <c r="F6" t="s">
        <v>30</v>
      </c>
      <c r="G6" t="s">
        <v>29</v>
      </c>
      <c r="I6" t="s">
        <v>40</v>
      </c>
      <c r="J6" t="s">
        <v>128</v>
      </c>
    </row>
    <row r="7" spans="1:10">
      <c r="D7" t="s">
        <v>20</v>
      </c>
      <c r="E7" t="s">
        <v>39</v>
      </c>
      <c r="F7" t="s">
        <v>30</v>
      </c>
      <c r="G7" t="s">
        <v>29</v>
      </c>
      <c r="I7" t="s">
        <v>42</v>
      </c>
      <c r="J7" t="s">
        <v>129</v>
      </c>
    </row>
    <row r="8" spans="1:10">
      <c r="D8" t="s">
        <v>40</v>
      </c>
      <c r="E8" t="s">
        <v>41</v>
      </c>
      <c r="F8" t="s">
        <v>30</v>
      </c>
      <c r="G8" t="s">
        <v>29</v>
      </c>
      <c r="I8" t="s">
        <v>37</v>
      </c>
      <c r="J8" t="s">
        <v>130</v>
      </c>
    </row>
    <row r="9" spans="1:10">
      <c r="D9" t="s">
        <v>42</v>
      </c>
      <c r="E9" t="s">
        <v>43</v>
      </c>
      <c r="F9" t="s">
        <v>30</v>
      </c>
      <c r="G9" t="s">
        <v>29</v>
      </c>
      <c r="I9" t="s">
        <v>115</v>
      </c>
      <c r="J9" t="s">
        <v>131</v>
      </c>
    </row>
    <row r="10" spans="1:10">
      <c r="D10" t="s">
        <v>44</v>
      </c>
      <c r="E10" t="s">
        <v>45</v>
      </c>
      <c r="F10" t="s">
        <v>30</v>
      </c>
      <c r="G10" t="s">
        <v>29</v>
      </c>
      <c r="I10" t="s">
        <v>52</v>
      </c>
      <c r="J10" t="s">
        <v>132</v>
      </c>
    </row>
    <row r="11" spans="1:10">
      <c r="D11" t="s">
        <v>25</v>
      </c>
      <c r="E11" t="s">
        <v>46</v>
      </c>
      <c r="F11" t="s">
        <v>30</v>
      </c>
      <c r="G11" t="s">
        <v>29</v>
      </c>
      <c r="I11" t="s">
        <v>133</v>
      </c>
      <c r="J11" t="s">
        <v>134</v>
      </c>
    </row>
    <row r="12" spans="1:10">
      <c r="D12" t="s">
        <v>47</v>
      </c>
      <c r="E12" t="s">
        <v>48</v>
      </c>
      <c r="F12" t="s">
        <v>30</v>
      </c>
      <c r="G12" t="s">
        <v>29</v>
      </c>
      <c r="I12" t="s">
        <v>54</v>
      </c>
      <c r="J12" t="s">
        <v>135</v>
      </c>
    </row>
    <row r="13" spans="1:10">
      <c r="D13" t="s">
        <v>24</v>
      </c>
      <c r="E13" t="s">
        <v>49</v>
      </c>
      <c r="F13" t="s">
        <v>30</v>
      </c>
      <c r="G13" t="s">
        <v>29</v>
      </c>
      <c r="I13" t="s">
        <v>136</v>
      </c>
      <c r="J13" t="s">
        <v>137</v>
      </c>
    </row>
    <row r="14" spans="1:10">
      <c r="D14" t="s">
        <v>50</v>
      </c>
      <c r="E14" t="s">
        <v>51</v>
      </c>
      <c r="F14" t="s">
        <v>30</v>
      </c>
      <c r="G14" t="s">
        <v>29</v>
      </c>
      <c r="I14" t="s">
        <v>138</v>
      </c>
      <c r="J14" t="s">
        <v>139</v>
      </c>
    </row>
    <row r="15" spans="1:10">
      <c r="D15" t="s">
        <v>52</v>
      </c>
      <c r="E15" t="s">
        <v>53</v>
      </c>
      <c r="F15" t="s">
        <v>30</v>
      </c>
      <c r="G15" t="s">
        <v>29</v>
      </c>
      <c r="I15" t="s">
        <v>140</v>
      </c>
      <c r="J15" t="s">
        <v>141</v>
      </c>
    </row>
    <row r="16" spans="1:10">
      <c r="D16" t="s">
        <v>54</v>
      </c>
      <c r="E16" t="s">
        <v>55</v>
      </c>
      <c r="F16" t="s">
        <v>30</v>
      </c>
      <c r="G16" t="s">
        <v>29</v>
      </c>
    </row>
    <row r="17" spans="4:7">
      <c r="D17" t="s">
        <v>18</v>
      </c>
      <c r="E17" t="s">
        <v>56</v>
      </c>
      <c r="F17" t="s">
        <v>30</v>
      </c>
      <c r="G17" t="s">
        <v>29</v>
      </c>
    </row>
    <row r="18" spans="4:7">
      <c r="D18" t="s">
        <v>57</v>
      </c>
      <c r="E18" t="s">
        <v>58</v>
      </c>
      <c r="F18" t="s">
        <v>30</v>
      </c>
      <c r="G18" t="s">
        <v>29</v>
      </c>
    </row>
    <row r="19" spans="4:7">
      <c r="D19" t="s">
        <v>59</v>
      </c>
      <c r="E19" t="s">
        <v>60</v>
      </c>
      <c r="F19" t="s">
        <v>30</v>
      </c>
      <c r="G19" t="s">
        <v>29</v>
      </c>
    </row>
    <row r="20" spans="4:7">
      <c r="D20" t="s">
        <v>17</v>
      </c>
      <c r="E20" t="s">
        <v>61</v>
      </c>
      <c r="F20" t="s">
        <v>30</v>
      </c>
      <c r="G20" t="s">
        <v>29</v>
      </c>
    </row>
    <row r="21" spans="4:7">
      <c r="D21" t="s">
        <v>19</v>
      </c>
      <c r="E21" t="s">
        <v>62</v>
      </c>
      <c r="F21" t="s">
        <v>30</v>
      </c>
      <c r="G21" t="s">
        <v>29</v>
      </c>
    </row>
    <row r="22" spans="4:7">
      <c r="D22" t="s">
        <v>63</v>
      </c>
      <c r="E22" t="s">
        <v>64</v>
      </c>
      <c r="F22" t="s">
        <v>30</v>
      </c>
      <c r="G22" t="s">
        <v>29</v>
      </c>
    </row>
    <row r="23" spans="4:7">
      <c r="D23" t="s">
        <v>65</v>
      </c>
      <c r="E23" t="s">
        <v>66</v>
      </c>
      <c r="F23" t="s">
        <v>30</v>
      </c>
      <c r="G23" t="s">
        <v>29</v>
      </c>
    </row>
    <row r="24" spans="4:7">
      <c r="D24" t="s">
        <v>67</v>
      </c>
      <c r="E24" t="s">
        <v>68</v>
      </c>
      <c r="F24" t="s">
        <v>30</v>
      </c>
      <c r="G24" t="s">
        <v>29</v>
      </c>
    </row>
    <row r="25" spans="4:7">
      <c r="D25" t="s">
        <v>69</v>
      </c>
      <c r="E25" t="s">
        <v>70</v>
      </c>
      <c r="F25" t="s">
        <v>30</v>
      </c>
      <c r="G25" t="s">
        <v>29</v>
      </c>
    </row>
    <row r="26" spans="4:7">
      <c r="D26" t="s">
        <v>71</v>
      </c>
      <c r="E26" t="s">
        <v>72</v>
      </c>
      <c r="F26" t="s">
        <v>30</v>
      </c>
      <c r="G26" t="s">
        <v>29</v>
      </c>
    </row>
    <row r="27" spans="4:7">
      <c r="D27" t="s">
        <v>73</v>
      </c>
      <c r="E27" t="s">
        <v>74</v>
      </c>
      <c r="F27" t="s">
        <v>30</v>
      </c>
      <c r="G27" t="s">
        <v>29</v>
      </c>
    </row>
    <row r="28" spans="4:7">
      <c r="D28" t="s">
        <v>75</v>
      </c>
      <c r="E28" t="s">
        <v>76</v>
      </c>
      <c r="F28" t="s">
        <v>30</v>
      </c>
      <c r="G28" t="s">
        <v>29</v>
      </c>
    </row>
    <row r="29" spans="4:7">
      <c r="D29" t="s">
        <v>27</v>
      </c>
      <c r="E29" t="s">
        <v>77</v>
      </c>
      <c r="F29" t="s">
        <v>30</v>
      </c>
      <c r="G29" t="s">
        <v>29</v>
      </c>
    </row>
    <row r="30" spans="4:7">
      <c r="D30" t="s">
        <v>28</v>
      </c>
      <c r="E30" t="s">
        <v>78</v>
      </c>
      <c r="F30" t="s">
        <v>30</v>
      </c>
      <c r="G30" t="s">
        <v>29</v>
      </c>
    </row>
    <row r="31" spans="4:7">
      <c r="D31" t="s">
        <v>79</v>
      </c>
      <c r="E31" t="s">
        <v>80</v>
      </c>
      <c r="F31" t="s">
        <v>30</v>
      </c>
      <c r="G31" t="s">
        <v>29</v>
      </c>
    </row>
    <row r="32" spans="4:7">
      <c r="D32" t="s">
        <v>81</v>
      </c>
      <c r="E32" t="s">
        <v>82</v>
      </c>
      <c r="F32" t="s">
        <v>30</v>
      </c>
      <c r="G32" t="s">
        <v>29</v>
      </c>
    </row>
    <row r="33" spans="4:7">
      <c r="D33" t="s">
        <v>83</v>
      </c>
      <c r="E33" t="s">
        <v>84</v>
      </c>
      <c r="F33" t="s">
        <v>30</v>
      </c>
      <c r="G33" t="s">
        <v>29</v>
      </c>
    </row>
    <row r="34" spans="4:7">
      <c r="D34" t="s">
        <v>85</v>
      </c>
      <c r="E34" t="s">
        <v>86</v>
      </c>
      <c r="F34" t="s">
        <v>30</v>
      </c>
      <c r="G34" t="s">
        <v>29</v>
      </c>
    </row>
    <row r="35" spans="4:7">
      <c r="D35" t="s">
        <v>87</v>
      </c>
      <c r="E35" t="s">
        <v>88</v>
      </c>
      <c r="F35" t="s">
        <v>30</v>
      </c>
      <c r="G35" t="s">
        <v>29</v>
      </c>
    </row>
    <row r="36" spans="4:7">
      <c r="D36" t="s">
        <v>89</v>
      </c>
      <c r="E36" t="s">
        <v>90</v>
      </c>
      <c r="F36" t="s">
        <v>30</v>
      </c>
      <c r="G36" t="s">
        <v>29</v>
      </c>
    </row>
    <row r="37" spans="4:7">
      <c r="D37" t="s">
        <v>91</v>
      </c>
      <c r="E37" t="s">
        <v>92</v>
      </c>
      <c r="F37" t="s">
        <v>30</v>
      </c>
      <c r="G37" t="s">
        <v>29</v>
      </c>
    </row>
    <row r="38" spans="4:7">
      <c r="D38" t="s">
        <v>93</v>
      </c>
      <c r="E38" t="s">
        <v>94</v>
      </c>
      <c r="F38" t="s">
        <v>30</v>
      </c>
      <c r="G38" t="s">
        <v>29</v>
      </c>
    </row>
    <row r="39" spans="4:7">
      <c r="D39" t="s">
        <v>95</v>
      </c>
      <c r="E39" t="s">
        <v>96</v>
      </c>
      <c r="F39" t="s">
        <v>30</v>
      </c>
      <c r="G39" t="s">
        <v>29</v>
      </c>
    </row>
    <row r="40" spans="4:7">
      <c r="D40" t="s">
        <v>97</v>
      </c>
      <c r="E40" t="s">
        <v>98</v>
      </c>
      <c r="F40" t="s">
        <v>30</v>
      </c>
      <c r="G40" t="s">
        <v>29</v>
      </c>
    </row>
    <row r="41" spans="4:7">
      <c r="D41" t="s">
        <v>23</v>
      </c>
      <c r="E41" t="s">
        <v>99</v>
      </c>
      <c r="F41" t="s">
        <v>30</v>
      </c>
      <c r="G41" t="s">
        <v>29</v>
      </c>
    </row>
    <row r="42" spans="4:7">
      <c r="D42" t="s">
        <v>26</v>
      </c>
      <c r="E42" t="s">
        <v>100</v>
      </c>
      <c r="F42" t="s">
        <v>30</v>
      </c>
      <c r="G42" t="s">
        <v>29</v>
      </c>
    </row>
    <row r="43" spans="4:7">
      <c r="D43" t="s">
        <v>101</v>
      </c>
      <c r="E43" t="s">
        <v>102</v>
      </c>
      <c r="F43" t="s">
        <v>30</v>
      </c>
      <c r="G43" t="s">
        <v>29</v>
      </c>
    </row>
    <row r="44" spans="4:7">
      <c r="D44" t="s">
        <v>103</v>
      </c>
      <c r="E44" t="s">
        <v>104</v>
      </c>
      <c r="F44" t="s">
        <v>30</v>
      </c>
      <c r="G44" t="s">
        <v>29</v>
      </c>
    </row>
    <row r="45" spans="4:7">
      <c r="D45" t="s">
        <v>105</v>
      </c>
      <c r="E45" t="s">
        <v>106</v>
      </c>
      <c r="F45" t="s">
        <v>30</v>
      </c>
      <c r="G45" t="s">
        <v>29</v>
      </c>
    </row>
    <row r="46" spans="4:7">
      <c r="D46" t="s">
        <v>107</v>
      </c>
      <c r="E46" t="s">
        <v>108</v>
      </c>
      <c r="F46" t="s">
        <v>30</v>
      </c>
      <c r="G46" t="s">
        <v>29</v>
      </c>
    </row>
    <row r="47" spans="4:7">
      <c r="D47" t="s">
        <v>109</v>
      </c>
      <c r="E47" t="s">
        <v>110</v>
      </c>
      <c r="F47" t="s">
        <v>30</v>
      </c>
      <c r="G47" t="s">
        <v>29</v>
      </c>
    </row>
    <row r="48" spans="4:7">
      <c r="D48" t="s">
        <v>111</v>
      </c>
      <c r="E48" t="s">
        <v>112</v>
      </c>
      <c r="F48" t="s">
        <v>30</v>
      </c>
      <c r="G48" t="s">
        <v>29</v>
      </c>
    </row>
    <row r="49" spans="4:7">
      <c r="D49" t="s">
        <v>113</v>
      </c>
      <c r="E49" t="s">
        <v>114</v>
      </c>
      <c r="F49" t="s">
        <v>30</v>
      </c>
      <c r="G49" t="s">
        <v>29</v>
      </c>
    </row>
    <row r="50" spans="4:7">
      <c r="D50" t="s">
        <v>115</v>
      </c>
      <c r="E50" t="s">
        <v>116</v>
      </c>
      <c r="F50" t="s">
        <v>30</v>
      </c>
      <c r="G50" t="s">
        <v>29</v>
      </c>
    </row>
    <row r="51" spans="4:7">
      <c r="D51" t="s">
        <v>117</v>
      </c>
      <c r="E51" t="s">
        <v>118</v>
      </c>
      <c r="F51" t="s">
        <v>30</v>
      </c>
      <c r="G51" t="s">
        <v>29</v>
      </c>
    </row>
    <row r="52" spans="4:7">
      <c r="D52" t="s">
        <v>119</v>
      </c>
      <c r="E52" t="s">
        <v>120</v>
      </c>
      <c r="F52" t="s">
        <v>30</v>
      </c>
      <c r="G52" t="s">
        <v>29</v>
      </c>
    </row>
    <row r="53" spans="4:7">
      <c r="D53" t="s">
        <v>121</v>
      </c>
      <c r="E53" t="s">
        <v>122</v>
      </c>
      <c r="F53" t="s">
        <v>30</v>
      </c>
      <c r="G53" t="s">
        <v>29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CABECERA</vt:lpstr>
      <vt:lpstr>DETALLE</vt:lpstr>
      <vt:lpstr>DATOS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CAS</cp:lastModifiedBy>
  <dcterms:created xsi:type="dcterms:W3CDTF">2013-10-05T05:38:45Z</dcterms:created>
  <dcterms:modified xsi:type="dcterms:W3CDTF">2013-10-15T00:11:45Z</dcterms:modified>
</cp:coreProperties>
</file>