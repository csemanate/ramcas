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activeX/activeX12.xml" ContentType="application/vnd.ms-office.activeX+xml"/>
  <Override PartName="/xl/activeX/activeX12.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drawings/drawing6.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7.xml" ContentType="application/vnd.openxmlformats-officedocument.drawing+xml"/>
  <Override PartName="/xl/activeX/activeX15.xml" ContentType="application/vnd.ms-office.activeX+xml"/>
  <Override PartName="/xl/activeX/activeX15.bin" ContentType="application/vnd.ms-office.activeX"/>
  <Override PartName="/xl/tables/table11.xml" ContentType="application/vnd.openxmlformats-officedocument.spreadsheetml.table+xml"/>
  <Override PartName="/xl/drawings/drawing8.xml" ContentType="application/vnd.openxmlformats-officedocument.drawing+xml"/>
  <Override PartName="/xl/activeX/activeX16.xml" ContentType="application/vnd.ms-office.activeX+xml"/>
  <Override PartName="/xl/activeX/activeX16.bin" ContentType="application/vnd.ms-office.activeX"/>
  <Override PartName="/xl/tables/table12.xml" ContentType="application/vnd.openxmlformats-officedocument.spreadsheetml.table+xml"/>
  <Override PartName="/xl/drawings/drawing9.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tables/table13.xml" ContentType="application/vnd.openxmlformats-officedocument.spreadsheetml.table+xml"/>
  <Override PartName="/xl/queryTables/queryTable2.xml" ContentType="application/vnd.openxmlformats-officedocument.spreadsheetml.queryTable+xml"/>
  <Override PartName="/xl/tables/table14.xml" ContentType="application/vnd.openxmlformats-officedocument.spreadsheetml.table+xml"/>
  <Override PartName="/xl/queryTables/queryTable3.xml" ContentType="application/vnd.openxmlformats-officedocument.spreadsheetml.queryTable+xml"/>
  <Override PartName="/xl/tables/table15.xml" ContentType="application/vnd.openxmlformats-officedocument.spreadsheetml.table+xml"/>
  <Override PartName="/xl/queryTables/queryTable4.xml" ContentType="application/vnd.openxmlformats-officedocument.spreadsheetml.queryTable+xml"/>
  <Override PartName="/xl/tables/table16.xml" ContentType="application/vnd.openxmlformats-officedocument.spreadsheetml.table+xml"/>
  <Override PartName="/xl/queryTables/queryTable5.xml" ContentType="application/vnd.openxmlformats-officedocument.spreadsheetml.queryTable+xml"/>
  <Override PartName="/xl/tables/table17.xml" ContentType="application/vnd.openxmlformats-officedocument.spreadsheetml.table+xml"/>
  <Override PartName="/xl/queryTables/queryTable6.xml" ContentType="application/vnd.openxmlformats-officedocument.spreadsheetml.queryTable+xml"/>
  <Override PartName="/xl/tables/table18.xml" ContentType="application/vnd.openxmlformats-officedocument.spreadsheetml.table+xml"/>
  <Override PartName="/xl/drawings/drawing10.xml" ContentType="application/vnd.openxmlformats-officedocument.drawing+xml"/>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tables/table19.xml" ContentType="application/vnd.openxmlformats-officedocument.spreadsheetml.table+xml"/>
  <Override PartName="/xl/tables/table20.xml" ContentType="application/vnd.openxmlformats-officedocument.spreadsheetml.table+xml"/>
  <Override PartName="/xl/queryTables/queryTable7.xml" ContentType="application/vnd.openxmlformats-officedocument.spreadsheetml.queryTable+xml"/>
  <Override PartName="/xl/drawings/drawing11.xml" ContentType="application/vnd.openxmlformats-officedocument.drawing+xml"/>
  <Override PartName="/xl/ctrlProps/ctrlProp7.xml" ContentType="application/vnd.ms-excel.controlproperties+xml"/>
  <Override PartName="/xl/tables/table21.xml" ContentType="application/vnd.openxmlformats-officedocument.spreadsheetml.table+xml"/>
  <Override PartName="/xl/tables/table2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ocuments RAMCAS\RAM CAS\MEJORA CONTINUA\"/>
    </mc:Choice>
  </mc:AlternateContent>
  <bookViews>
    <workbookView xWindow="0" yWindow="0" windowWidth="11490" windowHeight="1740"/>
  </bookViews>
  <sheets>
    <sheet name="CENTROCONTROL" sheetId="1" r:id="rId1"/>
    <sheet name="DatosHojaCB" sheetId="36" state="veryHidden" r:id="rId2"/>
    <sheet name="INICIO" sheetId="35" state="veryHidden" r:id="rId3"/>
    <sheet name="Control_Buffers" sheetId="34" state="veryHidden" r:id="rId4"/>
    <sheet name="Login" sheetId="33" state="veryHidden" r:id="rId5"/>
    <sheet name="Ayuda" sheetId="32" state="veryHidden" r:id="rId6"/>
    <sheet name="Todas" sheetId="31" state="veryHidden" r:id="rId7"/>
    <sheet name="Fechas_Refrescado" sheetId="30" state="veryHidden" r:id="rId8"/>
    <sheet name="Directorios" sheetId="29" state="veryHidden" r:id="rId9"/>
    <sheet name="EMPRESA" sheetId="3" state="veryHidden" r:id="rId10"/>
    <sheet name="EMPRESABODEGA" sheetId="20" state="veryHidden" r:id="rId11"/>
    <sheet name="ARCHIVOSCB" sheetId="2" state="veryHidden" r:id="rId12"/>
    <sheet name="ARCHIVOSBODEGAS" sheetId="19" state="veryHidden" r:id="rId13"/>
    <sheet name="PERFIL" sheetId="21" state="veryHidden" r:id="rId14"/>
    <sheet name="PROVEEDORES" sheetId="18" state="veryHidden" r:id="rId15"/>
    <sheet name="DIAS_RESTANTES" sheetId="4" state="veryHidden" r:id="rId16"/>
    <sheet name="NUMERO_ITEMS" sheetId="5" state="veryHidden" r:id="rId17"/>
    <sheet name="TRANSFERENCIAS" sheetId="13" state="veryHidden" r:id="rId18"/>
    <sheet name="ITEMS_EMPRESA" sheetId="14" state="veryHidden" r:id="rId19"/>
    <sheet name="PATH" sheetId="15" state="veryHidden" r:id="rId20"/>
    <sheet name="AUX" sheetId="16" state="veryHidden" r:id="rId21"/>
    <sheet name="BorraTransfer" sheetId="17" state="veryHidden" r:id="rId22"/>
    <sheet name="ITEMS_SELECCIONADOS" sheetId="22" state="veryHidden" r:id="rId23"/>
    <sheet name="DURACION" sheetId="23" state="veryHidden" r:id="rId24"/>
    <sheet name="Parametros" sheetId="24" state="veryHidden" r:id="rId25"/>
    <sheet name="Alertas" sheetId="25" state="veryHidden" r:id="rId26"/>
    <sheet name="USER" sheetId="26" state="veryHidden" r:id="rId27"/>
    <sheet name="ArchivosPermitidos" sheetId="27" state="veryHidden" r:id="rId28"/>
  </sheets>
  <functionGroups builtInGroupCount="18"/>
  <externalReferences>
    <externalReference r:id="rId29"/>
  </externalReferences>
  <definedNames>
    <definedName name="_cboEmpresa_Range" localSheetId="0" hidden="1">{19.5,0,TRUE,3,63,99.75}</definedName>
    <definedName name="_cboSeleccion_Range" localSheetId="0" hidden="1">{21,732.75,TRUE,3,39,639.75}</definedName>
    <definedName name="_cmd_Actualiza_bd_Range" localSheetId="0" hidden="1">{19.5,871.5,TRUE,3,72,23.25}</definedName>
    <definedName name="_cmd_Alertas_Actuales_Range" localSheetId="0" hidden="1">{13.5,376.5,TRUE,3,135.75,27}</definedName>
    <definedName name="_cmd_refresca_items_Range" localSheetId="0" hidden="1">{20.25,297,TRUE,3,32.25,54}</definedName>
    <definedName name="_cmd_Refrescar_Alertas_Range" localSheetId="0" hidden="1">{13.5,402.75,TRUE,3,135.75,23.25}</definedName>
    <definedName name="_cmd_Reportaje_Range" localSheetId="0" hidden="1">{33.75,278.25,TRUE,3,61.5,75.75}</definedName>
    <definedName name="_cmdAyuda_Range" localSheetId="0" hidden="1">{22.5,429.75,TRUE,3,87.75,54.75}</definedName>
    <definedName name="_cmdBorrarTransferDadaBaja_Range" localSheetId="21"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{33.75,103.5,TRUE,3,61.5,69}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{13.5,583.5,TRUE,3,240.75,23.25}</definedName>
    <definedName name="_cmdMantenimiento_Range" localSheetId="0" hidden="1">{21,399,TRUE,3,32.25,93.75}</definedName>
    <definedName name="_cmdNoBorrar_Range" localSheetId="21" hidden="1">{40.5,11.25,TRUE,2,155.25,299.25}</definedName>
    <definedName name="_cmdNuevaTransfer_Range" localSheetId="0" hidden="1">{22.5,249.75,TRUE,3,61.5,27.75}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{20.25,237,TRUE,3,32.25,53.25}</definedName>
    <definedName name="_cmdTransferencias_Range" localSheetId="0" hidden="1">{33.75,174.75,TRUE,3,61.5,75}</definedName>
    <definedName name="_cmdTransferenciasActivas_Range" localSheetId="0" hidden="1">{22.5,249.75,TRUE,3,84.75,27.75}</definedName>
    <definedName name="_cmdVistas_Range" localSheetId="0" hidden="1">{18.75,205.5,TRUE,3,87.75,23.25}</definedName>
    <definedName name="_cmdVolver_Range" localSheetId="25" hidden="1">{21.75,1.5,TRUE,2,0.75,70.5}</definedName>
    <definedName name="_cmdVolver_Range" localSheetId="5" hidden="1">{22.5,108,TRUE,2,1.5,35.25}</definedName>
    <definedName name="_cmdVolver_Range" localSheetId="15" hidden="1">{21.75,468,TRUE,3,4.5,57.75}</definedName>
    <definedName name="_cmdVolver_Range" localSheetId="7" hidden="1">{29.25,0.75,TRUE,3,0,54}</definedName>
    <definedName name="_cmdVolver_Range" localSheetId="16" hidden="1">{21.75,510.75,TRUE,3,2.25,57.75}</definedName>
    <definedName name="_ComboBox1_Range" localSheetId="0" hidden="1">{21,14739.75,TRUE,3,269409,639.75}</definedName>
    <definedName name="_CommandButton1_Range" localSheetId="0" hidden="1">{45,15152.25,TRUE,3,269517,54.75}</definedName>
    <definedName name="_CommandButton2_Range" localSheetId="0" hidden="1">{19.5,14844,TRUE,3,269665.5,120}</definedName>
    <definedName name="_CommandButton3_Range" localSheetId="0" hidden="1">{19.5,14844,TRUE,3,269646,120}</definedName>
    <definedName name="_CommandButton4_Range" localSheetId="0" hidden="1">{19.5,14844,TRUE,3,269623.5,120}</definedName>
    <definedName name="_CommandButton5_Range" localSheetId="0" hidden="1">{21.75,14984.25,TRUE,2,269706,38.25}</definedName>
    <definedName name="_CommandButton6_Range" localSheetId="0" hidden="1">{19.5,14844,TRUE,3,269687.25,120}</definedName>
    <definedName name="_CommandButton7_Range" localSheetId="0" hidden="1">{45,14903.25,TRUE,3,269533.5,71.25}</definedName>
    <definedName name="_CommandButton8_Range" localSheetId="0" hidden="1">{19.5,14878.5,TRUE,3,269442,23.25}</definedName>
    <definedName name="_Label1_Range" localSheetId="0" hidden="1">{18,14839.5,TRUE,2,269706,102.75}</definedName>
    <definedName name="_lblBodegas_Range" localSheetId="0" hidden="1">{18,832.5,TRUE,2,336,102.75}</definedName>
    <definedName name="_ListBox1_Range" localSheetId="0" hidden="1">{141.75,14841.75,TRUE,3,269725.5,177}</definedName>
    <definedName name="_lstArchivos_Range" localSheetId="0" hidden="1">{149.25,699.75,TRUE,2,45,288}</definedName>
    <definedName name="_lstBodegas_Range" localSheetId="0" hidden="1">{200.25,834.75,TRUE,3,355.5,249.75}</definedName>
    <definedName name="_Refrescar_Alertas_Range" localSheetId="0" hidden="1">{13.5,402,TRUE,3,165,23.25}</definedName>
    <definedName name="ACTUALIZACIONBODEGA">CENTROCONTROL!$I$6</definedName>
    <definedName name="ACTUALIZACIONCONSUMO">CENTROCONTROL!$I$10</definedName>
    <definedName name="ACTUALIZACIONHISTRANSFER">CENTROCONTROL!$I$9</definedName>
    <definedName name="ACTUALIZACIONINVENTARIO">CENTROCONTROL!$I$7</definedName>
    <definedName name="ACTUALIZACIONPRODUCTO">CENTROCONTROL!$I$8</definedName>
    <definedName name="AlertaHojasCB">CENTROCONTROL!#REF!</definedName>
    <definedName name="BODEGAS">Tabla_EmpresaBodega[BODEGA]</definedName>
    <definedName name="Consulta_desde_Central_Control_Buffers" localSheetId="19" hidden="1">PATH!$G$1:$I$2</definedName>
    <definedName name="Consulta_desde_DatosConsolidados" localSheetId="18" hidden="1">ITEMS_EMPRESA!$A$1:$B$2</definedName>
    <definedName name="Consulta_desde_DatosConsolidados" localSheetId="19" hidden="1">PATH!$A$1:$D$2</definedName>
    <definedName name="Consulta_desde_DatosConsolidados_1" localSheetId="18" hidden="1">ITEMS_EMPRESA!$D$1:$D$2</definedName>
    <definedName name="Consulta_desde_ODBC_RAM_CAS" localSheetId="9" hidden="1">EMPRESA!$A$1:$A$3</definedName>
    <definedName name="Consulta_desde_ODBC_RAMCAS1" localSheetId="24" hidden="1">Parametros!$A$1:$B$6</definedName>
    <definedName name="Consulta_desde_ODBC_RAMCAS1" localSheetId="19" hidden="1">PATH!$K$1:$M$2</definedName>
    <definedName name="Consulta_desde_ODBC_RAMCAS1" localSheetId="14" hidden="1">PROVEEDORES!#REF!</definedName>
    <definedName name="DIR">Directorios!$A$1</definedName>
    <definedName name="DURACIONREFRESCADO">DURACION!$B$4</definedName>
    <definedName name="EMP">AUX!$R$1</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CENTROCONTROL!$I$4</definedName>
    <definedName name="FINREFRESCADO">DURACION!$B$2</definedName>
    <definedName name="HojasCB_cla">USER!$B$4</definedName>
    <definedName name="HojasCB_user">USER!$A$4</definedName>
    <definedName name="HORAAPAGADO">CENTROCONTROL!$I$13</definedName>
    <definedName name="HORAIMPORTACION">CENTROCONTROL!$I$12</definedName>
    <definedName name="HORAREFRESCADO">CENTROCONTROL!$I$11</definedName>
    <definedName name="INICIOREFRESCADO">DURACION!$B$1</definedName>
    <definedName name="ItemsSeleccionados">tblItemsSeleccionados[]</definedName>
    <definedName name="MENSAJE">CENTROCONTROL!$A$13</definedName>
    <definedName name="PATH">ARCHIVOSCB[PATH]</definedName>
    <definedName name="Path_Transferencias_Batch">OFFSET(Tabla_Parametros[[#Headers],[par_valor1]],MATCH("Path Transferencias Batch",Tabla_Parametros[par_nombre],0),0,1,1)</definedName>
    <definedName name="PathExcel">CENTROCONTROL!#REF!</definedName>
    <definedName name="PATHTRANSFERENCIA">TRANSFERENCIAS!$AO$1</definedName>
    <definedName name="REFRESCADO">CENTROCONTROL!$I$3</definedName>
    <definedName name="TABLA">OFFSET(INICIO,0,0,COUNTA([1]TRANSFERENCIA!$A:$A)-4,COUNTA([1]TRANSFERENCIA!$8:$8))</definedName>
    <definedName name="TIPO">AUX!$A$1</definedName>
    <definedName name="TODAS">CENTROCONTROL!$GC$128</definedName>
    <definedName name="Trans_Dada_Baja" comment="Sitio donde se almacena el path completo de la transferencia dada de baja recientemente">AUX!$B$1</definedName>
    <definedName name="transfer">BorraTransfer!$A$27</definedName>
    <definedName name="US">USER!$A$1</definedName>
    <definedName name="USUARIO">CENTROCONTROL!$GB$128</definedName>
    <definedName name="version">CENTROCONTROL!$J$1</definedName>
  </definedNames>
  <calcPr calcId="152511"/>
</workbook>
</file>

<file path=xl/calcChain.xml><?xml version="1.0" encoding="utf-8"?>
<calcChain xmlns="http://schemas.openxmlformats.org/spreadsheetml/2006/main">
  <c r="C2" i="24" l="1"/>
  <c r="C3" i="24"/>
  <c r="C4" i="24"/>
  <c r="C5" i="24"/>
  <c r="C6" i="24"/>
  <c r="T2" i="36" l="1"/>
  <c r="T3" i="36"/>
  <c r="T4" i="36"/>
  <c r="T5" i="36"/>
  <c r="T6" i="36"/>
  <c r="T16" i="1"/>
  <c r="C16" i="1" s="1"/>
  <c r="T17" i="1"/>
  <c r="E17" i="1" s="1"/>
  <c r="C5" i="30"/>
  <c r="G5" i="30"/>
  <c r="H5" i="30"/>
  <c r="K5" i="30"/>
  <c r="L5" i="30"/>
  <c r="M5" i="30"/>
  <c r="N5" i="30"/>
  <c r="O5" i="30"/>
  <c r="P5" i="30"/>
  <c r="Q5" i="30"/>
  <c r="I2" i="30"/>
  <c r="I5" i="30" s="1"/>
  <c r="I3" i="30"/>
  <c r="I4" i="30"/>
  <c r="B16" i="1"/>
  <c r="B17" i="1"/>
  <c r="R17" i="1" l="1"/>
  <c r="P16" i="1"/>
  <c r="N17" i="1"/>
  <c r="L16" i="1"/>
  <c r="J17" i="1"/>
  <c r="H16" i="1"/>
  <c r="F17" i="1"/>
  <c r="D16" i="1"/>
  <c r="S17" i="1"/>
  <c r="O17" i="1"/>
  <c r="M16" i="1"/>
  <c r="K17" i="1"/>
  <c r="I16" i="1"/>
  <c r="G17" i="1"/>
  <c r="E16" i="1"/>
  <c r="C17" i="1"/>
  <c r="R16" i="1"/>
  <c r="P17" i="1"/>
  <c r="Q17" i="1" s="1"/>
  <c r="N16" i="1"/>
  <c r="L17" i="1"/>
  <c r="J16" i="1"/>
  <c r="H17" i="1"/>
  <c r="F16" i="1"/>
  <c r="D17" i="1"/>
  <c r="S16" i="1"/>
  <c r="O16" i="1"/>
  <c r="M17" i="1"/>
  <c r="K16" i="1"/>
  <c r="I17" i="1"/>
  <c r="G16" i="1"/>
  <c r="Q16" i="1" l="1"/>
  <c r="B18" i="1"/>
  <c r="I3" i="1"/>
  <c r="A18" i="1" l="1"/>
  <c r="J18" i="1" l="1"/>
  <c r="I18" i="1"/>
  <c r="K18" i="1"/>
  <c r="M18" i="1"/>
  <c r="D18" i="1"/>
  <c r="L18" i="1"/>
  <c r="C18" i="1"/>
  <c r="Q18" i="1" l="1"/>
  <c r="H18" i="1"/>
  <c r="G18" i="1"/>
  <c r="F18" i="1"/>
  <c r="E18" i="1"/>
  <c r="A42" i="34" l="1"/>
  <c r="A41" i="34" l="1"/>
  <c r="A40" i="34"/>
  <c r="A39" i="34"/>
  <c r="A38" i="34"/>
  <c r="A37" i="34"/>
  <c r="A36" i="34"/>
  <c r="A35" i="34"/>
  <c r="A34" i="34"/>
  <c r="A33" i="34"/>
  <c r="A32" i="34"/>
  <c r="A31" i="34"/>
  <c r="A30" i="34"/>
  <c r="A29" i="34"/>
  <c r="A28" i="34"/>
  <c r="A27" i="34"/>
  <c r="A26" i="34"/>
  <c r="A25" i="34"/>
  <c r="A24" i="34"/>
  <c r="A23" i="34"/>
  <c r="A22" i="34"/>
  <c r="A21" i="34"/>
  <c r="A20" i="34"/>
  <c r="A19" i="34"/>
  <c r="A18" i="34"/>
  <c r="A17" i="34"/>
  <c r="A16" i="34"/>
  <c r="A15" i="34"/>
  <c r="A14" i="34"/>
  <c r="A13" i="34" l="1"/>
  <c r="A12" i="34"/>
  <c r="A11" i="34"/>
  <c r="A10" i="34"/>
  <c r="A9" i="34"/>
  <c r="A8" i="34" l="1"/>
  <c r="A7" i="34"/>
  <c r="A6" i="34"/>
  <c r="A5" i="34"/>
  <c r="A4" i="34"/>
  <c r="A2" i="34"/>
  <c r="A3" i="34"/>
  <c r="B4" i="5" l="1"/>
  <c r="C4" i="5"/>
  <c r="D4" i="5"/>
  <c r="D3" i="5"/>
  <c r="A9" i="1" l="1"/>
  <c r="D11" i="1" l="1"/>
  <c r="D9" i="1" l="1"/>
  <c r="E8" i="1"/>
  <c r="D8" i="1"/>
  <c r="B10" i="1" l="1"/>
  <c r="B9" i="1"/>
  <c r="A10" i="1" l="1"/>
  <c r="A1" i="29" l="1"/>
  <c r="B4" i="23" l="1"/>
  <c r="D10" i="1" l="1"/>
  <c r="C6" i="4" l="1"/>
  <c r="C5" i="4"/>
  <c r="C3" i="4"/>
  <c r="C4" i="4"/>
  <c r="I5" i="1" l="1"/>
  <c r="A4" i="17" l="1"/>
  <c r="E3" i="2" l="1"/>
  <c r="E4" i="2"/>
  <c r="E5" i="2"/>
  <c r="E6" i="2"/>
  <c r="E7" i="2"/>
  <c r="E8" i="2"/>
  <c r="E9" i="2"/>
  <c r="E10" i="2"/>
  <c r="E11" i="2"/>
  <c r="E12" i="2"/>
  <c r="E13" i="2"/>
  <c r="E14" i="2"/>
  <c r="E15" i="2"/>
  <c r="E16" i="2"/>
  <c r="E17" i="2"/>
  <c r="E18" i="2"/>
  <c r="E19" i="2"/>
  <c r="E20" i="2"/>
  <c r="E2" i="2"/>
</calcChain>
</file>

<file path=xl/comments1.xml><?xml version="1.0" encoding="utf-8"?>
<comments xmlns="http://schemas.openxmlformats.org/spreadsheetml/2006/main">
  <authors>
    <author>RAMCAS</author>
    <author>Carlos Semanate</author>
  </authors>
  <commentList>
    <comment ref="A3" authorId="0" shapeId="0">
      <text>
        <r>
          <rPr>
            <b/>
            <sz val="9"/>
            <color indexed="81"/>
            <rFont val="Tahoma"/>
            <family val="2"/>
          </rPr>
          <t>RAMCAS:</t>
        </r>
        <r>
          <rPr>
            <sz val="9"/>
            <color indexed="81"/>
            <rFont val="Tahoma"/>
            <family val="2"/>
          </rPr>
          <t xml:space="preserve">
Ingresa a la selección de un nuevo usuario.</t>
        </r>
      </text>
    </comment>
    <comment ref="C3" authorId="0" shapeId="0">
      <text>
        <r>
          <rPr>
            <b/>
            <sz val="9"/>
            <color indexed="81"/>
            <rFont val="Tahoma"/>
            <family val="2"/>
          </rPr>
          <t>RAMCAS:</t>
        </r>
        <r>
          <rPr>
            <sz val="9"/>
            <color indexed="81"/>
            <rFont val="Tahoma"/>
            <family val="2"/>
          </rPr>
          <t xml:space="preserve">
Fechas de Refrescado. Despliega un listado de todas las Hojas CB del presente usuario, con su estatus de refrescado a más de varios datos adicionales.</t>
        </r>
      </text>
    </comment>
    <comment ref="D3" authorId="0" shapeId="0">
      <text>
        <r>
          <rPr>
            <b/>
            <sz val="9"/>
            <color indexed="81"/>
            <rFont val="Tahoma"/>
            <family val="2"/>
          </rPr>
          <t>RAMCAS:</t>
        </r>
        <r>
          <rPr>
            <sz val="9"/>
            <color indexed="81"/>
            <rFont val="Tahoma"/>
            <family val="2"/>
          </rPr>
          <t xml:space="preserve">
Refrescar Ítems. Compara los ítems presentes en los datos enviados por el ERP con los ítems presentes en RAMCAS, y arroja las diferencias para poder insertar nuevos ítems recientemente creados.</t>
        </r>
      </text>
    </comment>
    <comment ref="I3"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A4" authorId="0" shapeId="0">
      <text>
        <r>
          <rPr>
            <b/>
            <sz val="9"/>
            <color indexed="81"/>
            <rFont val="Tahoma"/>
            <family val="2"/>
          </rPr>
          <t>RAMCAS:</t>
        </r>
        <r>
          <rPr>
            <sz val="9"/>
            <color indexed="81"/>
            <rFont val="Tahoma"/>
            <family val="2"/>
          </rPr>
          <t xml:space="preserve">
Usuario activo.</t>
        </r>
      </text>
    </comment>
    <comment ref="I4" authorId="0" shapeId="0">
      <text>
        <r>
          <rPr>
            <b/>
            <sz val="9"/>
            <color indexed="81"/>
            <rFont val="Tahoma"/>
            <family val="2"/>
          </rPr>
          <t>RAMCAS:</t>
        </r>
        <r>
          <rPr>
            <sz val="9"/>
            <color indexed="81"/>
            <rFont val="Tahoma"/>
            <family val="2"/>
          </rPr>
          <t xml:space="preserve">
Fecha en la cual se ha hecho el refrescado completo.</t>
        </r>
      </text>
    </comment>
    <comment ref="I5" authorId="0" shapeId="0">
      <text>
        <r>
          <rPr>
            <b/>
            <sz val="9"/>
            <color indexed="81"/>
            <rFont val="Tahoma"/>
            <family val="2"/>
          </rPr>
          <t>RAMCAS:</t>
        </r>
        <r>
          <rPr>
            <sz val="9"/>
            <color indexed="81"/>
            <rFont val="Tahoma"/>
            <family val="2"/>
          </rPr>
          <t xml:space="preserve">
Duración del Refrescado Completo.</t>
        </r>
      </text>
    </comment>
    <comment ref="I6" authorId="0" shapeId="0">
      <text>
        <r>
          <rPr>
            <b/>
            <sz val="9"/>
            <color indexed="81"/>
            <rFont val="Tahoma"/>
            <family val="2"/>
          </rPr>
          <t>RAMCAS:</t>
        </r>
        <r>
          <rPr>
            <sz val="9"/>
            <color indexed="81"/>
            <rFont val="Tahoma"/>
            <family val="2"/>
          </rPr>
          <t xml:space="preserve">
Fecha de actualización del archivo bodega.txt provisto por el ERP.</t>
        </r>
      </text>
    </comment>
    <comment ref="I7" authorId="0" shapeId="0">
      <text>
        <r>
          <rPr>
            <b/>
            <sz val="9"/>
            <color indexed="81"/>
            <rFont val="Tahoma"/>
            <family val="2"/>
          </rPr>
          <t>RAMCAS:</t>
        </r>
        <r>
          <rPr>
            <sz val="9"/>
            <color indexed="81"/>
            <rFont val="Tahoma"/>
            <family val="2"/>
          </rPr>
          <t xml:space="preserve">
Fecha de actualización del archivo inventario.txt provisto por el ERP.</t>
        </r>
      </text>
    </comment>
    <comment ref="D8"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8" authorId="0" shapeId="0">
      <text>
        <r>
          <rPr>
            <b/>
            <sz val="9"/>
            <color indexed="81"/>
            <rFont val="Tahoma"/>
            <family val="2"/>
          </rPr>
          <t>RAMCAS:</t>
        </r>
        <r>
          <rPr>
            <sz val="9"/>
            <color indexed="81"/>
            <rFont val="Tahoma"/>
            <family val="2"/>
          </rPr>
          <t xml:space="preserve">
Fecha de actualización del archivo producto.txt provisto por el ERP.</t>
        </r>
      </text>
    </comment>
    <comment ref="A9"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9"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9" authorId="0" shapeId="0">
      <text>
        <r>
          <rPr>
            <b/>
            <sz val="9"/>
            <color indexed="81"/>
            <rFont val="Tahoma"/>
            <family val="2"/>
          </rPr>
          <t>RAMCAS:</t>
        </r>
        <r>
          <rPr>
            <sz val="9"/>
            <color indexed="81"/>
            <rFont val="Tahoma"/>
            <family val="2"/>
          </rPr>
          <t xml:space="preserve">
Fecha de actualización del archivo histransfer.txt provisto por el ERP.</t>
        </r>
      </text>
    </comment>
    <comment ref="A10"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0" authorId="0" shapeId="0">
      <text>
        <r>
          <rPr>
            <b/>
            <sz val="9"/>
            <color indexed="81"/>
            <rFont val="Tahoma"/>
            <family val="2"/>
          </rPr>
          <t>RAMCAS:</t>
        </r>
        <r>
          <rPr>
            <sz val="9"/>
            <color indexed="81"/>
            <rFont val="Tahoma"/>
            <family val="2"/>
          </rPr>
          <t xml:space="preserve">
Fecha de actualización del archivo consumo.txt provisto por el ERP.</t>
        </r>
      </text>
    </comment>
    <comment ref="E11"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1"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I12" authorId="1" shapeId="0">
      <text>
        <r>
          <rPr>
            <b/>
            <sz val="9"/>
            <color indexed="81"/>
            <rFont val="Tahoma"/>
            <family val="2"/>
          </rPr>
          <t>Carlos Semanate:</t>
        </r>
        <r>
          <rPr>
            <sz val="9"/>
            <color indexed="81"/>
            <rFont val="Tahoma"/>
            <family val="2"/>
          </rPr>
          <t xml:space="preserve">
Hora a la cual se importan automáticamente los datos del ERP a RAMCAS.</t>
        </r>
      </text>
    </comment>
    <comment ref="I13" authorId="0" shapeId="0">
      <text>
        <r>
          <rPr>
            <b/>
            <sz val="9"/>
            <color indexed="81"/>
            <rFont val="Tahoma"/>
            <family val="2"/>
          </rPr>
          <t>RAMCAS:</t>
        </r>
        <r>
          <rPr>
            <sz val="9"/>
            <color indexed="81"/>
            <rFont val="Tahoma"/>
            <family val="2"/>
          </rPr>
          <t xml:space="preserve">
Hora a la cual se apaga automáticamente CCB.</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<sst xmlns="http://schemas.openxmlformats.org/spreadsheetml/2006/main" count="594" uniqueCount="302">
  <si>
    <t>AGROTA</t>
  </si>
  <si>
    <t>AGROINSUMOS</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</si>
  <si>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</si>
  <si>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</si>
  <si>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</si>
  <si>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</si>
  <si>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</si>
  <si>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</si>
  <si>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</si>
  <si>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</si>
  <si>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</si>
  <si>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</si>
  <si>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</si>
  <si>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</si>
  <si>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</si>
  <si>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COMPRAS-LOCALES.xlsm</t>
  </si>
  <si>
    <t>IMPORTACIONES.xlsm</t>
  </si>
  <si>
    <t>FREC REP</t>
  </si>
  <si>
    <t>TIEMP SUMINIS</t>
  </si>
  <si>
    <t>Codigo</t>
  </si>
  <si>
    <t>Descripcion</t>
  </si>
  <si>
    <t>Grupo</t>
  </si>
  <si>
    <t>Linea</t>
  </si>
  <si>
    <t>Bodega</t>
  </si>
  <si>
    <t>Empresa</t>
  </si>
  <si>
    <t>Bodega Recortada</t>
  </si>
  <si>
    <t>T NIV SER (DIAS)</t>
  </si>
  <si>
    <t>HORIZONTE</t>
  </si>
  <si>
    <t>SUKAMPO</t>
  </si>
  <si>
    <t>CENTRAL.xlsm</t>
  </si>
  <si>
    <t>SUCRE.xlsm</t>
  </si>
  <si>
    <t>CENTRALPROPIA.xlsm</t>
  </si>
  <si>
    <t>TabARCHIVO</t>
  </si>
  <si>
    <t>C:\RAM CAS\MEJORA CONTINUA\CONTROL DE BUFFERS\AGROTA\CENTRAL</t>
  </si>
  <si>
    <t>C:\RAM CAS\MEJORA CONTINUA\CONTROL DE BUFFERS\AGROINSUMOS\CENTRAL</t>
  </si>
  <si>
    <t>C:\RAM CAS\MEJORA CONTINUA\CONTROL DE BUFFERS\AGROINSUMOS\AGRONUEVO</t>
  </si>
  <si>
    <t>C:\RAM CAS\MEJORA CONTINUA\CONTROL DE BUFFERS\AGROINSUMOS\AGROHERMANOSLEON</t>
  </si>
  <si>
    <t>C:\RAM CAS\MEJORA CONTINUA\CONTROL DE BUFFERS\AGROINSUMOS\MONCAYOLOPEZ</t>
  </si>
  <si>
    <t>C:\RAM CAS\MEJORA CONTINUA\CONTROL DE BUFFERS\AGROINSUMOS\LAFINCA</t>
  </si>
  <si>
    <t>C:\RAM CAS\MEJORA CONTINUA\CONTROL DE BUFFERS\AGROINSUMOS\EIGUANCHI</t>
  </si>
  <si>
    <t>C:\RAM CAS\MEJORA CONTINUA\CONTROL DE BUFFERS\SUKAMPO\CENTRAL</t>
  </si>
  <si>
    <t>C:\RAM CAS\MEJORA CONTINUA\CONTROL DE BUFFERS\SUKAMPO\SUCRE</t>
  </si>
  <si>
    <t>C:\RAM CAS\MEJORA CONTINUA\CONTROL DE BUFFERS\SUKAMPO\CENTRALPROPIA</t>
  </si>
  <si>
    <t>Proveedor</t>
  </si>
  <si>
    <t>Prioridad</t>
  </si>
  <si>
    <t>DÍAS RESTANTES POR ARCHIVO</t>
  </si>
  <si>
    <t>C:\RAM CAS\MEJORA CONTINUA\CONTROL DE BUFFERS\AGROINSUMOS\MATERIAPRIMA</t>
  </si>
  <si>
    <t>ACCESORIOS.xlsm</t>
  </si>
  <si>
    <t>ECHO.xlsm</t>
  </si>
  <si>
    <t>SHINDAIWA.xlsm</t>
  </si>
  <si>
    <t>MAQ-ECHO-SHINDAIWA.xlsm</t>
  </si>
  <si>
    <t>LINEA-JF.xlsm</t>
  </si>
  <si>
    <t>C:\RAM CAS\MEJORA CONTINUA\CONTROL DE BUFFERS\AGROTA\MAXGUAYAQUIL</t>
  </si>
  <si>
    <t>C:\RAM CAS\MEJORA CONTINUA\CONTROL DE BUFFERS\AGROTA\PROMACOFI</t>
  </si>
  <si>
    <t>C:\RAM CAS\MEJORA CONTINUA\CONTROL DE BUFFERS\AGROTA\EIGUANCHI</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</si>
  <si>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</si>
  <si>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</si>
  <si>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</si>
  <si>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</si>
  <si>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</si>
  <si>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</si>
  <si>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</si>
  <si>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</si>
  <si>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</si>
  <si>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</si>
  <si>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</si>
  <si>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</si>
  <si>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</si>
  <si>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</si>
  <si>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</si>
  <si>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</si>
  <si>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</si>
  <si>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REPUESTOS.xlsm</t>
  </si>
  <si>
    <t>Fecha Histransferencia</t>
  </si>
  <si>
    <t>Fecha Consumo</t>
  </si>
  <si>
    <t>ADICIONALES.xlsm</t>
  </si>
  <si>
    <t>CASCOS-BATERIAS.xlsm</t>
  </si>
  <si>
    <t>LLANTAS.xlsm</t>
  </si>
  <si>
    <t>Hora Apagado</t>
  </si>
  <si>
    <t>% ITEMS CON BUFFER</t>
  </si>
  <si>
    <t>Path Transferencias Batch</t>
  </si>
  <si>
    <t>Path Buffers Consolidados</t>
  </si>
  <si>
    <t>Path Exportación Datos Consolidados</t>
  </si>
  <si>
    <t>Autenticación Hojas CB</t>
  </si>
  <si>
    <t>O:</t>
  </si>
  <si>
    <t>DISMA</t>
  </si>
  <si>
    <t>BDG. DE PRODUCTO TERMI PLANTA</t>
  </si>
  <si>
    <t>H233C100</t>
  </si>
  <si>
    <t>DATOS MANUALES</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</si>
  <si>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</si>
  <si>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</si>
  <si>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</si>
  <si>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</si>
  <si>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</si>
  <si>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</si>
  <si>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</si>
  <si>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</si>
  <si>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</si>
  <si>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</si>
  <si>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</si>
  <si>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</si>
  <si>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</si>
  <si>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</si>
  <si>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MEDITOP.xlsm</t>
  </si>
  <si>
    <t>completo</t>
  </si>
  <si>
    <t>Total</t>
  </si>
  <si>
    <t>Nivel de Servicio Calculado</t>
  </si>
  <si>
    <t>0</t>
  </si>
  <si>
    <t>PedidCalc Más o Menos</t>
  </si>
  <si>
    <t>SIN DATOS</t>
  </si>
  <si>
    <t>TOTALES</t>
  </si>
  <si>
    <t>RAZÓN</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</si>
  <si>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</si>
  <si>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</si>
  <si>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</si>
  <si>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</si>
  <si>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</si>
  <si>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</si>
  <si>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</si>
  <si>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</si>
  <si>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</si>
  <si>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</si>
  <si>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</si>
  <si>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</si>
  <si>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</si>
  <si>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</si>
  <si>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</si>
  <si>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</si>
  <si>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</si>
  <si>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</si>
  <si>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</si>
  <si>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</si>
  <si>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</si>
  <si>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</si>
  <si>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</si>
  <si>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</si>
  <si>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</si>
  <si>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</si>
  <si>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</si>
  <si>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</si>
  <si>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</si>
  <si>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</si>
  <si>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C:\Users\RAMCAS\Desktop</t>
  </si>
  <si>
    <t>Atajo para crear una nueva transferencia.</t>
  </si>
  <si>
    <t>Hora Importación Datos</t>
  </si>
  <si>
    <t>Todas</t>
  </si>
  <si>
    <t>Tipo</t>
  </si>
  <si>
    <t>Indicación</t>
  </si>
  <si>
    <t>ID</t>
  </si>
  <si>
    <t>Revisar y gestionar todas las Alertas de las Hojas CB.</t>
  </si>
  <si>
    <t>¿Hay nuevas reposiciones por hacer el día de hoy?</t>
  </si>
  <si>
    <t>¿Están correctamente actualizados los tránsitos, backorders y comprometidos?</t>
  </si>
  <si>
    <t>¿Cómo está la disponibilidad del inventario?</t>
  </si>
  <si>
    <t>¿Se están haciendo las reposiciones de acuerdo a los requerimientos reales?</t>
  </si>
  <si>
    <t>¿Están presentes todos los ítems que tienen que estar bajo control de buffers?</t>
  </si>
  <si>
    <t>Las reposiciones tienen que hacerse lo más frecuentemente posible.</t>
  </si>
  <si>
    <t>Los ítems con malas reposiciones apagan la Gestión Dinámica de Buffers.</t>
  </si>
  <si>
    <t>¿Hay que dimensionar nuevos buffers? Utilizar el Simulador de Buffers.</t>
  </si>
  <si>
    <t>Hacer Gestión de Buffers todos los días, así se mantiene sano al sistema.</t>
  </si>
  <si>
    <t>¿Señales contradictorias en la Gestión de Buffers? Usar el gráfico para orientarse.</t>
  </si>
  <si>
    <t>Crear o editar las Vistas de las Hojas CB para mejorar el flujo de trabajo.</t>
  </si>
  <si>
    <t>Un nuevo usuario debe tener permisos en la empresa, en la hoja cb y en la bodega.</t>
  </si>
  <si>
    <t>Actualizar tránsitos, backorders y comprometidos antes de crear una transferencia.</t>
  </si>
  <si>
    <t>¿Ya llegó una transferencia? No olvidarse de darla de baja.</t>
  </si>
  <si>
    <t>Los parámetros son los datos que el Controlador de Buffers llena en las Hojas CB.</t>
  </si>
  <si>
    <t>¿Se están posponiendo muchas alertas? Comunicar las causas.</t>
  </si>
  <si>
    <t>¿Se están creando procesos fuera de la disciplina del buffer? Comunicar las causas.</t>
  </si>
  <si>
    <t>¿Un proveedor se demora mucho en entregar? Buscar alternativas.</t>
  </si>
  <si>
    <t>A más tiempo de reposición, se necesitará un buffer más grande.</t>
  </si>
  <si>
    <t>Buffers más grandes significa una mayor inversión para la empresa en ese ítem.</t>
  </si>
  <si>
    <t>Al presentarse un problema, comunicarlo inmediatamente antes que éste crezca.</t>
  </si>
  <si>
    <t>¿Ha cambiado la frecuencia de reposición? Cambiarlo inmediatamente en el perfil.</t>
  </si>
  <si>
    <t>¿Ha cambiado el tiempo de suministro? Cambiarlo inmediatamente en el perfil.</t>
  </si>
  <si>
    <t>¿La GDB no estabiliza adecuadamente un buffer? Recalcular el buffer simulando.</t>
  </si>
  <si>
    <t>El buffer da mucha información siempre y cuando se mantenga la disciplina.</t>
  </si>
  <si>
    <t>El tamaño del buffer es el punto de control para definir el tamaño de las reposiciones.</t>
  </si>
  <si>
    <t>¿Se están haciendo muchas reposiciones fuera de la necesidad del buffer? Alerta.</t>
  </si>
  <si>
    <t>¿Se están haciendo caso a las Alertas de las Hojas CB?</t>
  </si>
  <si>
    <t>¿Se están utilizando los botones de desplazamiento para recorrer fácilmente las hojas?</t>
  </si>
  <si>
    <t>La descripción de cada campo de la Hoja CB se encuentra en un comentario en las cabeceras.</t>
  </si>
  <si>
    <t>¿Hay medidas en la empresa que dañen la disponibilidad? Comunicar inmediatamente.</t>
  </si>
  <si>
    <t>¿Hay medidas en la empresa que provoquen sobre inventario? Comunicar inmediatamente.</t>
  </si>
  <si>
    <t xml:space="preserve">Un buen Controlador de Buffers mantiene una correcta Disponibilidad de los ítems. </t>
  </si>
  <si>
    <t>¿No se puede cumplir con la frecuencia de reposición establecida? Comunicar.</t>
  </si>
  <si>
    <t>¿Cómo pedir reposiciones más frecuentes a los proveedores?</t>
  </si>
  <si>
    <t>¿Cómo reducir al máximo el tiempo de suministro de los proveedores?</t>
  </si>
  <si>
    <t>Cuando ya una transferencia llegue y forme parte del inventario físico, darla de baja.</t>
  </si>
  <si>
    <t>¿Están correctamente ingresados todos los parámetros en las Hojas CB? Revisar.</t>
  </si>
  <si>
    <t>La prioridad de gestión del Controlador de Buffers es el FLUJO continuo de inventario.</t>
  </si>
  <si>
    <t>Atajo para ir a las Transferencias Activas.</t>
  </si>
  <si>
    <t>Panel con mensajes educativos para guiar al Controlador de Buffers en su gestión.</t>
  </si>
  <si>
    <t xml:space="preserve">El efecto de una decisión tomada hoy sobre los buffers no se verá inmediatamente. </t>
  </si>
  <si>
    <t>BASE DATOS</t>
  </si>
  <si>
    <t>-</t>
  </si>
  <si>
    <t>Usuario: admin</t>
  </si>
  <si>
    <t>admin</t>
  </si>
  <si>
    <t>AGROTA BODEGA  YAMABIKO</t>
  </si>
  <si>
    <t>Bodega Central Agrota</t>
  </si>
  <si>
    <t>AGROTA BODEGA SUCRE</t>
  </si>
  <si>
    <t>AGROTA SUKAMPO FERIA LIBRE</t>
  </si>
  <si>
    <t>BODEGA CENTRAL MAQUINAS</t>
  </si>
  <si>
    <t>AGROTA SUKAMPO GUAYAQUIL</t>
  </si>
  <si>
    <t>BODEGA CENTRAL</t>
  </si>
  <si>
    <t>AGROTA SUKAMPO MILAGRO</t>
  </si>
  <si>
    <t>AGROTA SUKAMPO QUEVEDO</t>
  </si>
  <si>
    <t>AGROTA SUKAMPO UNIDAD NACIONAL</t>
  </si>
  <si>
    <t>AGROTA TALLER SUKAMPO MILAGRO</t>
  </si>
  <si>
    <t>AGROTA TALLER SUKAMPO QUEVEDO</t>
  </si>
  <si>
    <t>AGROTA TALLER SUKAMPO UNIDAD NACIONAL</t>
  </si>
  <si>
    <t>BCS</t>
  </si>
  <si>
    <t>Chatani</t>
  </si>
  <si>
    <t>Compra Local Maquinas</t>
  </si>
  <si>
    <t>Echo</t>
  </si>
  <si>
    <t>Ikra</t>
  </si>
  <si>
    <t>Jf</t>
  </si>
  <si>
    <t>Patriot</t>
  </si>
  <si>
    <t>Duaja</t>
  </si>
  <si>
    <t>EUROLATTE</t>
  </si>
  <si>
    <t>INCOMAGRI</t>
  </si>
  <si>
    <t>BORALSAN</t>
  </si>
  <si>
    <t>MFW</t>
  </si>
  <si>
    <t>BODEGA CENTRAL MATERIA PRIMA</t>
  </si>
  <si>
    <t>JM ESTRADA</t>
  </si>
  <si>
    <t>COMERCIAL KYWI</t>
  </si>
  <si>
    <t>MIRAL</t>
  </si>
  <si>
    <t>Sirfran</t>
  </si>
  <si>
    <t>FORD</t>
  </si>
  <si>
    <t>Sinochem</t>
  </si>
  <si>
    <t>Compra Local Quimicos</t>
  </si>
  <si>
    <t>MATERIA PRIMA</t>
  </si>
  <si>
    <t>BODEGA DUPOCSA ARENAL</t>
  </si>
  <si>
    <t>BODEGA DUPOCSA CONCORDIA</t>
  </si>
  <si>
    <t>BODEGA DUPOCSA QUEVEDO</t>
  </si>
  <si>
    <t>BODEGA MERCALIMSA</t>
  </si>
  <si>
    <t>BODEGA SATELITE AGROINSUMOS RIERA</t>
  </si>
  <si>
    <t>BODEGA SATELITE COMERCIAL COCA</t>
  </si>
  <si>
    <t>BODEGA SUKAMPO</t>
  </si>
  <si>
    <t>GUAYAQUIL SUKAMPO</t>
  </si>
  <si>
    <t>JAHER REGIONAL CDR BABAHOYO</t>
  </si>
  <si>
    <t>JAHER REGIONAL CDR. CUENCA</t>
  </si>
  <si>
    <t>MARCIMEX REGIONAL CUENCA</t>
  </si>
  <si>
    <t>Agroenzimas</t>
  </si>
  <si>
    <t xml:space="preserve">MIO CHEMICAL </t>
  </si>
  <si>
    <t>Mercalimsa</t>
  </si>
  <si>
    <t>SHARDA</t>
  </si>
  <si>
    <t>PRODUCTO TERMINADO</t>
  </si>
  <si>
    <t>Agrosad</t>
  </si>
  <si>
    <t>Agroprocesos</t>
  </si>
  <si>
    <t>ARS</t>
  </si>
  <si>
    <t>AGROTA BODEGA INCOP</t>
  </si>
  <si>
    <t>Maquinas ECHO - SHINDAIWA.xlsm</t>
  </si>
  <si>
    <t>O:\Maquinas ECHO - SHINDAIWA.xlsm</t>
  </si>
  <si>
    <t>Hojas CB</t>
  </si>
  <si>
    <t>Accesorios.xlsm</t>
  </si>
  <si>
    <t>Sugerencias GDB</t>
  </si>
  <si>
    <t>Comportamiento especial</t>
  </si>
  <si>
    <t>Ítems sin reposición alguna</t>
  </si>
  <si>
    <t>Mal atendidos Cantidad</t>
  </si>
  <si>
    <t>Sobre atendidos Cantidad</t>
  </si>
  <si>
    <t>Mal atendido Frec Repos</t>
  </si>
  <si>
    <t>Buffers nunca inicializados</t>
  </si>
  <si>
    <t>CAFE MATERIA PRIMA.xlsm</t>
  </si>
  <si>
    <t>Completo</t>
  </si>
  <si>
    <t>HOJAS</t>
  </si>
  <si>
    <t>ÍTEMS TOTALES</t>
  </si>
  <si>
    <t>ÍTEMS CON BUFFER</t>
  </si>
  <si>
    <t>COSTO FÍSICO</t>
  </si>
  <si>
    <t>COSTO PROYECTADO</t>
  </si>
  <si>
    <t>COSTO TRÁNSITO</t>
  </si>
  <si>
    <t>DÍAS PERÍODO</t>
  </si>
  <si>
    <t>COSTO COMPROM</t>
  </si>
  <si>
    <t>COSTO BACKORDER</t>
  </si>
  <si>
    <t>GUARDADO</t>
  </si>
  <si>
    <t>REFRESCADO_INI</t>
  </si>
  <si>
    <t>REFRESCADO_FIN</t>
  </si>
  <si>
    <t>REFRESCADA</t>
  </si>
  <si>
    <t>empresa</t>
  </si>
  <si>
    <t>hoja_cb</t>
  </si>
  <si>
    <t>refrescada</t>
  </si>
  <si>
    <t>base_datos</t>
  </si>
  <si>
    <t>inicio_refrescado</t>
  </si>
  <si>
    <t>fin_refrescado</t>
  </si>
  <si>
    <t>guardado</t>
  </si>
  <si>
    <t>razon</t>
  </si>
  <si>
    <t>dias_periodo</t>
  </si>
  <si>
    <t>duplicados</t>
  </si>
  <si>
    <t>sku_totales</t>
  </si>
  <si>
    <t>sku_buffer</t>
  </si>
  <si>
    <t>costo_buffer</t>
  </si>
  <si>
    <t>costo_fisico</t>
  </si>
  <si>
    <t>costo_transito</t>
  </si>
  <si>
    <t>costo_comprometido</t>
  </si>
  <si>
    <t>costo_backorder</t>
  </si>
  <si>
    <t>costo_proyectado</t>
  </si>
  <si>
    <t>costo_total</t>
  </si>
  <si>
    <t>empresa_hoja</t>
  </si>
  <si>
    <t>COSTO TOTAL</t>
  </si>
  <si>
    <t>Coincidir</t>
  </si>
  <si>
    <t>ALERTAS</t>
  </si>
  <si>
    <t>Refrescado Total</t>
  </si>
  <si>
    <t>Repuestos ECHO.xlsm</t>
  </si>
  <si>
    <t>O:\Repuestos ECHO.xlsm</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</si>
</sst>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2" formatCode="_(&quot;$&quot;\ * #,##0_);_(&quot;$&quot;\ * \(#,##0\);_(&quot;$&quot;\ * &quot;-&quot;_);_(@_)"/>
    <numFmt numFmtId="164" formatCode="[$-300A]d&quot; de &quot;mmmm&quot; de &quot;yyyy;@"/>
    <numFmt numFmtId="165" formatCode="[$-F400]h:mm:ss\ AM/PM"/>
    <numFmt numFmtId="166" formatCode="hh:mm:ss;@"/>
    <numFmt numFmtId="167" formatCode="&quot;$&quot;\ #,##0.00"/>
    <numFmt numFmtId="168" formatCode="dd/mm/yyyy\ hh:mm"/>
    <numFmt numFmtId="169" formatCode="dd/mmm\ hh:mm"/>
    <numFmt numFmtId="170" formatCode="dd/mmm/yy"/>
  </numFmts>
  <fonts count="26"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
      <sz val="11"/>
      <color rgb="FF000000"/>
      <name val="Calibri"/>
      <family val="2"/>
    </font>
    <font>
      <sz val="11"/>
      <color rgb="FFFF0000"/>
      <name val="Calibri"/>
      <family val="2"/>
      <scheme val="minor"/>
    </font>
    <font>
      <sz val="10"/>
      <color theme="1"/>
      <name val="Calibri"/>
      <family val="2"/>
      <scheme val="minor"/>
    </font>
    <font>
      <sz val="11"/>
      <color rgb="FFFFFF00"/>
      <name val="Calibri"/>
      <family val="2"/>
      <scheme val="minor"/>
    </font>
    <font>
      <b/>
      <sz val="13"/>
      <color rgb="FFFFFF00"/>
      <name val="Calibri"/>
      <family val="2"/>
      <scheme val="minor"/>
    </font>
  </fonts>
  <fills count="7">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4" tint="0.79998168889431442"/>
        <bgColor indexed="64"/>
      </patternFill>
    </fill>
    <fill>
      <patternFill patternType="solid">
        <fgColor rgb="FFC00000"/>
        <bgColor indexed="64"/>
      </patternFill>
    </fill>
  </fills>
  <borders count="11">
    <border>
      <left/>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3">
    <xf numFmtId="0" fontId="0" fillId="0" borderId="0"/>
    <xf numFmtId="0" fontId="17" fillId="0" borderId="0"/>
    <xf numFmtId="0" fontId="18" fillId="0" borderId="0" applyNumberFormat="0" applyFill="0" applyBorder="0" applyAlignment="0" applyProtection="0"/>
  </cellStyleXfs>
  <cellXfs count="75">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4" fontId="0" fillId="0" borderId="0" xfId="0" applyNumberFormat="1" applyBorder="1" applyAlignment="1">
      <alignment horizontal="center"/>
    </xf>
    <xf numFmtId="22" fontId="0" fillId="0" borderId="0" xfId="0" applyNumberFormat="1"/>
    <xf numFmtId="165"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7" fontId="0" fillId="0" borderId="0" xfId="0" applyNumberFormat="1"/>
    <xf numFmtId="14" fontId="0" fillId="0" borderId="0" xfId="0" applyNumberFormat="1"/>
    <xf numFmtId="166" fontId="0" fillId="0" borderId="0" xfId="0" applyNumberFormat="1" applyAlignment="1">
      <alignment horizontal="center"/>
    </xf>
    <xf numFmtId="168" fontId="0" fillId="0" borderId="0" xfId="0" applyNumberFormat="1" applyAlignment="1">
      <alignment horizontal="center"/>
    </xf>
    <xf numFmtId="0" fontId="18" fillId="0" borderId="0" xfId="2"/>
    <xf numFmtId="0" fontId="19" fillId="0" borderId="0" xfId="0" applyFont="1"/>
    <xf numFmtId="0" fontId="20" fillId="4" borderId="0" xfId="0" applyFont="1" applyFill="1"/>
    <xf numFmtId="0" fontId="5" fillId="5" borderId="4" xfId="0" applyFont="1" applyFill="1" applyBorder="1"/>
    <xf numFmtId="0" fontId="0" fillId="5" borderId="3" xfId="0" applyFill="1" applyBorder="1"/>
    <xf numFmtId="0" fontId="0" fillId="5" borderId="0" xfId="0" applyFill="1" applyBorder="1"/>
    <xf numFmtId="0" fontId="0" fillId="5" borderId="0" xfId="0" applyFill="1"/>
    <xf numFmtId="0" fontId="22" fillId="5" borderId="0" xfId="0" applyFont="1" applyFill="1" applyBorder="1"/>
    <xf numFmtId="0" fontId="11" fillId="5" borderId="0" xfId="0" applyFont="1" applyFill="1"/>
    <xf numFmtId="0" fontId="1" fillId="5" borderId="0" xfId="0" applyFont="1" applyFill="1" applyBorder="1" applyAlignment="1">
      <alignment horizontal="centerContinuous"/>
    </xf>
    <xf numFmtId="0" fontId="0" fillId="5" borderId="0" xfId="0" applyFill="1" applyBorder="1" applyAlignment="1">
      <alignment horizontal="centerContinuous"/>
    </xf>
    <xf numFmtId="0" fontId="2" fillId="5" borderId="0" xfId="0" applyFont="1" applyFill="1" applyBorder="1" applyAlignment="1">
      <alignment horizontal="left"/>
    </xf>
    <xf numFmtId="0" fontId="7" fillId="5" borderId="2" xfId="0" applyFont="1" applyFill="1" applyBorder="1"/>
    <xf numFmtId="0" fontId="6" fillId="5" borderId="1" xfId="0" applyFont="1" applyFill="1" applyBorder="1"/>
    <xf numFmtId="0" fontId="0" fillId="5" borderId="2" xfId="0" applyFill="1" applyBorder="1"/>
    <xf numFmtId="0" fontId="0" fillId="5" borderId="1" xfId="0" applyFill="1" applyBorder="1"/>
    <xf numFmtId="0" fontId="14" fillId="5" borderId="5" xfId="0" applyFont="1" applyFill="1" applyBorder="1"/>
    <xf numFmtId="0" fontId="0" fillId="5" borderId="0" xfId="0" applyFill="1" applyAlignment="1">
      <alignment horizontal="center" vertical="center" wrapText="1"/>
    </xf>
    <xf numFmtId="0" fontId="0" fillId="5" borderId="0" xfId="0" applyFill="1" applyBorder="1" applyAlignment="1">
      <alignment horizontal="center" vertical="center" wrapText="1"/>
    </xf>
    <xf numFmtId="42" fontId="0" fillId="5" borderId="0" xfId="0" applyNumberFormat="1" applyFill="1"/>
    <xf numFmtId="1" fontId="0" fillId="5" borderId="0" xfId="0" applyNumberFormat="1" applyFill="1" applyAlignment="1">
      <alignment horizontal="center"/>
    </xf>
    <xf numFmtId="0" fontId="0" fillId="5" borderId="0" xfId="0" applyNumberFormat="1" applyFill="1" applyAlignment="1">
      <alignment horizontal="center"/>
    </xf>
    <xf numFmtId="169" fontId="0" fillId="5" borderId="0" xfId="0" applyNumberFormat="1" applyFill="1" applyAlignment="1">
      <alignment horizontal="center"/>
    </xf>
    <xf numFmtId="166" fontId="0" fillId="5" borderId="0" xfId="0" applyNumberFormat="1" applyFill="1" applyAlignment="1">
      <alignment horizontal="center"/>
    </xf>
    <xf numFmtId="0" fontId="0" fillId="5" borderId="0" xfId="0" applyNumberFormat="1" applyFill="1"/>
    <xf numFmtId="0" fontId="0" fillId="5" borderId="0" xfId="0" applyFill="1" applyAlignment="1">
      <alignment horizontal="center"/>
    </xf>
    <xf numFmtId="3" fontId="0" fillId="5" borderId="0" xfId="0" applyNumberFormat="1" applyFill="1" applyAlignment="1">
      <alignment horizontal="center"/>
    </xf>
    <xf numFmtId="0" fontId="12" fillId="5" borderId="0" xfId="0" applyFont="1" applyFill="1" applyBorder="1"/>
    <xf numFmtId="0" fontId="0" fillId="5" borderId="7" xfId="0" applyFill="1" applyBorder="1"/>
    <xf numFmtId="0" fontId="0" fillId="5" borderId="6" xfId="0" applyFill="1" applyBorder="1"/>
    <xf numFmtId="0" fontId="0" fillId="5" borderId="2" xfId="0" applyFill="1" applyBorder="1" applyAlignment="1">
      <alignment vertical="center"/>
    </xf>
    <xf numFmtId="0" fontId="0" fillId="5" borderId="9" xfId="0" applyFill="1" applyBorder="1" applyAlignment="1">
      <alignment vertical="center"/>
    </xf>
    <xf numFmtId="0" fontId="0" fillId="5" borderId="9" xfId="0" applyFill="1" applyBorder="1"/>
    <xf numFmtId="0" fontId="0" fillId="5" borderId="9" xfId="0" applyFont="1" applyFill="1" applyBorder="1"/>
    <xf numFmtId="0" fontId="0" fillId="5" borderId="8" xfId="0" applyFill="1" applyBorder="1" applyAlignment="1">
      <alignment horizontal="center" vertical="center"/>
    </xf>
    <xf numFmtId="0" fontId="24" fillId="6" borderId="0" xfId="0" applyFont="1" applyFill="1"/>
    <xf numFmtId="0" fontId="11" fillId="5" borderId="0" xfId="0" applyNumberFormat="1" applyFont="1" applyFill="1" applyAlignment="1">
      <alignment horizontal="center"/>
    </xf>
    <xf numFmtId="170" fontId="23" fillId="5" borderId="10" xfId="0" applyNumberFormat="1" applyFont="1" applyFill="1" applyBorder="1" applyAlignment="1" applyProtection="1">
      <alignment horizontal="center" vertical="center"/>
    </xf>
    <xf numFmtId="166" fontId="23" fillId="5" borderId="10" xfId="0" applyNumberFormat="1" applyFont="1" applyFill="1" applyBorder="1" applyAlignment="1" applyProtection="1">
      <alignment horizontal="center" vertical="center"/>
      <protection locked="0"/>
    </xf>
    <xf numFmtId="170" fontId="23" fillId="5" borderId="8" xfId="0" applyNumberFormat="1" applyFont="1" applyFill="1" applyBorder="1" applyAlignment="1">
      <alignment horizontal="center" vertical="center"/>
    </xf>
    <xf numFmtId="170" fontId="23" fillId="5" borderId="10" xfId="0" applyNumberFormat="1" applyFont="1" applyFill="1" applyBorder="1" applyAlignment="1">
      <alignment horizontal="center" vertical="center"/>
    </xf>
    <xf numFmtId="166" fontId="0" fillId="5" borderId="8" xfId="0" applyNumberFormat="1" applyFill="1" applyBorder="1" applyAlignment="1" applyProtection="1">
      <alignment horizontal="center"/>
      <protection locked="0"/>
    </xf>
    <xf numFmtId="166" fontId="0" fillId="5" borderId="10" xfId="0" applyNumberFormat="1" applyFill="1" applyBorder="1" applyAlignment="1" applyProtection="1">
      <alignment horizontal="center"/>
      <protection locked="0"/>
    </xf>
    <xf numFmtId="0" fontId="14" fillId="5" borderId="2" xfId="0" applyFont="1" applyFill="1" applyBorder="1" applyAlignment="1">
      <alignment horizontal="centerContinuous"/>
    </xf>
    <xf numFmtId="0" fontId="0" fillId="5" borderId="1" xfId="0" applyFill="1" applyBorder="1" applyAlignment="1">
      <alignment horizontal="center"/>
    </xf>
    <xf numFmtId="166" fontId="0" fillId="5" borderId="0" xfId="0" applyNumberFormat="1" applyFill="1" applyBorder="1" applyAlignment="1" applyProtection="1">
      <alignment horizontal="center"/>
      <protection locked="0"/>
    </xf>
    <xf numFmtId="17" fontId="11" fillId="5" borderId="0" xfId="0" applyNumberFormat="1" applyFont="1" applyFill="1" applyBorder="1" applyAlignment="1">
      <alignment horizontal="left"/>
    </xf>
    <xf numFmtId="0" fontId="25" fillId="6" borderId="0" xfId="0" applyFont="1" applyFill="1" applyBorder="1"/>
  </cellXfs>
  <cellStyles count="3">
    <cellStyle name="Normal" xfId="0" builtinId="0"/>
    <cellStyle name="Normal 2" xfId="1"/>
    <cellStyle name="Título" xfId="2" builtinId="15"/>
  </cellStyles>
  <dxfs count="127">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ont>
        <color theme="0"/>
      </font>
      <fill>
        <patternFill>
          <bgColor rgb="FFFF0000"/>
        </patternFill>
      </fill>
    </dxf>
    <dxf>
      <fill>
        <patternFill>
          <bgColor rgb="FFFFFF00"/>
        </patternFill>
      </fill>
    </dxf>
    <dxf>
      <font>
        <color auto="1"/>
      </font>
      <fill>
        <patternFill>
          <bgColor rgb="FFFFFF00"/>
        </patternFill>
      </fill>
    </dxf>
    <dxf>
      <font>
        <color theme="0"/>
      </font>
      <fill>
        <patternFill>
          <bgColor rgb="FFFF000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ont>
        <color theme="0"/>
      </font>
      <fill>
        <patternFill>
          <bgColor rgb="FFC00000"/>
        </patternFill>
      </fil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4"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7" formatCode="&quot;$&quot;\ #,##0.00"/>
    </dxf>
    <dxf>
      <numFmt numFmtId="167" formatCode="&quot;$&quot;\ #,##0.00"/>
    </dxf>
    <dxf>
      <numFmt numFmtId="167" formatCode="&quot;$&quot;\ #,##0.00"/>
    </dxf>
    <dxf>
      <numFmt numFmtId="167" formatCode="&quot;$&quot;\ #,##0.00"/>
    </dxf>
    <dxf>
      <numFmt numFmtId="167" formatCode="&quot;$&quot;\ #,##0.00"/>
    </dxf>
    <dxf>
      <numFmt numFmtId="167" formatCode="&quot;$&quot;\ #,##0.0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dxf>
    <dxf>
      <numFmt numFmtId="0" formatCode="General"/>
    </dxf>
    <dxf>
      <fill>
        <patternFill patternType="solid">
          <fgColor indexed="64"/>
          <bgColor theme="4" tint="0.79998168889431442"/>
        </patternFill>
      </fill>
      <alignment horizontal="center" vertical="bottom" textRotation="0" wrapText="0" indent="0" justifyLastLine="0" shrinkToFit="0" readingOrder="0"/>
    </dxf>
    <dxf>
      <numFmt numFmtId="0" formatCode="General"/>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dxf>
    <dxf>
      <numFmt numFmtId="0" formatCode="General"/>
      <fill>
        <patternFill patternType="solid">
          <fgColor indexed="64"/>
          <bgColor theme="4" tint="0.79998168889431442"/>
        </patternFill>
      </fill>
    </dxf>
    <dxf>
      <fill>
        <patternFill patternType="solid">
          <fgColor indexed="64"/>
          <bgColor theme="4" tint="0.79998168889431442"/>
        </patternFill>
      </fill>
      <alignment horizontal="center" vertical="bottom" textRotation="0" wrapText="0" indent="0" justifyLastLine="0" shrinkToFit="0" readingOrder="0"/>
    </dxf>
    <dxf>
      <numFmt numFmtId="169" formatCode="dd/mmm\ hh:mm"/>
      <fill>
        <patternFill patternType="solid">
          <fgColor indexed="64"/>
          <bgColor theme="4" tint="0.79998168889431442"/>
        </patternFill>
      </fill>
      <alignment horizontal="center" vertical="bottom" textRotation="0" wrapText="0" indent="0" justifyLastLine="0" shrinkToFit="0" readingOrder="0"/>
    </dxf>
    <dxf>
      <numFmt numFmtId="166" formatCode="hh:mm:ss;@"/>
      <fill>
        <patternFill patternType="solid">
          <fgColor indexed="64"/>
          <bgColor theme="4" tint="0.79998168889431442"/>
        </patternFill>
      </fill>
      <alignment horizontal="center" vertical="bottom" textRotation="0" wrapText="0" indent="0" justifyLastLine="0" shrinkToFit="0" readingOrder="0"/>
    </dxf>
    <dxf>
      <numFmt numFmtId="166" formatCode="hh:mm:ss;@"/>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numFmt numFmtId="169" formatCode="dd/mmm\ hh:mm"/>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numFmt numFmtId="169" formatCode="dd/mmm\ hh:mm"/>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numFmt numFmtId="0" formatCode="General"/>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1"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1"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1"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1" formatCode="0"/>
      <fill>
        <patternFill patternType="solid">
          <fgColor indexed="64"/>
          <bgColor theme="4" tint="0.79998168889431442"/>
        </patternFill>
      </fill>
      <alignment horizontal="center" vertical="bottom" textRotation="0" wrapText="0" indent="0" justifyLastLine="0" shrinkToFit="0" readingOrder="0"/>
    </dxf>
    <dxf>
      <numFmt numFmtId="32" formatCode="_(&quot;$&quot;\ * #,##0_);_(&quot;$&quot;\ * \(#,##0\);_(&quot;$&quot;\ * &quot;-&quot;_);_(@_)"/>
      <fill>
        <patternFill patternType="solid">
          <fgColor indexed="64"/>
          <bgColor theme="4" tint="0.79998168889431442"/>
        </patternFill>
      </fill>
    </dxf>
    <dxf>
      <numFmt numFmtId="32" formatCode="_(&quot;$&quot;\ * #,##0_);_(&quot;$&quot;\ * \(#,##0\);_(&quot;$&quot;\ * &quot;-&quot;_);_(@_)"/>
      <fill>
        <patternFill patternType="solid">
          <fgColor indexed="64"/>
          <bgColor theme="4" tint="0.79998168889431442"/>
        </patternFill>
      </fill>
    </dxf>
    <dxf>
      <numFmt numFmtId="32" formatCode="_(&quot;$&quot;\ * #,##0_);_(&quot;$&quot;\ * \(#,##0\);_(&quot;$&quot;\ * &quot;-&quot;_);_(@_)"/>
      <fill>
        <patternFill patternType="solid">
          <fgColor indexed="64"/>
          <bgColor theme="4" tint="0.79998168889431442"/>
        </patternFill>
      </fill>
    </dxf>
    <dxf>
      <numFmt numFmtId="32" formatCode="_(&quot;$&quot;\ * #,##0_);_(&quot;$&quot;\ * \(#,##0\);_(&quot;$&quot;\ * &quot;-&quot;_);_(@_)"/>
      <fill>
        <patternFill patternType="solid">
          <fgColor indexed="64"/>
          <bgColor theme="4" tint="0.79998168889431442"/>
        </patternFill>
      </fill>
    </dxf>
    <dxf>
      <numFmt numFmtId="32" formatCode="_(&quot;$&quot;\ * #,##0_);_(&quot;$&quot;\ * \(#,##0\);_(&quot;$&quot;\ * &quot;-&quot;_);_(@_)"/>
      <fill>
        <patternFill patternType="solid">
          <fgColor indexed="64"/>
          <bgColor theme="4" tint="0.79998168889431442"/>
        </patternFill>
      </fill>
    </dxf>
    <dxf>
      <numFmt numFmtId="32" formatCode="_(&quot;$&quot;\ * #,##0_);_(&quot;$&quot;\ * \(#,##0\);_(&quot;$&quot;\ * &quot;-&quot;_);_(@_)"/>
      <fill>
        <patternFill patternType="solid">
          <fgColor indexed="64"/>
          <bgColor theme="4" tint="0.79998168889431442"/>
        </patternFill>
      </fill>
    </dxf>
    <dxf>
      <numFmt numFmtId="32" formatCode="_(&quot;$&quot;\ * #,##0_);_(&quot;$&quot;\ * \(#,##0\);_(&quot;$&quot;\ * &quot;-&quot;_);_(@_)"/>
      <fill>
        <patternFill patternType="solid">
          <fgColor indexed="64"/>
          <bgColor theme="4" tint="0.79998168889431442"/>
        </patternFill>
      </fill>
    </dxf>
    <dxf>
      <numFmt numFmtId="32" formatCode="_(&quot;$&quot;\ * #,##0_);_(&quot;$&quot;\ * \(#,##0\);_(&quot;$&quot;\ * &quot;-&quot;_);_(@_)"/>
      <fill>
        <patternFill patternType="solid">
          <fgColor indexed="64"/>
          <bgColor theme="4" tint="0.79998168889431442"/>
        </patternFill>
      </fill>
    </dxf>
    <dxf>
      <numFmt numFmtId="32" formatCode="_(&quot;$&quot;\ * #,##0_);_(&quot;$&quot;\ * \(#,##0\);_(&quot;$&quot;\ * &quot;-&quot;_);_(@_)"/>
      <fill>
        <patternFill patternType="solid">
          <fgColor indexed="64"/>
          <bgColor theme="4" tint="0.79998168889431442"/>
        </patternFill>
      </fill>
    </dxf>
    <dxf>
      <numFmt numFmtId="32" formatCode="_(&quot;$&quot;\ * #,##0_);_(&quot;$&quot;\ * \(#,##0\);_(&quot;$&quot;\ * &quot;-&quot;_);_(@_)"/>
      <fill>
        <patternFill patternType="solid">
          <fgColor indexed="64"/>
          <bgColor theme="4" tint="0.79998168889431442"/>
        </patternFill>
      </fill>
    </dxf>
    <dxf>
      <numFmt numFmtId="32" formatCode="_(&quot;$&quot;\ * #,##0_);_(&quot;$&quot;\ * \(#,##0\);_(&quot;$&quot;\ * &quot;-&quot;_);_(@_)"/>
      <fill>
        <patternFill patternType="solid">
          <fgColor indexed="64"/>
          <bgColor theme="4" tint="0.79998168889431442"/>
        </patternFill>
      </fill>
    </dxf>
    <dxf>
      <numFmt numFmtId="32" formatCode="_(&quot;$&quot;\ * #,##0_);_(&quot;$&quot;\ * \(#,##0\);_(&quot;$&quot;\ * &quot;-&quot;_);_(@_)"/>
      <fill>
        <patternFill patternType="solid">
          <fgColor indexed="64"/>
          <bgColor theme="4" tint="0.79998168889431442"/>
        </patternFill>
      </fill>
    </dxf>
    <dxf>
      <numFmt numFmtId="32" formatCode="_(&quot;$&quot;\ * #,##0_);_(&quot;$&quot;\ * \(#,##0\);_(&quot;$&quot;\ * &quot;-&quot;_);_(@_)"/>
      <fill>
        <patternFill patternType="solid">
          <fgColor indexed="64"/>
          <bgColor theme="4" tint="0.79998168889431442"/>
        </patternFill>
      </fill>
    </dxf>
    <dxf>
      <numFmt numFmtId="32" formatCode="_(&quot;$&quot;\ * #,##0_);_(&quot;$&quot;\ * \(#,##0\);_(&quot;$&quot;\ * &quot;-&quot;_);_(@_)"/>
      <fill>
        <patternFill patternType="solid">
          <fgColor indexed="64"/>
          <bgColor theme="4" tint="0.79998168889431442"/>
        </patternFill>
      </fill>
    </dxf>
    <dxf>
      <fill>
        <patternFill patternType="solid">
          <fgColor indexed="64"/>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numFmt numFmtId="0" formatCode="General"/>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font>
        <b/>
      </font>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alignment horizontal="center" vertical="center" textRotation="0" wrapText="1" indent="0" justifyLastLine="0" shrinkToFit="0" readingOrder="0"/>
    </dxf>
  </dxfs>
  <tableStyles count="0" defaultTableStyle="TableStyleMedium9" defaultPivotStyle="PivotStyleLight16"/>
  <colors>
    <mruColors>
      <color rgb="FF99CCFF"/>
      <color rgb="FFCCECFF"/>
      <color rgb="FFCCFFCC"/>
      <color rgb="FF0099FF"/>
      <color rgb="FFCDCEFF"/>
      <color rgb="FFFF5050"/>
      <color rgb="FFECF1F8"/>
      <color rgb="FF800080"/>
      <color rgb="FFAFC2FF"/>
      <color rgb="FF8FAA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2.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11.emf"/><Relationship Id="rId3" Type="http://schemas.openxmlformats.org/officeDocument/2006/relationships/image" Target="../media/image9.emf"/><Relationship Id="rId7" Type="http://schemas.openxmlformats.org/officeDocument/2006/relationships/image" Target="../media/image4.emf"/><Relationship Id="rId12" Type="http://schemas.openxmlformats.org/officeDocument/2006/relationships/image" Target="../media/image13.emf"/><Relationship Id="rId2" Type="http://schemas.openxmlformats.org/officeDocument/2006/relationships/image" Target="../media/image8.emf"/><Relationship Id="rId1" Type="http://schemas.openxmlformats.org/officeDocument/2006/relationships/image" Target="../media/image6.emf"/><Relationship Id="rId6" Type="http://schemas.openxmlformats.org/officeDocument/2006/relationships/image" Target="../media/image10.emf"/><Relationship Id="rId11" Type="http://schemas.openxmlformats.org/officeDocument/2006/relationships/image" Target="../media/image1.emf"/><Relationship Id="rId5" Type="http://schemas.openxmlformats.org/officeDocument/2006/relationships/image" Target="../media/image7.emf"/><Relationship Id="rId10" Type="http://schemas.openxmlformats.org/officeDocument/2006/relationships/image" Target="../media/image2.emf"/><Relationship Id="rId4" Type="http://schemas.openxmlformats.org/officeDocument/2006/relationships/image" Target="../media/image3.emf"/><Relationship Id="rId9"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7.emf"/><Relationship Id="rId1" Type="http://schemas.openxmlformats.org/officeDocument/2006/relationships/image" Target="../media/image1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2.emf"/><Relationship Id="rId1" Type="http://schemas.openxmlformats.org/officeDocument/2006/relationships/image" Target="../media/image21.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3.emf"/><Relationship Id="rId1" Type="http://schemas.openxmlformats.org/officeDocument/2006/relationships/image" Target="../media/image24.emf"/></Relationships>
</file>

<file path=xl/drawings/drawing1.xml><?xml version="1.0" encoding="utf-8"?>
<xdr:wsDr xmlns:xdr="http://schemas.openxmlformats.org/drawingml/2006/spreadsheetDrawing" xmlns:a="http://schemas.openxmlformats.org/drawingml/2006/main">
  <xdr:twoCellAnchor editAs="absolute">
    <xdr:from>
      <xdr:col>0</xdr:col>
      <xdr:colOff>23813</xdr:colOff>
      <xdr:row>0</xdr:row>
      <xdr:rowOff>10583</xdr:rowOff>
    </xdr:from>
    <xdr:to>
      <xdr:col>8</xdr:col>
      <xdr:colOff>809626</xdr:colOff>
      <xdr:row>1</xdr:row>
      <xdr:rowOff>178594</xdr:rowOff>
    </xdr:to>
    <xdr:sp macro="[0]!Devuelve_Controles_Varias_Hojas_2" textlink="">
      <xdr:nvSpPr>
        <xdr:cNvPr id="2" name="rect_Titulo"/>
        <xdr:cNvSpPr/>
      </xdr:nvSpPr>
      <xdr:spPr>
        <a:xfrm>
          <a:off x="23813" y="10583"/>
          <a:ext cx="8751094" cy="358511"/>
        </a:xfrm>
        <a:prstGeom prst="rect">
          <a:avLst/>
        </a:prstGeom>
        <a:solidFill>
          <a:srgbClr val="0099FF"/>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v3.8.5</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38100</xdr:rowOff>
        </xdr:from>
        <xdr:to>
          <xdr:col>0</xdr:col>
          <xdr:colOff>1270000</xdr:colOff>
          <xdr:row>5</xdr:row>
          <xdr:rowOff>101600</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1314450</xdr:colOff>
          <xdr:row>4</xdr:row>
          <xdr:rowOff>19050</xdr:rowOff>
        </xdr:from>
        <xdr:to>
          <xdr:col>0</xdr:col>
          <xdr:colOff>2190750</xdr:colOff>
          <xdr:row>6</xdr:row>
          <xdr:rowOff>66675</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2219325</xdr:colOff>
          <xdr:row>4</xdr:row>
          <xdr:rowOff>19050</xdr:rowOff>
        </xdr:from>
        <xdr:to>
          <xdr:col>2</xdr:col>
          <xdr:colOff>276225</xdr:colOff>
          <xdr:row>6</xdr:row>
          <xdr:rowOff>66675</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476250</xdr:colOff>
          <xdr:row>2</xdr:row>
          <xdr:rowOff>28575</xdr:rowOff>
        </xdr:from>
        <xdr:to>
          <xdr:col>5</xdr:col>
          <xdr:colOff>819150</xdr:colOff>
          <xdr:row>3</xdr:row>
          <xdr:rowOff>104775</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28575</xdr:colOff>
          <xdr:row>2</xdr:row>
          <xdr:rowOff>28575</xdr:rowOff>
        </xdr:from>
        <xdr:to>
          <xdr:col>3</xdr:col>
          <xdr:colOff>714375</xdr:colOff>
          <xdr:row>3</xdr:row>
          <xdr:rowOff>95250</xdr:rowOff>
        </xdr:to>
        <xdr:sp macro="" textlink="">
          <xdr:nvSpPr>
            <xdr:cNvPr id="1060" name="cmd_refresca_items"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523875</xdr:colOff>
          <xdr:row>9</xdr:row>
          <xdr:rowOff>9525</xdr:rowOff>
        </xdr:from>
        <xdr:to>
          <xdr:col>4</xdr:col>
          <xdr:colOff>819150</xdr:colOff>
          <xdr:row>9</xdr:row>
          <xdr:rowOff>180975</xdr:rowOff>
        </xdr:to>
        <xdr:sp macro="" textlink="">
          <xdr:nvSpPr>
            <xdr:cNvPr id="1061" name="cmd_Refrescar_Alertas"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190500</xdr:colOff>
          <xdr:row>9</xdr:row>
          <xdr:rowOff>9525</xdr:rowOff>
        </xdr:from>
        <xdr:to>
          <xdr:col>4</xdr:col>
          <xdr:colOff>533400</xdr:colOff>
          <xdr:row>9</xdr:row>
          <xdr:rowOff>180975</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114300</xdr:colOff>
          <xdr:row>2</xdr:row>
          <xdr:rowOff>28575</xdr:rowOff>
        </xdr:from>
        <xdr:to>
          <xdr:col>2</xdr:col>
          <xdr:colOff>790575</xdr:colOff>
          <xdr:row>3</xdr:row>
          <xdr:rowOff>95250</xdr:rowOff>
        </xdr:to>
        <xdr:sp macro="" textlink="">
          <xdr:nvSpPr>
            <xdr:cNvPr id="1517" name="cmdTraeFechasRefrescado" hidden="1">
              <a:extLst>
                <a:ext uri="{63B3BB69-23CF-44E3-9099-C40C66FF867C}">
                  <a14:compatExt spid="_x0000_s15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119062</xdr:rowOff>
        </xdr:from>
        <xdr:to>
          <xdr:col>0</xdr:col>
          <xdr:colOff>1654969</xdr:colOff>
          <xdr:row>3</xdr:row>
          <xdr:rowOff>147143</xdr:rowOff>
        </xdr:to>
        <xdr:pic macro="[0]!Guarda_Controles_Varias_Hojas">
          <xdr:nvPicPr>
            <xdr:cNvPr id="28" name="fotUsuario"/>
            <xdr:cNvPicPr>
              <a:picLocks noChangeAspect="1" noChangeArrowheads="1"/>
              <a:extLst>
                <a:ext uri="{84589F7E-364E-4C9E-8A38-B11213B215E9}">
                  <a14:cameraTool cellRange="USUARIO" spid="_x0000_s170617"/>
                </a:ext>
              </a:extLst>
            </xdr:cNvPicPr>
          </xdr:nvPicPr>
          <xdr:blipFill>
            <a:blip xmlns:r="http://schemas.openxmlformats.org/officeDocument/2006/relationships" r:embed="rId1"/>
            <a:srcRect/>
            <a:stretch>
              <a:fillRect/>
            </a:stretch>
          </xdr:blipFill>
          <xdr:spPr bwMode="auto">
            <a:xfrm>
              <a:off x="0" y="500062"/>
              <a:ext cx="1654969" cy="21858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638175</xdr:colOff>
          <xdr:row>4</xdr:row>
          <xdr:rowOff>19050</xdr:rowOff>
        </xdr:from>
        <xdr:to>
          <xdr:col>3</xdr:col>
          <xdr:colOff>752475</xdr:colOff>
          <xdr:row>6</xdr:row>
          <xdr:rowOff>66675</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4</xdr:row>
          <xdr:rowOff>19050</xdr:rowOff>
        </xdr:from>
        <xdr:to>
          <xdr:col>2</xdr:col>
          <xdr:colOff>628650</xdr:colOff>
          <xdr:row>5</xdr:row>
          <xdr:rowOff>114300</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5</xdr:row>
          <xdr:rowOff>123825</xdr:rowOff>
        </xdr:from>
        <xdr:to>
          <xdr:col>2</xdr:col>
          <xdr:colOff>628650</xdr:colOff>
          <xdr:row>7</xdr:row>
          <xdr:rowOff>28575</xdr:rowOff>
        </xdr:to>
        <xdr:sp macro="" textlink="">
          <xdr:nvSpPr>
            <xdr:cNvPr id="97019" name="cmdTransferenciasActivas" hidden="1">
              <a:extLst>
                <a:ext uri="{63B3BB69-23CF-44E3-9099-C40C66FF867C}">
                  <a14:compatExt spid="_x0000_s97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828675</xdr:colOff>
          <xdr:row>4</xdr:row>
          <xdr:rowOff>19050</xdr:rowOff>
        </xdr:from>
        <xdr:to>
          <xdr:col>4</xdr:col>
          <xdr:colOff>800100</xdr:colOff>
          <xdr:row>6</xdr:row>
          <xdr:rowOff>104775</xdr:rowOff>
        </xdr:to>
        <xdr:sp macro="" textlink="">
          <xdr:nvSpPr>
            <xdr:cNvPr id="170283" name="cmd_Importa_Datos_ERP" hidden="1">
              <a:extLst>
                <a:ext uri="{63B3BB69-23CF-44E3-9099-C40C66FF867C}">
                  <a14:compatExt spid="_x0000_s1702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Importa Datos ERP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114300</xdr:colOff>
          <xdr:row>4</xdr:row>
          <xdr:rowOff>9525</xdr:rowOff>
        </xdr:from>
        <xdr:to>
          <xdr:col>5</xdr:col>
          <xdr:colOff>809625</xdr:colOff>
          <xdr:row>5</xdr:row>
          <xdr:rowOff>123825</xdr:rowOff>
        </xdr:to>
        <xdr:sp macro="" textlink="">
          <xdr:nvSpPr>
            <xdr:cNvPr id="170289" name="cmd_Ayuda_CCB" hidden="1">
              <a:extLst>
                <a:ext uri="{63B3BB69-23CF-44E3-9099-C40C66FF867C}">
                  <a14:compatExt spid="_x0000_s1702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AYUDA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0</xdr:rowOff>
        </xdr:from>
        <xdr:to>
          <xdr:col>0</xdr:col>
          <xdr:colOff>1000125</xdr:colOff>
          <xdr:row>2</xdr:row>
          <xdr:rowOff>152400</xdr:rowOff>
        </xdr:to>
        <xdr:sp macro="" textlink="">
          <xdr:nvSpPr>
            <xdr:cNvPr id="170298" name="cmd_Cambia_Usuario" hidden="1">
              <a:extLst>
                <a:ext uri="{63B3BB69-23CF-44E3-9099-C40C66FF867C}">
                  <a14:compatExt spid="_x0000_s1702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Cambia usuario</a:t>
              </a:r>
            </a:p>
          </xdr:txBody>
        </xdr:sp>
        <xdr:clientData fPrintsWithSheet="0"/>
      </xdr:twoCellAnchor>
    </mc:Choice>
    <mc:Fallback/>
  </mc:AlternateContent>
  <xdr:twoCellAnchor editAs="absolute">
    <xdr:from>
      <xdr:col>0</xdr:col>
      <xdr:colOff>1302543</xdr:colOff>
      <xdr:row>2</xdr:row>
      <xdr:rowOff>26194</xdr:rowOff>
    </xdr:from>
    <xdr:to>
      <xdr:col>1</xdr:col>
      <xdr:colOff>636262</xdr:colOff>
      <xdr:row>3</xdr:row>
      <xdr:rowOff>51694</xdr:rowOff>
    </xdr:to>
    <xdr:sp macro="[0]!Abre_Formulario_Refrescado_Global" textlink="">
      <xdr:nvSpPr>
        <xdr:cNvPr id="32" name="rect_Refrescar"/>
        <xdr:cNvSpPr/>
      </xdr:nvSpPr>
      <xdr:spPr>
        <a:xfrm>
          <a:off x="1302543" y="407194"/>
          <a:ext cx="1584000" cy="216000"/>
        </a:xfrm>
        <a:prstGeom prst="rect">
          <a:avLst/>
        </a:prstGeom>
        <a:solidFill>
          <a:schemeClr val="accent5">
            <a:lumMod val="75000"/>
          </a:schemeClr>
        </a:solidFill>
        <a:ln>
          <a:solidFill>
            <a:schemeClr val="tx2">
              <a:lumMod val="20000"/>
              <a:lumOff val="80000"/>
            </a:schemeClr>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1800" b="1" cap="none" spc="150">
              <a:ln w="11430"/>
              <a:solidFill>
                <a:srgbClr val="ECF1F8"/>
              </a:solidFill>
              <a:effectLst>
                <a:outerShdw blurRad="25400" algn="tl" rotWithShape="0">
                  <a:srgbClr val="000000">
                    <a:alpha val="43000"/>
                  </a:srgbClr>
                </a:outerShdw>
              </a:effectLst>
            </a:rPr>
            <a:t>REFRESCAR</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xdr:colOff>
      <xdr:row>0</xdr:row>
      <xdr:rowOff>9526</xdr:rowOff>
    </xdr:from>
    <xdr:to>
      <xdr:col>9</xdr:col>
      <xdr:colOff>76201</xdr:colOff>
      <xdr:row>8</xdr:row>
      <xdr:rowOff>85726</xdr:rowOff>
    </xdr:to>
    <xdr:sp macro="" textlink="">
      <xdr:nvSpPr>
        <xdr:cNvPr id="2" name="rect_Titulo"/>
        <xdr:cNvSpPr/>
      </xdr:nvSpPr>
      <xdr:spPr>
        <a:xfrm>
          <a:off x="1" y="9526"/>
          <a:ext cx="6934200" cy="1600200"/>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3600" b="1" cap="none" spc="150">
              <a:ln w="11430"/>
              <a:solidFill>
                <a:srgbClr val="F8F8F8"/>
              </a:solidFill>
              <a:effectLst>
                <a:outerShdw blurRad="25400" algn="tl" rotWithShape="0">
                  <a:srgbClr val="000000">
                    <a:alpha val="43000"/>
                  </a:srgbClr>
                </a:outerShdw>
              </a:effectLst>
            </a:rPr>
            <a:t>RAMCA</a:t>
          </a:r>
          <a:r>
            <a:rPr lang="en-US" sz="3600" b="1" cap="none" spc="150" baseline="0">
              <a:ln w="11430"/>
              <a:solidFill>
                <a:srgbClr val="F8F8F8"/>
              </a:solidFill>
              <a:effectLst>
                <a:outerShdw blurRad="25400" algn="tl" rotWithShape="0">
                  <a:srgbClr val="000000">
                    <a:alpha val="43000"/>
                  </a:srgbClr>
                </a:outerShdw>
              </a:effectLst>
            </a:rPr>
            <a:t>S</a:t>
          </a:r>
          <a:endParaRPr lang="en-US" sz="2800" b="1" cap="none" spc="150" baseline="0">
            <a:ln w="11430"/>
            <a:solidFill>
              <a:srgbClr val="F8F8F8"/>
            </a:solidFill>
            <a:effectLst>
              <a:outerShdw blurRad="25400" algn="tl" rotWithShape="0">
                <a:srgbClr val="000000">
                  <a:alpha val="43000"/>
                </a:srgbClr>
              </a:outerShdw>
            </a:effectLst>
          </a:endParaRPr>
        </a:p>
        <a:p>
          <a:pPr algn="ctr"/>
          <a:endParaRPr lang="en-US" sz="1800" b="1" cap="none" spc="150" baseline="0">
            <a:ln w="11430"/>
            <a:solidFill>
              <a:srgbClr val="F8F8F8"/>
            </a:solidFill>
            <a:effectLst>
              <a:outerShdw blurRad="25400" algn="tl" rotWithShape="0">
                <a:srgbClr val="000000">
                  <a:alpha val="43000"/>
                </a:srgbClr>
              </a:outerShdw>
            </a:effectLst>
          </a:endParaRPr>
        </a:p>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4</xdr:row>
          <xdr:rowOff>85725</xdr:rowOff>
        </xdr:from>
        <xdr:to>
          <xdr:col>2</xdr:col>
          <xdr:colOff>495300</xdr:colOff>
          <xdr:row>7</xdr:row>
          <xdr:rowOff>38100</xdr:rowOff>
        </xdr:to>
        <xdr:sp macro="" textlink="">
          <xdr:nvSpPr>
            <xdr:cNvPr id="120834" name="btnSalir" hidden="1">
              <a:extLst>
                <a:ext uri="{63B3BB69-23CF-44E3-9099-C40C66FF867C}">
                  <a14:compatExt spid="_x0000_s1208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Cerrar CCB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47625</xdr:rowOff>
        </xdr:from>
        <xdr:to>
          <xdr:col>2</xdr:col>
          <xdr:colOff>495300</xdr:colOff>
          <xdr:row>4</xdr:row>
          <xdr:rowOff>0</xdr:rowOff>
        </xdr:to>
        <xdr:sp macro="" textlink="">
          <xdr:nvSpPr>
            <xdr:cNvPr id="120835" name="btnSalir" hidden="1">
              <a:extLst>
                <a:ext uri="{63B3BB69-23CF-44E3-9099-C40C66FF867C}">
                  <a14:compatExt spid="_x0000_s1208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Reintentar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527844</xdr:colOff>
          <xdr:row>21</xdr:row>
          <xdr:rowOff>130174</xdr:rowOff>
        </xdr:to>
        <xdr:pic>
          <xdr:nvPicPr>
            <xdr:cNvPr id="2" name="imgAyuda"/>
            <xdr:cNvPicPr>
              <a:picLocks noChangeAspect="1" noChangeArrowheads="1"/>
              <a:extLst>
                <a:ext uri="{84589F7E-364E-4C9E-8A38-B11213B215E9}">
                  <a14:cameraTool cellRange="CENTROCONTROL!$A$1:$I$13" spid="_x0000_s198723"/>
                </a:ext>
              </a:extLst>
            </xdr:cNvPicPr>
          </xdr:nvPicPr>
          <xdr:blipFill>
            <a:blip xmlns:r="http://schemas.openxmlformats.org/officeDocument/2006/relationships" r:embed="rId1"/>
            <a:srcRect/>
            <a:stretch>
              <a:fillRect/>
            </a:stretch>
          </xdr:blipFill>
          <xdr:spPr bwMode="auto">
            <a:xfrm>
              <a:off x="0" y="388143"/>
              <a:ext cx="8909844" cy="39092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447675</xdr:colOff>
      <xdr:row>5</xdr:row>
      <xdr:rowOff>30958</xdr:rowOff>
    </xdr:from>
    <xdr:to>
      <xdr:col>3</xdr:col>
      <xdr:colOff>657225</xdr:colOff>
      <xdr:row>6</xdr:row>
      <xdr:rowOff>59533</xdr:rowOff>
    </xdr:to>
    <xdr:sp macro="" textlink="">
      <xdr:nvSpPr>
        <xdr:cNvPr id="8" name="Llamada con línea 1 (sin borde) 7"/>
        <xdr:cNvSpPr/>
      </xdr:nvSpPr>
      <xdr:spPr>
        <a:xfrm>
          <a:off x="2733675" y="11501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445296</xdr:colOff>
      <xdr:row>7</xdr:row>
      <xdr:rowOff>16671</xdr:rowOff>
    </xdr:from>
    <xdr:to>
      <xdr:col>4</xdr:col>
      <xdr:colOff>654846</xdr:colOff>
      <xdr:row>8</xdr:row>
      <xdr:rowOff>45246</xdr:rowOff>
    </xdr:to>
    <xdr:sp macro="" textlink="">
      <xdr:nvSpPr>
        <xdr:cNvPr id="9" name="Llamada con línea 1 (sin borde) 8"/>
        <xdr:cNvSpPr/>
      </xdr:nvSpPr>
      <xdr:spPr>
        <a:xfrm>
          <a:off x="3493296" y="1516859"/>
          <a:ext cx="209550" cy="219075"/>
        </a:xfrm>
        <a:prstGeom prst="callout1">
          <a:avLst>
            <a:gd name="adj1" fmla="val 49184"/>
            <a:gd name="adj2" fmla="val 14393"/>
            <a:gd name="adj3" fmla="val -34240"/>
            <a:gd name="adj4" fmla="val -74698"/>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347664</xdr:colOff>
      <xdr:row>7</xdr:row>
      <xdr:rowOff>97633</xdr:rowOff>
    </xdr:from>
    <xdr:to>
      <xdr:col>5</xdr:col>
      <xdr:colOff>557214</xdr:colOff>
      <xdr:row>8</xdr:row>
      <xdr:rowOff>126208</xdr:rowOff>
    </xdr:to>
    <xdr:sp macro="" textlink="">
      <xdr:nvSpPr>
        <xdr:cNvPr id="10" name="Llamada con línea 1 (sin borde) 9"/>
        <xdr:cNvSpPr/>
      </xdr:nvSpPr>
      <xdr:spPr>
        <a:xfrm>
          <a:off x="4157664" y="1597821"/>
          <a:ext cx="209550" cy="219075"/>
        </a:xfrm>
        <a:prstGeom prst="callout1">
          <a:avLst>
            <a:gd name="adj1" fmla="val 49184"/>
            <a:gd name="adj2" fmla="val 14393"/>
            <a:gd name="adj3" fmla="val -94023"/>
            <a:gd name="adj4" fmla="val -11447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5</xdr:col>
      <xdr:colOff>678657</xdr:colOff>
      <xdr:row>5</xdr:row>
      <xdr:rowOff>95252</xdr:rowOff>
    </xdr:from>
    <xdr:to>
      <xdr:col>6</xdr:col>
      <xdr:colOff>126207</xdr:colOff>
      <xdr:row>6</xdr:row>
      <xdr:rowOff>123827</xdr:rowOff>
    </xdr:to>
    <xdr:sp macro="" textlink="">
      <xdr:nvSpPr>
        <xdr:cNvPr id="11" name="Llamada con línea 1 (sin borde) 10"/>
        <xdr:cNvSpPr/>
      </xdr:nvSpPr>
      <xdr:spPr>
        <a:xfrm>
          <a:off x="4488657" y="1214440"/>
          <a:ext cx="209550" cy="219075"/>
        </a:xfrm>
        <a:prstGeom prst="callout1">
          <a:avLst>
            <a:gd name="adj1" fmla="val 60054"/>
            <a:gd name="adj2" fmla="val 110984"/>
            <a:gd name="adj3" fmla="val 74455"/>
            <a:gd name="adj4" fmla="val 21507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64292</xdr:colOff>
      <xdr:row>6</xdr:row>
      <xdr:rowOff>171452</xdr:rowOff>
    </xdr:from>
    <xdr:to>
      <xdr:col>2</xdr:col>
      <xdr:colOff>404811</xdr:colOff>
      <xdr:row>8</xdr:row>
      <xdr:rowOff>-1</xdr:rowOff>
    </xdr:to>
    <xdr:sp macro="" textlink="">
      <xdr:nvSpPr>
        <xdr:cNvPr id="14" name="Llamada con línea 1 (sin borde) 13"/>
        <xdr:cNvSpPr/>
      </xdr:nvSpPr>
      <xdr:spPr>
        <a:xfrm>
          <a:off x="1588292" y="1481140"/>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4</xdr:col>
      <xdr:colOff>409575</xdr:colOff>
      <xdr:row>8</xdr:row>
      <xdr:rowOff>40484</xdr:rowOff>
    </xdr:from>
    <xdr:to>
      <xdr:col>4</xdr:col>
      <xdr:colOff>750094</xdr:colOff>
      <xdr:row>9</xdr:row>
      <xdr:rowOff>59531</xdr:rowOff>
    </xdr:to>
    <xdr:sp macro="" textlink="">
      <xdr:nvSpPr>
        <xdr:cNvPr id="16" name="Llamada con línea 1 (sin borde) 15"/>
        <xdr:cNvSpPr/>
      </xdr:nvSpPr>
      <xdr:spPr>
        <a:xfrm>
          <a:off x="3457575" y="1731172"/>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285747</xdr:colOff>
      <xdr:row>18</xdr:row>
      <xdr:rowOff>130966</xdr:rowOff>
    </xdr:from>
    <xdr:to>
      <xdr:col>10</xdr:col>
      <xdr:colOff>626266</xdr:colOff>
      <xdr:row>19</xdr:row>
      <xdr:rowOff>150013</xdr:rowOff>
    </xdr:to>
    <xdr:sp macro="" textlink="">
      <xdr:nvSpPr>
        <xdr:cNvPr id="33" name="Llamada con línea 1 (sin borde) 32"/>
        <xdr:cNvSpPr/>
      </xdr:nvSpPr>
      <xdr:spPr>
        <a:xfrm>
          <a:off x="7905747" y="372665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752474</xdr:colOff>
      <xdr:row>6</xdr:row>
      <xdr:rowOff>157165</xdr:rowOff>
    </xdr:from>
    <xdr:to>
      <xdr:col>3</xdr:col>
      <xdr:colOff>428625</xdr:colOff>
      <xdr:row>8</xdr:row>
      <xdr:rowOff>23812</xdr:rowOff>
    </xdr:to>
    <xdr:sp macro="" textlink="">
      <xdr:nvSpPr>
        <xdr:cNvPr id="35" name="Llamada con línea 1 (sin borde) 34"/>
        <xdr:cNvSpPr/>
      </xdr:nvSpPr>
      <xdr:spPr>
        <a:xfrm>
          <a:off x="2276474" y="1466853"/>
          <a:ext cx="438151" cy="247647"/>
        </a:xfrm>
        <a:prstGeom prst="callout1">
          <a:avLst>
            <a:gd name="adj1" fmla="val 49184"/>
            <a:gd name="adj2" fmla="val 14393"/>
            <a:gd name="adj3" fmla="val 9125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twoCellAnchor>
    <xdr:from>
      <xdr:col>2</xdr:col>
      <xdr:colOff>523874</xdr:colOff>
      <xdr:row>10</xdr:row>
      <xdr:rowOff>23815</xdr:rowOff>
    </xdr:from>
    <xdr:to>
      <xdr:col>3</xdr:col>
      <xdr:colOff>200025</xdr:colOff>
      <xdr:row>11</xdr:row>
      <xdr:rowOff>80962</xdr:rowOff>
    </xdr:to>
    <xdr:sp macro="" textlink="">
      <xdr:nvSpPr>
        <xdr:cNvPr id="36" name="Llamada con línea 1 (sin borde) 35"/>
        <xdr:cNvSpPr/>
      </xdr:nvSpPr>
      <xdr:spPr>
        <a:xfrm>
          <a:off x="2047874" y="2095503"/>
          <a:ext cx="438151" cy="247647"/>
        </a:xfrm>
        <a:prstGeom prst="callout1">
          <a:avLst>
            <a:gd name="adj1" fmla="val 49184"/>
            <a:gd name="adj2" fmla="val 14393"/>
            <a:gd name="adj3" fmla="val -1932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10.2</a:t>
          </a:r>
        </a:p>
      </xdr:txBody>
    </xdr:sp>
    <xdr:clientData/>
  </xdr:twoCellAnchor>
  <xdr:twoCellAnchor>
    <xdr:from>
      <xdr:col>9</xdr:col>
      <xdr:colOff>547684</xdr:colOff>
      <xdr:row>3</xdr:row>
      <xdr:rowOff>47624</xdr:rowOff>
    </xdr:from>
    <xdr:to>
      <xdr:col>10</xdr:col>
      <xdr:colOff>126203</xdr:colOff>
      <xdr:row>4</xdr:row>
      <xdr:rowOff>66671</xdr:rowOff>
    </xdr:to>
    <xdr:sp macro="" textlink="">
      <xdr:nvSpPr>
        <xdr:cNvPr id="37" name="Llamada con línea 1 (sin borde) 36"/>
        <xdr:cNvSpPr/>
      </xdr:nvSpPr>
      <xdr:spPr>
        <a:xfrm>
          <a:off x="7405684" y="785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29</a:t>
          </a:r>
        </a:p>
      </xdr:txBody>
    </xdr:sp>
    <xdr:clientData/>
  </xdr:twoCellAnchor>
  <mc:AlternateContent xmlns:mc="http://schemas.openxmlformats.org/markup-compatibility/2006">
    <mc:Choice xmlns:a14="http://schemas.microsoft.com/office/drawing/2010/main" Requires="a14">
      <xdr:twoCellAnchor editAs="absolute">
        <xdr:from>
          <xdr:col>1</xdr:col>
          <xdr:colOff>666750</xdr:colOff>
          <xdr:row>0</xdr:row>
          <xdr:rowOff>47625</xdr:rowOff>
        </xdr:from>
        <xdr:to>
          <xdr:col>2</xdr:col>
          <xdr:colOff>609600</xdr:colOff>
          <xdr:row>0</xdr:row>
          <xdr:rowOff>342900</xdr:rowOff>
        </xdr:to>
        <xdr:sp macro="" textlink="">
          <xdr:nvSpPr>
            <xdr:cNvPr id="146222" name="cmd_Centrocontrol_de_ayuda" hidden="1">
              <a:extLst>
                <a:ext uri="{63B3BB69-23CF-44E3-9099-C40C66FF867C}">
                  <a14:compatExt spid="_x0000_s1462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Volver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171450</xdr:colOff>
          <xdr:row>0</xdr:row>
          <xdr:rowOff>371475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9525</xdr:rowOff>
        </xdr:from>
        <xdr:to>
          <xdr:col>0</xdr:col>
          <xdr:colOff>733425</xdr:colOff>
          <xdr:row>0</xdr:row>
          <xdr:rowOff>257175</xdr:rowOff>
        </xdr:to>
        <xdr:sp macro="" textlink="">
          <xdr:nvSpPr>
            <xdr:cNvPr id="12290" name="cmd_Irdea_Alertas_CCB"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Volver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21" name="tbl_HojasCB" displayName="tbl_HojasCB" ref="A15:T18" totalsRowCount="1" headerRowDxfId="126" dataDxfId="125" totalsRowDxfId="124">
  <autoFilter ref="A15:T17"/>
  <tableColumns count="20">
    <tableColumn id="1" name="HOJAS" totalsRowFunction="custom" dataDxfId="123" totalsRowDxfId="122">
      <totalsRowFormula>"Total Hojas:  "&amp;SUBTOTAL(103,tbl_HojasCB[HOJAS])</totalsRowFormula>
    </tableColumn>
    <tableColumn id="20" name="ALERTAS" totalsRowFunction="sum" dataDxfId="121" totalsRowDxfId="120">
      <calculatedColumnFormula>IFERROR(COUNTA(INDIRECT("Alertas["&amp;tbl_HojasCB[[#This Row],[HOJAS]]&amp;"]")),0)</calculatedColumnFormula>
    </tableColumn>
    <tableColumn id="4" name="COSTO BUFFER" totalsRowFunction="sum" dataDxfId="119" totalsRowDxfId="118">
      <calculatedColumnFormula>IFERROR(INDEX(tbl_hojascb_estado_hoy[costo_buffer],tbl_HojasCB[[#This Row],[Coincidir]]),"")</calculatedColumnFormula>
    </tableColumn>
    <tableColumn id="5" name="COSTO FÍSICO" totalsRowFunction="sum" dataDxfId="117" totalsRowDxfId="116">
      <calculatedColumnFormula>IFERROR(INDEX(tbl_hojascb_estado_hoy[costo_fisico],tbl_HojasCB[[#This Row],[Coincidir]]),"")</calculatedColumnFormula>
    </tableColumn>
    <tableColumn id="6" name="COSTO TRÁNSITO" totalsRowFunction="sum" dataDxfId="115" totalsRowDxfId="114">
      <calculatedColumnFormula>IFERROR(INDEX(tbl_hojascb_estado_hoy[costo_transito],tbl_HojasCB[[#This Row],[Coincidir]]),"")</calculatedColumnFormula>
    </tableColumn>
    <tableColumn id="12" name="COSTO COMPROM" totalsRowFunction="sum" dataDxfId="113" totalsRowDxfId="112">
      <calculatedColumnFormula>IFERROR(INDEX(tbl_hojascb_estado_hoy[costo_comprometido],tbl_HojasCB[[#This Row],[Coincidir]]),"")</calculatedColumnFormula>
    </tableColumn>
    <tableColumn id="13" name="COSTO BACKORDER" totalsRowFunction="sum" dataDxfId="111" totalsRowDxfId="110">
      <calculatedColumnFormula>IFERROR(INDEX(tbl_hojascb_estado_hoy[costo_backorder],tbl_HojasCB[[#This Row],[Coincidir]]),"")</calculatedColumnFormula>
    </tableColumn>
    <tableColumn id="7" name="COSTO PROYECTADO" totalsRowFunction="sum" dataDxfId="109" totalsRowDxfId="108">
      <calculatedColumnFormula>IFERROR(INDEX(tbl_hojascb_estado_hoy[costo_proyectado],tbl_HojasCB[[#This Row],[Coincidir]]),"")</calculatedColumnFormula>
    </tableColumn>
    <tableColumn id="9" name="COSTO TOTAL" totalsRowFunction="sum" dataDxfId="107" totalsRowDxfId="106">
      <calculatedColumnFormula>IFERROR(INDEX(tbl_hojascb_estado_hoy[costo_total],tbl_HojasCB[[#This Row],[Coincidir]]),"")</calculatedColumnFormula>
    </tableColumn>
    <tableColumn id="2" name="ÍTEMS TOTALES" totalsRowFunction="sum" dataDxfId="105" totalsRowDxfId="104">
      <calculatedColumnFormula>IFERROR(INDEX(tbl_hojascb_estado_hoy[sku_totales],tbl_HojasCB[[#This Row],[Coincidir]]),"")</calculatedColumnFormula>
    </tableColumn>
    <tableColumn id="3" name="ÍTEMS CON BUFFER" totalsRowFunction="sum" dataDxfId="103" totalsRowDxfId="102">
      <calculatedColumnFormula>IFERROR(INDEX(tbl_hojascb_estado_hoy[sku_buffer],tbl_HojasCB[[#This Row],[Coincidir]]),"")</calculatedColumnFormula>
    </tableColumn>
    <tableColumn id="11" name="DÍAS PERÍODO" totalsRowFunction="sum" dataDxfId="101" totalsRowDxfId="100">
      <calculatedColumnFormula>IFERROR(INDEX(tbl_hojascb_estado_hoy[dias_periodo],tbl_HojasCB[[#This Row],[Coincidir]]),"")</calculatedColumnFormula>
    </tableColumn>
    <tableColumn id="10" name="DUPLICADOS" totalsRowFunction="sum" dataDxfId="99" totalsRowDxfId="98">
      <calculatedColumnFormula>IFERROR(INDEX(tbl_hojascb_estado_hoy[duplicados],tbl_HojasCB[[#This Row],[Coincidir]]),"")</calculatedColumnFormula>
    </tableColumn>
    <tableColumn id="8" name="REFRESCADA" dataDxfId="97" totalsRowDxfId="96">
      <calculatedColumnFormula>IFERROR(INDEX(tbl_hojascb_estado_hoy[refrescada],tbl_HojasCB[[#This Row],[Coincidir]]),"")&amp;" - "&amp;IFERROR(INDEX(tbl_hojascb_estado_hoy[base_datos],tbl_HojasCB[[#This Row],[Coincidir]]),"")</calculatedColumnFormula>
    </tableColumn>
    <tableColumn id="15" name="REFRESCADO_INI" dataDxfId="95" totalsRowDxfId="94">
      <calculatedColumnFormula>IFERROR(INDEX(tbl_hojascb_estado_hoy[inicio_refrescado],tbl_HojasCB[[#This Row],[Coincidir]]),"")</calculatedColumnFormula>
    </tableColumn>
    <tableColumn id="16" name="REFRESCADO_FIN" dataDxfId="93" totalsRowDxfId="92">
      <calculatedColumnFormula>IFERROR(INDEX(tbl_hojascb_estado_hoy[fin_refrescado],tbl_HojasCB[[#This Row],[Coincidir]]),"")</calculatedColumnFormula>
    </tableColumn>
    <tableColumn id="17" name="DURACIÓN" totalsRowFunction="sum" dataDxfId="91" totalsRowDxfId="90">
      <calculatedColumnFormula>IFERROR(tbl_HojasCB[[#This Row],[REFRESCADO_FIN]]-tbl_HojasCB[[#This Row],[REFRESCADO_INI]],"")</calculatedColumnFormula>
    </tableColumn>
    <tableColumn id="14" name="GUARDADO" dataDxfId="89" totalsRowDxfId="88">
      <calculatedColumnFormula>IFERROR(INDEX(tbl_hojascb_estado_hoy[guardado],tbl_HojasCB[[#This Row],[Coincidir]]),"")</calculatedColumnFormula>
    </tableColumn>
    <tableColumn id="18" name="RAZÓN" dataDxfId="87" totalsRowDxfId="86">
      <calculatedColumnFormula>IF(IFERROR(INDEX(tbl_hojascb_estado_hoy[razon],tbl_HojasCB[[#This Row],[Coincidir]]),"")=0,"",IFERROR(INDEX(tbl_hojascb_estado_hoy[razon],tbl_HojasCB[[#This Row],[Coincidir]]),""))</calculatedColumnFormula>
    </tableColumn>
    <tableColumn id="19" name="Coincidir" dataDxfId="85" totalsRowDxfId="84">
      <calculatedColumnFormula>MATCH(EMP&amp;tbl_HojasCB[[#This Row],[HOJAS]],tbl_hojascb_estado_hoy[empresa_hoja],0)</calculatedColumnFormula>
    </tableColumn>
  </tableColumns>
  <tableStyleInfo name="TableStyleLight1" showFirstColumn="0" showLastColumn="0" showRowStripes="1" showColumnStripes="0"/>
</table>
</file>

<file path=xl/tables/table2.xml><?xml version="1.0" encoding="utf-8"?>
<table xmlns="http://schemas.openxmlformats.org/spreadsheetml/2006/main" id="22" name="tbl_hojascb_estado_hoy" displayName="tbl_hojascb_estado_hoy" ref="A1:T6" totalsRowShown="0">
  <autoFilter ref="A1:T6"/>
  <tableColumns count="20">
    <tableColumn id="1" name="empresa"/>
    <tableColumn id="2" name="hoja_cb"/>
    <tableColumn id="3" name="refrescada"/>
    <tableColumn id="4" name="base_datos"/>
    <tableColumn id="5" name="inicio_refrescado"/>
    <tableColumn id="6" name="fin_refrescado"/>
    <tableColumn id="7" name="guardado"/>
    <tableColumn id="8" name="razon"/>
    <tableColumn id="9" name="dias_periodo"/>
    <tableColumn id="10" name="duplicados"/>
    <tableColumn id="11" name="sku_totales"/>
    <tableColumn id="12" name="sku_buffer"/>
    <tableColumn id="13" name="costo_buffer"/>
    <tableColumn id="14" name="costo_fisico"/>
    <tableColumn id="15" name="costo_transito"/>
    <tableColumn id="16" name="costo_comprometido"/>
    <tableColumn id="17" name="costo_backorder"/>
    <tableColumn id="18" name="costo_proyectado"/>
    <tableColumn id="19" name="costo_total"/>
    <tableColumn id="20" name="empresa_hoja" dataDxfId="83">
      <calculatedColumnFormula>tbl_hojascb_estado_hoy[[#This Row],[empresa]]&amp;tbl_hojascb_estado_hoy[[#This Row],[hoja_cb]]</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19" name="Indicaciones" displayName="Indicaciones" ref="A1:C42" totalsRowShown="0">
  <autoFilter ref="A1:C42"/>
  <tableColumns count="3">
    <tableColumn id="3" name="ID" dataDxfId="82">
      <calculatedColumnFormula>ROW()-ROW(Indicaciones[[#Headers],[ID]])</calculatedColumnFormula>
    </tableColumn>
    <tableColumn id="1" name="Tipo"/>
    <tableColumn id="2" name="Indicación"/>
  </tableColumns>
  <tableStyleInfo name="TableStyleMedium9" showFirstColumn="0" showLastColumn="0" showRowStripes="1" showColumnStripes="0"/>
</table>
</file>

<file path=xl/tables/table4.xml><?xml version="1.0" encoding="utf-8"?>
<table xmlns="http://schemas.openxmlformats.org/spreadsheetml/2006/main" id="18" name="tbl_Fechas_Refrescado" displayName="tbl_Fechas_Refrescado" ref="B1:Q5" totalsRowCount="1" headerRowDxfId="81">
  <autoFilter ref="B1:Q4"/>
  <sortState ref="B2:Q4">
    <sortCondition descending="1" ref="H1:H4"/>
  </sortState>
  <tableColumns count="16">
    <tableColumn id="1" name="EMPRESA" totalsRowLabel="Total"/>
    <tableColumn id="2" name="HOJA CB" totalsRowFunction="count" totalsRowDxfId="80"/>
    <tableColumn id="3" name="REFRESCADO" dataDxfId="79" totalsRowDxfId="78"/>
    <tableColumn id="14" name="TIPO" dataDxfId="77" totalsRowDxfId="76"/>
    <tableColumn id="16" name="BASE DATOS" dataDxfId="75" totalsRowDxfId="74"/>
    <tableColumn id="4" name="INICIO" totalsRowFunction="min" dataDxfId="73" totalsRowDxfId="72"/>
    <tableColumn id="7" name="FIN" totalsRowFunction="max" dataDxfId="71" totalsRowDxfId="70"/>
    <tableColumn id="5" name="DURACIÓN" totalsRowFunction="sum" dataDxfId="69" totalsRowDxfId="68">
      <calculatedColumnFormula>tbl_Fechas_Refrescado[[#This Row],[FIN]]-tbl_Fechas_Refrescado[[#This Row],[INICIO]]</calculatedColumnFormula>
    </tableColumn>
    <tableColumn id="15" name="RAZÓN" dataDxfId="67" totalsRowDxfId="66"/>
    <tableColumn id="6" name="DIAS PERIODO" totalsRowFunction="max" dataDxfId="65" totalsRowDxfId="64"/>
    <tableColumn id="13" name="DUPLICADOS" totalsRowFunction="sum" dataDxfId="63" totalsRowDxfId="62"/>
    <tableColumn id="8" name="SKUs Totales" totalsRowFunction="sum" dataDxfId="61" totalsRowDxfId="60"/>
    <tableColumn id="9" name="SKUs Buffer" totalsRowFunction="sum" dataDxfId="59" totalsRowDxfId="58"/>
    <tableColumn id="10" name="COSTO BUFFER" totalsRowFunction="sum" dataDxfId="57" totalsRowDxfId="56"/>
    <tableColumn id="11" name="COSTO FISICO" totalsRowFunction="sum" dataDxfId="55" totalsRowDxfId="54"/>
    <tableColumn id="12" name="COSTO TRANSITO" totalsRowFunction="sum" dataDxfId="53" totalsRowDxfId="52"/>
  </tableColumns>
  <tableStyleInfo name="TableStyleDark10" showFirstColumn="0" showLastColumn="0" showRowStripes="1" showColumnStripes="0"/>
</table>
</file>

<file path=xl/tables/table5.xml><?xml version="1.0" encoding="utf-8"?>
<table xmlns="http://schemas.openxmlformats.org/spreadsheetml/2006/main" id="13" name="Tabla_EMPRESA" displayName="Tabla_EMPRESA" ref="A1:A3" tableType="queryTable" totalsRowShown="0">
  <autoFilter ref="A1:A3"/>
  <tableColumns count="1">
    <tableColumn id="1" uniqueName="1" name="NombreEmpresa" queryTableFieldId="1"/>
  </tableColumns>
  <tableStyleInfo name="TableStyleDark9" showFirstColumn="0" showLastColumn="0" showRowStripes="1" showColumnStripes="0"/>
</table>
</file>

<file path=xl/tables/table6.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7.xml><?xml version="1.0" encoding="utf-8"?>
<table xmlns="http://schemas.openxmlformats.org/spreadsheetml/2006/main" id="1" name="ARCHIVOSCB" displayName="ARCHIVOSCB" ref="A1:F20" totalsRowShown="0">
  <autoFilter ref="A1:F20"/>
  <tableColumns count="6">
    <tableColumn id="1" name="CODIGO" dataDxfId="51"/>
    <tableColumn id="5" name="EMPRESA"/>
    <tableColumn id="2" name="DIRECTORIO"/>
    <tableColumn id="3" name="ARCHIVO"/>
    <tableColumn id="4" name="PATH" dataDxfId="50">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8.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49"/>
    <tableColumn id="5" name="EMPRESA"/>
    <tableColumn id="6" name="BODEGA"/>
    <tableColumn id="4" name="PATH" dataDxfId="48"/>
    <tableColumn id="2" name="ARCHIVO" dataDxfId="47">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9.xml><?xml version="1.0" encoding="utf-8"?>
<table xmlns="http://schemas.openxmlformats.org/spreadsheetml/2006/main" id="12" name="Tabla_Perfiles" displayName="Tabla_Perfiles" ref="B1:F2" insertRow="1" totalsRowShown="0" headerRowDxfId="46" dataDxfId="45">
  <autoFilter ref="B1:F2"/>
  <tableColumns count="5">
    <tableColumn id="5" name="PERFIL" dataDxfId="44"/>
    <tableColumn id="1" name="FREC REP" dataDxfId="43"/>
    <tableColumn id="2" name="TIEMP SUMINIS" dataDxfId="42"/>
    <tableColumn id="3" name="HORIZONTE" dataDxfId="41"/>
    <tableColumn id="4" name="T NIV SER (DIAS)" dataDxfId="40"/>
  </tableColumns>
  <tableStyleInfo name="TableStyleMedium9" showFirstColumn="0" showLastColumn="0" showRowStripes="1" showColumnStripes="0"/>
</table>
</file>

<file path=xl/tables/table10.xml><?xml version="1.0" encoding="utf-8"?>
<table xmlns="http://schemas.openxmlformats.org/spreadsheetml/2006/main" id="9" name="Tabla_Proveedores" displayName="Tabla_Proveedores" ref="A1:D81" totalsRowShown="0">
  <autoFilter ref="A1:D81"/>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11.xml><?xml version="1.0" encoding="utf-8"?>
<table xmlns="http://schemas.openxmlformats.org/spreadsheetml/2006/main" id="3" name="Tabla_DIAS_RESTANTES" displayName="Tabla_DIAS_RESTANTES" ref="A2:C6" totalsRowShown="0">
  <autoFilter ref="A2:C6"/>
  <sortState ref="A3:C6">
    <sortCondition ref="C2"/>
  </sortState>
  <tableColumns count="3">
    <tableColumn id="4" name="ARCHIVO"/>
    <tableColumn id="2" name="FIN PERÍODO" dataDxfId="39"/>
    <tableColumn id="3" name="RESTAN" dataDxfId="38">
      <calculatedColumnFormula>Tabla_DIAS_RESTANTES[[#This Row],[FIN PERÍODO]]-TODAY()</calculatedColumnFormula>
    </tableColumn>
  </tableColumns>
  <tableStyleInfo name="TableStyleMedium17" showFirstColumn="0" showLastColumn="0" showRowStripes="1" showColumnStripes="0"/>
</table>
</file>

<file path=xl/tables/table12.xml><?xml version="1.0" encoding="utf-8"?>
<table xmlns="http://schemas.openxmlformats.org/spreadsheetml/2006/main" id="5" name="Tabla_NUMERO_ITEMS" displayName="Tabla_NUMERO_ITEMS" ref="A2:D4" totalsRowCount="1" headerRowDxfId="37">
  <autoFilter ref="A2:D3"/>
  <tableColumns count="4">
    <tableColumn id="2" name="HOJA CB" totalsRowLabel="TOTALES" totalsRowDxfId="36"/>
    <tableColumn id="3" name="TODOS ITEMS" totalsRowFunction="sum" dataDxfId="35" totalsRowDxfId="34"/>
    <tableColumn id="4" name="ITEMS CON BUFFER" totalsRowFunction="sum" dataDxfId="33" totalsRowDxfId="32"/>
    <tableColumn id="1" name="% ITEMS CON BUFFER" totalsRowFunction="average" dataDxfId="31" totalsRowDxfId="30">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3.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4.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5.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29"/>
  </tableColumns>
  <tableStyleInfo name="TableStyleMedium9" showFirstColumn="0" showLastColumn="0" showRowStripes="1" showColumnStripes="0"/>
</table>
</file>

<file path=xl/tables/table16.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7.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28"/>
    <tableColumn id="7" uniqueName="7" name="PATH" queryTableFieldId="7" dataDxfId="27"/>
    <tableColumn id="5" uniqueName="5" name="COMPLETO" queryTableFieldId="5" dataDxfId="26">
      <calculatedColumnFormula>Tabla_Path_Codigo_Nueva[PATH]&amp;"\"&amp;Tabla_Path_Codigo_Nueva[ARCHIVO]</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id="20" name="tbl_Hojas_Cb_Empresa" displayName="tbl_Hojas_Cb_Empresa" ref="P1:P4" totalsRowShown="0">
  <autoFilter ref="P1:P4"/>
  <tableColumns count="1">
    <tableColumn id="1" name="Hojas CB"/>
  </tableColumns>
  <tableStyleInfo name="TableStyleMedium9" showFirstColumn="0" showLastColumn="0" showRowStripes="1" showColumnStripes="0"/>
</table>
</file>

<file path=xl/tables/table19.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20.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21.xml><?xml version="1.0" encoding="utf-8"?>
<table xmlns="http://schemas.openxmlformats.org/spreadsheetml/2006/main" id="16" name="Alertas" displayName="Alertas" ref="A1:C8" totalsRowShown="0">
  <autoFilter ref="A1:C8"/>
  <tableColumns count="3">
    <tableColumn id="1" name="Accesorios.xlsm"/>
    <tableColumn id="3" name="Maquinas ECHO - SHINDAIWA.xlsm"/>
    <tableColumn id="4" name="Repuestos ECHO.xlsm"/>
  </tableColumns>
  <tableStyleInfo name="TableStyleMedium9" showFirstColumn="0" showLastColumn="0" showRowStripes="1" showColumnStripes="0"/>
</table>
</file>

<file path=xl/tables/table22.xml><?xml version="1.0" encoding="utf-8"?>
<table xmlns="http://schemas.openxmlformats.org/spreadsheetml/2006/main" id="17" name="HojasCB" displayName="HojasCB" ref="A1:C3" totalsRowShown="0">
  <autoFilter ref="A1:C3"/>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trlProp" Target="../ctrlProps/ctrlProp1.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trlProp" Target="../ctrlProps/ctrlProp3.xml"/><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ctrlProp" Target="../ctrlProps/ctrlProp2.xml"/><Relationship Id="rId30"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table" Target="../tables/table4.xml"/><Relationship Id="rId5" Type="http://schemas.openxmlformats.org/officeDocument/2006/relationships/image" Target="../media/image16.emf"/><Relationship Id="rId4" Type="http://schemas.openxmlformats.org/officeDocument/2006/relationships/control" Target="../activeX/activeX1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vmlDrawing" Target="../drawings/vmlDrawing5.vml"/><Relationship Id="rId7" Type="http://schemas.openxmlformats.org/officeDocument/2006/relationships/image" Target="../media/image18.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4.xml"/><Relationship Id="rId5" Type="http://schemas.openxmlformats.org/officeDocument/2006/relationships/image" Target="../media/image17.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table" Target="../tables/table11.xml"/><Relationship Id="rId5" Type="http://schemas.openxmlformats.org/officeDocument/2006/relationships/image" Target="../media/image19.emf"/><Relationship Id="rId4" Type="http://schemas.openxmlformats.org/officeDocument/2006/relationships/control" Target="../activeX/activeX15.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table" Target="../tables/table12.xml"/><Relationship Id="rId5" Type="http://schemas.openxmlformats.org/officeDocument/2006/relationships/image" Target="../media/image20.emf"/><Relationship Id="rId4" Type="http://schemas.openxmlformats.org/officeDocument/2006/relationships/control" Target="../activeX/activeX16.xml"/></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image" Target="../media/image22.emf"/><Relationship Id="rId5" Type="http://schemas.openxmlformats.org/officeDocument/2006/relationships/control" Target="../activeX/activeX18.xml"/><Relationship Id="rId4" Type="http://schemas.openxmlformats.org/officeDocument/2006/relationships/image" Target="../media/image21.emf"/></Relationships>
</file>

<file path=xl/worksheets/_rels/sheet19.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printerSettings" Target="../printerSettings/printerSettings10.bin"/><Relationship Id="rId4"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24.emf"/><Relationship Id="rId2" Type="http://schemas.openxmlformats.org/officeDocument/2006/relationships/drawing" Target="../drawings/drawing10.xml"/><Relationship Id="rId1" Type="http://schemas.openxmlformats.org/officeDocument/2006/relationships/printerSettings" Target="../printerSettings/printerSettings12.bin"/><Relationship Id="rId6" Type="http://schemas.openxmlformats.org/officeDocument/2006/relationships/control" Target="../activeX/activeX20.xml"/><Relationship Id="rId5" Type="http://schemas.openxmlformats.org/officeDocument/2006/relationships/image" Target="../media/image23.emf"/><Relationship Id="rId4" Type="http://schemas.openxmlformats.org/officeDocument/2006/relationships/control" Target="../activeX/activeX19.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4.bin"/><Relationship Id="rId5" Type="http://schemas.openxmlformats.org/officeDocument/2006/relationships/table" Target="../tables/table21.xml"/><Relationship Id="rId4" Type="http://schemas.openxmlformats.org/officeDocument/2006/relationships/ctrlProp" Target="../ctrlProps/ctrlProp7.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GC128"/>
  <sheetViews>
    <sheetView showGridLines="0" tabSelected="1" zoomScale="80" zoomScaleNormal="80" workbookViewId="0">
      <selection activeCell="B23" sqref="B23"/>
    </sheetView>
  </sheetViews>
  <sheetFormatPr baseColWidth="10" defaultColWidth="11.42578125" defaultRowHeight="15" x14ac:dyDescent="0.25"/>
  <cols>
    <col min="1" max="1" width="33.7109375" style="33" customWidth="1"/>
    <col min="2" max="2" width="9.7109375" style="33" customWidth="1"/>
    <col min="3" max="8" width="12.7109375" style="33" customWidth="1"/>
    <col min="9" max="9" width="12.42578125" style="33" customWidth="1"/>
    <col min="10" max="14" width="11.7109375" style="33" customWidth="1"/>
    <col min="15" max="16" width="13.7109375" style="33" customWidth="1"/>
    <col min="17" max="17" width="13.140625" style="33" customWidth="1"/>
    <col min="18" max="18" width="13.85546875" style="33" customWidth="1"/>
    <col min="19" max="19" width="29.85546875" style="33" customWidth="1"/>
    <col min="20" max="20" width="0" style="33" hidden="1" customWidth="1"/>
    <col min="21" max="26" width="11.42578125" style="33"/>
    <col min="27" max="32" width="12.7109375" style="33" customWidth="1"/>
    <col min="33" max="33" width="12.42578125" style="33" customWidth="1"/>
    <col min="34" max="38" width="11.7109375" style="33" customWidth="1"/>
    <col min="39" max="40" width="13.7109375" style="33" customWidth="1"/>
    <col min="41" max="41" width="13.140625" style="33" customWidth="1"/>
    <col min="42" max="42" width="13.85546875" style="33" customWidth="1"/>
    <col min="43" max="43" width="29.85546875" style="33" customWidth="1"/>
    <col min="44" max="44" width="0" style="33" hidden="1" customWidth="1"/>
    <col min="45" max="183" width="11.42578125" style="33"/>
    <col min="184" max="184" width="21.85546875" style="33" customWidth="1"/>
    <col min="185" max="16384" width="11.42578125" style="33"/>
  </cols>
  <sheetData>
    <row r="1" spans="1:20" ht="15" customHeight="1" x14ac:dyDescent="0.25">
      <c r="A1" s="30"/>
      <c r="B1" s="31"/>
      <c r="C1" s="31"/>
      <c r="D1" s="31"/>
      <c r="E1" s="31"/>
      <c r="F1" s="31"/>
      <c r="G1" s="32"/>
      <c r="H1" s="32"/>
      <c r="I1" s="32"/>
      <c r="J1" s="73">
        <v>43221</v>
      </c>
    </row>
    <row r="2" spans="1:20" ht="15" customHeight="1" x14ac:dyDescent="0.25">
      <c r="A2" s="32"/>
      <c r="B2" s="32"/>
      <c r="C2" s="32"/>
      <c r="D2" s="32"/>
      <c r="E2" s="32"/>
      <c r="F2" s="32"/>
      <c r="G2" s="32"/>
      <c r="H2" s="32"/>
      <c r="I2" s="32"/>
      <c r="J2" s="32"/>
      <c r="K2" s="32"/>
    </row>
    <row r="3" spans="1:20" ht="15" customHeight="1" x14ac:dyDescent="0.25">
      <c r="A3" s="32"/>
      <c r="C3" s="37"/>
      <c r="D3" s="37"/>
      <c r="E3" s="32"/>
      <c r="F3" s="32"/>
      <c r="G3" s="57" t="s">
        <v>60</v>
      </c>
      <c r="H3" s="58"/>
      <c r="I3" s="61" t="str">
        <f>IF(COUNTIF(tbl_HojasCB[REFRESCADA],"1 - 1")=COUNTA(tbl_HojasCB[HOJAS]),"Completo","Incompleto")</f>
        <v>Completo</v>
      </c>
      <c r="J3" s="32"/>
      <c r="K3" s="32"/>
    </row>
    <row r="4" spans="1:20" ht="15" customHeight="1" x14ac:dyDescent="0.25">
      <c r="A4" s="32"/>
      <c r="C4" s="34"/>
      <c r="D4" s="34"/>
      <c r="E4" s="34"/>
      <c r="F4" s="34"/>
      <c r="G4" s="56" t="s">
        <v>61</v>
      </c>
      <c r="H4" s="55"/>
      <c r="I4" s="64">
        <v>43236</v>
      </c>
      <c r="J4" s="32"/>
      <c r="K4" s="32"/>
      <c r="O4" s="35"/>
    </row>
    <row r="5" spans="1:20" ht="15" customHeight="1" x14ac:dyDescent="0.35">
      <c r="A5" s="36"/>
      <c r="B5" s="37"/>
      <c r="E5" s="37"/>
      <c r="F5" s="37"/>
      <c r="G5" s="56" t="s">
        <v>299</v>
      </c>
      <c r="H5" s="55"/>
      <c r="I5" s="65">
        <f>DURACIONREFRESCADO</f>
        <v>6.435185183363501E-3</v>
      </c>
    </row>
    <row r="6" spans="1:20" ht="15" customHeight="1" x14ac:dyDescent="0.3">
      <c r="A6" s="38"/>
      <c r="B6" s="32"/>
      <c r="C6" s="32"/>
      <c r="D6" s="32"/>
      <c r="E6" s="32"/>
      <c r="F6" s="32"/>
      <c r="G6" s="41" t="s">
        <v>62</v>
      </c>
      <c r="H6" s="59"/>
      <c r="I6" s="66">
        <v>43235</v>
      </c>
    </row>
    <row r="7" spans="1:20" ht="15" customHeight="1" x14ac:dyDescent="0.25">
      <c r="A7" s="32"/>
      <c r="B7" s="32"/>
      <c r="C7" s="32"/>
      <c r="D7" s="32"/>
      <c r="E7" s="32"/>
      <c r="F7" s="32"/>
      <c r="G7" s="56" t="s">
        <v>63</v>
      </c>
      <c r="H7" s="55"/>
      <c r="I7" s="67">
        <v>43235</v>
      </c>
    </row>
    <row r="8" spans="1:20" ht="15" customHeight="1" x14ac:dyDescent="0.25">
      <c r="A8" s="70" t="s">
        <v>88</v>
      </c>
      <c r="B8" s="71"/>
      <c r="C8" s="37"/>
      <c r="D8" s="39" t="str">
        <f ca="1">HYPERLINK("["&amp;LEFT(CELL("filename",A1),FIND("[",CELL("filename",A1))-2)&amp;"\CONTROL DE BUFFERS\ARCHIVO\ARCHIVO.xlsm]","Archivo")</f>
        <v>Archivo</v>
      </c>
      <c r="E8" s="40" t="str">
        <f ca="1">HYPERLINK(LEFT(CELL("filename",A1),FIND("[",CELL("filename",A1))-2)&amp;"\CONTROL DE BUFFERS\ARCHIVO\","dir")</f>
        <v>dir</v>
      </c>
      <c r="F8" s="32"/>
      <c r="G8" s="56" t="s">
        <v>64</v>
      </c>
      <c r="H8" s="55"/>
      <c r="I8" s="67">
        <v>43235</v>
      </c>
    </row>
    <row r="9" spans="1:20" ht="15" customHeight="1" x14ac:dyDescent="0.25">
      <c r="A9" s="39" t="str">
        <f>HYPERLINK("[O:\COMPROMETIDOS Y BACKORDERS\COMPROMETIDOS Y BACKORDERS.xlsm]Comprometidos!a1","Comprometidos")</f>
        <v>Comprometidos</v>
      </c>
      <c r="B9" s="40" t="str">
        <f>HYPERLINK("O:\COMPROMETIDOS Y BACKORDERS\","dir")</f>
        <v>dir</v>
      </c>
      <c r="C9" s="32"/>
      <c r="D9" s="39" t="str">
        <f ca="1">HYPERLINK("["&amp;LEFT(CELL("filename",L3),FIND("[",CELL("filename",L3))-2)&amp;"\CONTROL DE BUFFERS\SIMULADOR\Simulacion RAM CAS.xlsm]","SIMULADOR BUFFERS")</f>
        <v>SIMULADOR BUFFERS</v>
      </c>
      <c r="E9" s="40"/>
      <c r="F9" s="32"/>
      <c r="G9" s="41" t="s">
        <v>73</v>
      </c>
      <c r="H9" s="60"/>
      <c r="I9" s="66" t="s">
        <v>109</v>
      </c>
    </row>
    <row r="10" spans="1:20" ht="15" customHeight="1" x14ac:dyDescent="0.25">
      <c r="A10" s="39" t="str">
        <f>HYPERLINK("[O:\COMPROMETIDOS Y BACKORDERS\COMPROMETIDOS Y BACKORDERS.xlsm]Backorders!a1","Backorders")</f>
        <v>Backorders</v>
      </c>
      <c r="B10" s="40" t="str">
        <f>HYPERLINK("O:\COMPROMETIDOS Y BACKORDERS\","dir")</f>
        <v>dir</v>
      </c>
      <c r="C10" s="32"/>
      <c r="D10" s="41" t="str">
        <f>IFERROR(IF(COUNTA(Alertas!$A$1)&gt;0,"HAY ALERTAS","NO HAY ALERTAS"),"NO HAY ALERTAS")</f>
        <v>HAY ALERTAS</v>
      </c>
      <c r="E10" s="42"/>
      <c r="F10" s="32"/>
      <c r="G10" s="41" t="s">
        <v>74</v>
      </c>
      <c r="H10" s="59"/>
      <c r="I10" s="66">
        <v>43229</v>
      </c>
    </row>
    <row r="11" spans="1:20" ht="15" customHeight="1" x14ac:dyDescent="0.25">
      <c r="A11" s="43"/>
      <c r="B11" s="32"/>
      <c r="C11" s="32"/>
      <c r="D11" s="39" t="str">
        <f ca="1">HYPERLINK("["&amp;LEFT(CELL("filename",A1),FIND("[",CELL("filename",A1))-2)&amp;"\CONTROL DE BUFFERS\PLANTILLAS\Plantilla Copiado Pegado.xlsx]","Copiado y Pegado")</f>
        <v>Copiado y Pegado</v>
      </c>
      <c r="E11" s="40"/>
      <c r="F11" s="32"/>
      <c r="G11" s="41" t="s">
        <v>68</v>
      </c>
      <c r="H11" s="59"/>
      <c r="I11" s="68">
        <v>9.7222222222222224E-2</v>
      </c>
    </row>
    <row r="12" spans="1:20" ht="15" customHeight="1" x14ac:dyDescent="0.25">
      <c r="G12" s="56" t="s">
        <v>144</v>
      </c>
      <c r="H12" s="55"/>
      <c r="I12" s="69">
        <v>8.3333333333333329E-2</v>
      </c>
    </row>
    <row r="13" spans="1:20" ht="15" customHeight="1" x14ac:dyDescent="0.3">
      <c r="A13" s="74" t="s">
        <v>175</v>
      </c>
      <c r="B13" s="62"/>
      <c r="C13" s="62"/>
      <c r="D13" s="62"/>
      <c r="E13" s="62"/>
      <c r="F13" s="62"/>
      <c r="G13" s="56" t="s">
        <v>78</v>
      </c>
      <c r="H13" s="55"/>
      <c r="I13" s="69">
        <v>0.97916666666666663</v>
      </c>
    </row>
    <row r="14" spans="1:20" ht="11.25" customHeight="1" x14ac:dyDescent="0.25">
      <c r="G14" s="32"/>
      <c r="H14" s="32"/>
      <c r="I14" s="72"/>
    </row>
    <row r="15" spans="1:20" ht="26.25" customHeight="1" x14ac:dyDescent="0.25">
      <c r="A15" s="44" t="s">
        <v>263</v>
      </c>
      <c r="B15" s="44" t="s">
        <v>298</v>
      </c>
      <c r="C15" s="44" t="s">
        <v>98</v>
      </c>
      <c r="D15" s="44" t="s">
        <v>266</v>
      </c>
      <c r="E15" s="44" t="s">
        <v>268</v>
      </c>
      <c r="F15" s="44" t="s">
        <v>270</v>
      </c>
      <c r="G15" s="44" t="s">
        <v>271</v>
      </c>
      <c r="H15" s="45" t="s">
        <v>267</v>
      </c>
      <c r="I15" s="45" t="s">
        <v>296</v>
      </c>
      <c r="J15" s="44" t="s">
        <v>264</v>
      </c>
      <c r="K15" s="44" t="s">
        <v>265</v>
      </c>
      <c r="L15" s="44" t="s">
        <v>269</v>
      </c>
      <c r="M15" s="44" t="s">
        <v>101</v>
      </c>
      <c r="N15" s="44" t="s">
        <v>275</v>
      </c>
      <c r="O15" s="44" t="s">
        <v>273</v>
      </c>
      <c r="P15" s="44" t="s">
        <v>274</v>
      </c>
      <c r="Q15" s="44" t="s">
        <v>91</v>
      </c>
      <c r="R15" s="44" t="s">
        <v>272</v>
      </c>
      <c r="S15" s="44" t="s">
        <v>111</v>
      </c>
      <c r="T15" s="44" t="s">
        <v>297</v>
      </c>
    </row>
    <row r="16" spans="1:20" ht="15" customHeight="1" x14ac:dyDescent="0.25">
      <c r="A16" s="35" t="s">
        <v>253</v>
      </c>
      <c r="B16" s="63">
        <f ca="1">IFERROR(COUNTA(INDIRECT("Alertas["&amp;tbl_HojasCB[[#This Row],[HOJAS]]&amp;"]")),0)</f>
        <v>7</v>
      </c>
      <c r="C16" s="46">
        <f>IFERROR(INDEX(tbl_hojascb_estado_hoy[costo_buffer],tbl_HojasCB[[#This Row],[Coincidir]]),"")</f>
        <v>108456.03</v>
      </c>
      <c r="D16" s="46">
        <f>IFERROR(INDEX(tbl_hojascb_estado_hoy[costo_fisico],tbl_HojasCB[[#This Row],[Coincidir]]),"")</f>
        <v>43626.19</v>
      </c>
      <c r="E16" s="46">
        <f>IFERROR(INDEX(tbl_hojascb_estado_hoy[costo_transito],tbl_HojasCB[[#This Row],[Coincidir]]),"")</f>
        <v>66202.210000000006</v>
      </c>
      <c r="F16" s="46">
        <f>IFERROR(INDEX(tbl_hojascb_estado_hoy[costo_comprometido],tbl_HojasCB[[#This Row],[Coincidir]]),"")</f>
        <v>0</v>
      </c>
      <c r="G16" s="46">
        <f>IFERROR(INDEX(tbl_hojascb_estado_hoy[costo_backorder],tbl_HojasCB[[#This Row],[Coincidir]]),"")</f>
        <v>32485.01</v>
      </c>
      <c r="H16" s="46">
        <f>IFERROR(INDEX(tbl_hojascb_estado_hoy[costo_proyectado],tbl_HojasCB[[#This Row],[Coincidir]]),"")</f>
        <v>142313.41</v>
      </c>
      <c r="I16" s="46">
        <f>IFERROR(INDEX(tbl_hojascb_estado_hoy[costo_total],tbl_HojasCB[[#This Row],[Coincidir]]),"")</f>
        <v>109828.4</v>
      </c>
      <c r="J16" s="47">
        <f>IFERROR(INDEX(tbl_hojascb_estado_hoy[sku_totales],tbl_HojasCB[[#This Row],[Coincidir]]),"")</f>
        <v>80</v>
      </c>
      <c r="K16" s="47">
        <f>IFERROR(INDEX(tbl_hojascb_estado_hoy[sku_buffer],tbl_HojasCB[[#This Row],[Coincidir]]),"")</f>
        <v>63</v>
      </c>
      <c r="L16" s="47">
        <f>IFERROR(INDEX(tbl_hojascb_estado_hoy[dias_periodo],tbl_HojasCB[[#This Row],[Coincidir]]),"")</f>
        <v>174</v>
      </c>
      <c r="M16" s="47">
        <f>IFERROR(INDEX(tbl_hojascb_estado_hoy[duplicados],tbl_HojasCB[[#This Row],[Coincidir]]),"")</f>
        <v>0</v>
      </c>
      <c r="N16" s="48" t="str">
        <f>IFERROR(INDEX(tbl_hojascb_estado_hoy[refrescada],tbl_HojasCB[[#This Row],[Coincidir]]),"")&amp;" - "&amp;IFERROR(INDEX(tbl_hojascb_estado_hoy[base_datos],tbl_HojasCB[[#This Row],[Coincidir]]),"")</f>
        <v>1 - 1</v>
      </c>
      <c r="O16" s="49">
        <f>IFERROR(INDEX(tbl_hojascb_estado_hoy[inicio_refrescado],tbl_HojasCB[[#This Row],[Coincidir]]),"")</f>
        <v>43235.964768518519</v>
      </c>
      <c r="P16" s="49">
        <f>IFERROR(INDEX(tbl_hojascb_estado_hoy[fin_refrescado],tbl_HojasCB[[#This Row],[Coincidir]]),"")</f>
        <v>43235.965983796297</v>
      </c>
      <c r="Q16" s="50">
        <f>IFERROR(tbl_HojasCB[[#This Row],[REFRESCADO_FIN]]-tbl_HojasCB[[#This Row],[REFRESCADO_INI]],"")</f>
        <v>1.2152777781011537E-3</v>
      </c>
      <c r="R16" s="49">
        <f>IFERROR(INDEX(tbl_hojascb_estado_hoy[guardado],tbl_HojasCB[[#This Row],[Coincidir]]),"")</f>
        <v>43235.966087962966</v>
      </c>
      <c r="S16" s="51" t="str">
        <f>IF(IFERROR(INDEX(tbl_hojascb_estado_hoy[razon],tbl_HojasCB[[#This Row],[Coincidir]]),"")=0,"",IFERROR(INDEX(tbl_hojascb_estado_hoy[razon],tbl_HojasCB[[#This Row],[Coincidir]]),""))</f>
        <v/>
      </c>
      <c r="T16" s="48">
        <f>MATCH(EMP&amp;tbl_HojasCB[[#This Row],[HOJAS]],tbl_hojascb_estado_hoy[empresa_hoja],0)</f>
        <v>1</v>
      </c>
    </row>
    <row r="17" spans="1:20" ht="15" customHeight="1" x14ac:dyDescent="0.25">
      <c r="A17" s="35" t="s">
        <v>300</v>
      </c>
      <c r="B17" s="63">
        <f ca="1">IFERROR(COUNTA(INDIRECT("Alertas["&amp;tbl_HojasCB[[#This Row],[HOJAS]]&amp;"]")),0)</f>
        <v>6</v>
      </c>
      <c r="C17" s="46">
        <f>IFERROR(INDEX(tbl_hojascb_estado_hoy[costo_buffer],tbl_HojasCB[[#This Row],[Coincidir]]),"")</f>
        <v>99809.44</v>
      </c>
      <c r="D17" s="46">
        <f>IFERROR(INDEX(tbl_hojascb_estado_hoy[costo_fisico],tbl_HojasCB[[#This Row],[Coincidir]]),"")</f>
        <v>120477.14</v>
      </c>
      <c r="E17" s="46">
        <f>IFERROR(INDEX(tbl_hojascb_estado_hoy[costo_transito],tbl_HojasCB[[#This Row],[Coincidir]]),"")</f>
        <v>49332.959999999999</v>
      </c>
      <c r="F17" s="46">
        <f>IFERROR(INDEX(tbl_hojascb_estado_hoy[costo_comprometido],tbl_HojasCB[[#This Row],[Coincidir]]),"")</f>
        <v>0</v>
      </c>
      <c r="G17" s="46">
        <f>IFERROR(INDEX(tbl_hojascb_estado_hoy[costo_backorder],tbl_HojasCB[[#This Row],[Coincidir]]),"")</f>
        <v>2008.49</v>
      </c>
      <c r="H17" s="46">
        <f>IFERROR(INDEX(tbl_hojascb_estado_hoy[costo_proyectado],tbl_HojasCB[[#This Row],[Coincidir]]),"")</f>
        <v>171818.59</v>
      </c>
      <c r="I17" s="46">
        <f>IFERROR(INDEX(tbl_hojascb_estado_hoy[costo_total],tbl_HojasCB[[#This Row],[Coincidir]]),"")</f>
        <v>169810.1</v>
      </c>
      <c r="J17" s="47">
        <f>IFERROR(INDEX(tbl_hojascb_estado_hoy[sku_totales],tbl_HojasCB[[#This Row],[Coincidir]]),"")</f>
        <v>1282</v>
      </c>
      <c r="K17" s="47">
        <f>IFERROR(INDEX(tbl_hojascb_estado_hoy[sku_buffer],tbl_HojasCB[[#This Row],[Coincidir]]),"")</f>
        <v>1171</v>
      </c>
      <c r="L17" s="47">
        <f>IFERROR(INDEX(tbl_hojascb_estado_hoy[dias_periodo],tbl_HojasCB[[#This Row],[Coincidir]]),"")</f>
        <v>190</v>
      </c>
      <c r="M17" s="47">
        <f>IFERROR(INDEX(tbl_hojascb_estado_hoy[duplicados],tbl_HojasCB[[#This Row],[Coincidir]]),"")</f>
        <v>0</v>
      </c>
      <c r="N17" s="48" t="str">
        <f>IFERROR(INDEX(tbl_hojascb_estado_hoy[refrescada],tbl_HojasCB[[#This Row],[Coincidir]]),"")&amp;" - "&amp;IFERROR(INDEX(tbl_hojascb_estado_hoy[base_datos],tbl_HojasCB[[#This Row],[Coincidir]]),"")</f>
        <v>1 - 1</v>
      </c>
      <c r="O17" s="49">
        <f>IFERROR(INDEX(tbl_hojascb_estado_hoy[inicio_refrescado],tbl_HojasCB[[#This Row],[Coincidir]]),"")</f>
        <v>43235.968240740738</v>
      </c>
      <c r="P17" s="49">
        <f>IFERROR(INDEX(tbl_hojascb_estado_hoy[fin_refrescado],tbl_HojasCB[[#This Row],[Coincidir]]),"")</f>
        <v>43235.97042824074</v>
      </c>
      <c r="Q17" s="50">
        <f>IFERROR(tbl_HojasCB[[#This Row],[REFRESCADO_FIN]]-tbl_HojasCB[[#This Row],[REFRESCADO_INI]],"")</f>
        <v>2.1875000020372681E-3</v>
      </c>
      <c r="R17" s="49">
        <f>IFERROR(INDEX(tbl_hojascb_estado_hoy[guardado],tbl_HojasCB[[#This Row],[Coincidir]]),"")</f>
        <v>43235.970671296294</v>
      </c>
      <c r="S17" s="51" t="str">
        <f>IF(IFERROR(INDEX(tbl_hojascb_estado_hoy[razon],tbl_HojasCB[[#This Row],[Coincidir]]),"")=0,"",IFERROR(INDEX(tbl_hojascb_estado_hoy[razon],tbl_HojasCB[[#This Row],[Coincidir]]),""))</f>
        <v/>
      </c>
      <c r="T17" s="48">
        <f>MATCH(EMP&amp;tbl_HojasCB[[#This Row],[HOJAS]],tbl_hojascb_estado_hoy[empresa_hoja],0)</f>
        <v>5</v>
      </c>
    </row>
    <row r="18" spans="1:20" ht="15" customHeight="1" x14ac:dyDescent="0.25">
      <c r="A18" s="52" t="str">
        <f>"Total Hojas:  "&amp;SUBTOTAL(103,tbl_HojasCB[HOJAS])</f>
        <v>Total Hojas:  2</v>
      </c>
      <c r="B18" s="52">
        <f ca="1">SUBTOTAL(109,tbl_HojasCB[ALERTAS])</f>
        <v>13</v>
      </c>
      <c r="C18" s="46">
        <f>SUBTOTAL(109,tbl_HojasCB[COSTO BUFFER])</f>
        <v>208265.47</v>
      </c>
      <c r="D18" s="46">
        <f>SUBTOTAL(109,tbl_HojasCB[COSTO FÍSICO])</f>
        <v>164103.33000000002</v>
      </c>
      <c r="E18" s="46">
        <f>SUBTOTAL(109,tbl_HojasCB[COSTO TRÁNSITO])</f>
        <v>115535.17000000001</v>
      </c>
      <c r="F18" s="46">
        <f>SUBTOTAL(109,tbl_HojasCB[COSTO COMPROM])</f>
        <v>0</v>
      </c>
      <c r="G18" s="46">
        <f>SUBTOTAL(109,tbl_HojasCB[COSTO BACKORDER])</f>
        <v>34493.5</v>
      </c>
      <c r="H18" s="46">
        <f>SUBTOTAL(109,tbl_HojasCB[COSTO PROYECTADO])</f>
        <v>314132</v>
      </c>
      <c r="I18" s="46">
        <f>SUBTOTAL(109,tbl_HojasCB[COSTO TOTAL])</f>
        <v>279638.5</v>
      </c>
      <c r="J18" s="53">
        <f>SUBTOTAL(109,tbl_HojasCB[ÍTEMS TOTALES])</f>
        <v>1362</v>
      </c>
      <c r="K18" s="53">
        <f>SUBTOTAL(109,tbl_HojasCB[ÍTEMS CON BUFFER])</f>
        <v>1234</v>
      </c>
      <c r="L18" s="53">
        <f>SUBTOTAL(109,tbl_HojasCB[DÍAS PERÍODO])</f>
        <v>364</v>
      </c>
      <c r="M18" s="53">
        <f>SUBTOTAL(109,tbl_HojasCB[DUPLICADOS])</f>
        <v>0</v>
      </c>
      <c r="N18" s="52"/>
      <c r="O18" s="52"/>
      <c r="P18" s="52"/>
      <c r="Q18" s="50">
        <f>SUBTOTAL(109,tbl_HojasCB[DURACIÓN])</f>
        <v>3.4027777801384218E-3</v>
      </c>
      <c r="R18" s="52"/>
      <c r="T18" s="52"/>
    </row>
    <row r="19" spans="1:20" ht="15" customHeight="1" x14ac:dyDescent="0.25"/>
    <row r="20" spans="1:20" ht="15" customHeight="1" x14ac:dyDescent="0.25"/>
    <row r="21" spans="1:20" ht="15" customHeight="1" x14ac:dyDescent="0.25"/>
    <row r="22" spans="1:20" ht="15" customHeight="1" x14ac:dyDescent="0.25"/>
    <row r="23" spans="1:20" ht="15" customHeight="1" x14ac:dyDescent="0.25"/>
    <row r="128" spans="184:185" x14ac:dyDescent="0.25">
      <c r="GB128" s="54" t="s">
        <v>194</v>
      </c>
      <c r="GC128" s="33" t="s">
        <v>145</v>
      </c>
    </row>
  </sheetData>
  <sheetProtection sort="0" autoFilter="0"/>
  <conditionalFormatting sqref="I6:I10">
    <cfRule type="expression" dxfId="25" priority="25">
      <formula>I6&lt;&gt;$I$4</formula>
    </cfRule>
  </conditionalFormatting>
  <conditionalFormatting sqref="I3">
    <cfRule type="expression" dxfId="24" priority="15" stopIfTrue="1">
      <formula>REFRESCADO="Completo"</formula>
    </cfRule>
    <cfRule type="expression" dxfId="23" priority="24">
      <formula>REFRESCADO="Incompleto"</formula>
    </cfRule>
  </conditionalFormatting>
  <conditionalFormatting sqref="D10:E10">
    <cfRule type="expression" dxfId="22" priority="20">
      <formula>$D10="NO HAY ALERTAS"</formula>
    </cfRule>
    <cfRule type="expression" dxfId="21" priority="21">
      <formula>$D10="HAY ALERTAS"</formula>
    </cfRule>
  </conditionalFormatting>
  <conditionalFormatting sqref="I4">
    <cfRule type="expression" dxfId="20" priority="16">
      <formula>I4&lt;&gt;TODAY()</formula>
    </cfRule>
  </conditionalFormatting>
  <conditionalFormatting sqref="A16:S17">
    <cfRule type="expression" dxfId="19" priority="1" stopIfTrue="1">
      <formula>OR(TRUNC($P16)&lt;TODAY(),$N16&lt;&gt;"1 - 1")</formula>
    </cfRule>
    <cfRule type="expression" dxfId="18" priority="3116" stopIfTrue="1">
      <formula>$M16&gt;0</formula>
    </cfRule>
  </conditionalFormatting>
  <conditionalFormatting sqref="B16:B17">
    <cfRule type="colorScale" priority="3117">
      <colorScale>
        <cfvo type="num" val="0"/>
        <cfvo type="percentile" val="50"/>
        <cfvo type="num" val="6"/>
        <color rgb="FF63BE7B"/>
        <color rgb="FFFFEB84"/>
        <color rgb="FFF8696B"/>
      </colorScale>
    </cfRule>
  </conditionalFormatting>
  <conditionalFormatting sqref="C16:C17">
    <cfRule type="dataBar" priority="3243">
      <dataBar>
        <cfvo type="min"/>
        <cfvo type="max"/>
        <color rgb="FFFFB628"/>
      </dataBar>
      <extLst>
        <ext xmlns:x14="http://schemas.microsoft.com/office/spreadsheetml/2009/9/main" uri="{B025F937-C7B1-47D3-B67F-A62EFF666E3E}">
          <x14:id>{FB5FB2B2-C023-4D87-B7B1-C1AAB0250117}</x14:id>
        </ext>
      </extLst>
    </cfRule>
  </conditionalFormatting>
  <conditionalFormatting sqref="D16:D17">
    <cfRule type="dataBar" priority="3245">
      <dataBar>
        <cfvo type="min"/>
        <cfvo type="max"/>
        <color rgb="FFFFB628"/>
      </dataBar>
      <extLst>
        <ext xmlns:x14="http://schemas.microsoft.com/office/spreadsheetml/2009/9/main" uri="{B025F937-C7B1-47D3-B67F-A62EFF666E3E}">
          <x14:id>{2C29C2A8-FAA1-440F-BFA2-C382BCC5E323}</x14:id>
        </ext>
      </extLst>
    </cfRule>
  </conditionalFormatting>
  <conditionalFormatting sqref="E16:E17">
    <cfRule type="dataBar" priority="3247">
      <dataBar>
        <cfvo type="min"/>
        <cfvo type="max"/>
        <color rgb="FFFFB628"/>
      </dataBar>
      <extLst>
        <ext xmlns:x14="http://schemas.microsoft.com/office/spreadsheetml/2009/9/main" uri="{B025F937-C7B1-47D3-B67F-A62EFF666E3E}">
          <x14:id>{897C27A1-00D3-4A3C-88D0-3BDD15241711}</x14:id>
        </ext>
      </extLst>
    </cfRule>
  </conditionalFormatting>
  <conditionalFormatting sqref="G16:G17">
    <cfRule type="dataBar" priority="3249">
      <dataBar>
        <cfvo type="min"/>
        <cfvo type="max"/>
        <color rgb="FFFFB628"/>
      </dataBar>
      <extLst>
        <ext xmlns:x14="http://schemas.microsoft.com/office/spreadsheetml/2009/9/main" uri="{B025F937-C7B1-47D3-B67F-A62EFF666E3E}">
          <x14:id>{A341B4D6-0E62-4FBD-A05F-008DFBB8B5DE}</x14:id>
        </ext>
      </extLst>
    </cfRule>
  </conditionalFormatting>
  <conditionalFormatting sqref="H16:H17">
    <cfRule type="dataBar" priority="3251">
      <dataBar>
        <cfvo type="min"/>
        <cfvo type="max"/>
        <color rgb="FFFFB628"/>
      </dataBar>
      <extLst>
        <ext xmlns:x14="http://schemas.microsoft.com/office/spreadsheetml/2009/9/main" uri="{B025F937-C7B1-47D3-B67F-A62EFF666E3E}">
          <x14:id>{3158811A-C7EB-4B8B-A785-C7535AC56E09}</x14:id>
        </ext>
      </extLst>
    </cfRule>
  </conditionalFormatting>
  <conditionalFormatting sqref="I16:I17">
    <cfRule type="dataBar" priority="3253">
      <dataBar>
        <cfvo type="min"/>
        <cfvo type="max"/>
        <color rgb="FFFFB628"/>
      </dataBar>
      <extLst>
        <ext xmlns:x14="http://schemas.microsoft.com/office/spreadsheetml/2009/9/main" uri="{B025F937-C7B1-47D3-B67F-A62EFF666E3E}">
          <x14:id>{5996A4CF-CC5E-4A69-B718-A80ADBBD7738}</x14:id>
        </ext>
      </extLst>
    </cfRule>
  </conditionalFormatting>
  <conditionalFormatting sqref="J16:J17">
    <cfRule type="dataBar" priority="3255">
      <dataBar>
        <cfvo type="min"/>
        <cfvo type="max"/>
        <color rgb="FF63C384"/>
      </dataBar>
      <extLst>
        <ext xmlns:x14="http://schemas.microsoft.com/office/spreadsheetml/2009/9/main" uri="{B025F937-C7B1-47D3-B67F-A62EFF666E3E}">
          <x14:id>{CEB8BC71-8DBD-4C07-BC20-C7C459ABDFD2}</x14:id>
        </ext>
      </extLst>
    </cfRule>
  </conditionalFormatting>
  <conditionalFormatting sqref="K16:K17">
    <cfRule type="dataBar" priority="3257">
      <dataBar>
        <cfvo type="min"/>
        <cfvo type="max"/>
        <color rgb="FF63C384"/>
      </dataBar>
      <extLst>
        <ext xmlns:x14="http://schemas.microsoft.com/office/spreadsheetml/2009/9/main" uri="{B025F937-C7B1-47D3-B67F-A62EFF666E3E}">
          <x14:id>{0308F7F1-29C8-46E6-B876-11EB063F781A}</x14:id>
        </ext>
      </extLst>
    </cfRule>
  </conditionalFormatting>
  <conditionalFormatting sqref="F16:F17">
    <cfRule type="dataBar" priority="3259">
      <dataBar>
        <cfvo type="min"/>
        <cfvo type="max"/>
        <color rgb="FFFFB628"/>
      </dataBar>
      <extLst>
        <ext xmlns:x14="http://schemas.microsoft.com/office/spreadsheetml/2009/9/main" uri="{B025F937-C7B1-47D3-B67F-A62EFF666E3E}">
          <x14:id>{BC002F9D-636E-47D2-840E-33D6699C67B8}</x14:id>
        </ext>
      </extLst>
    </cfRule>
  </conditionalFormatting>
  <dataValidations count="1">
    <dataValidation type="time" allowBlank="1" showInputMessage="1" showErrorMessage="1" sqref="I5 I11:I14">
      <formula1>0</formula1>
      <formula2>0.999988425925926</formula2>
    </dataValidation>
  </dataValidations>
  <pageMargins left="0.7" right="0.7" top="0.75" bottom="0.75" header="0.3" footer="0.3"/>
  <pageSetup paperSize="9" scale="60" orientation="portrait" horizontalDpi="300" verticalDpi="300" r:id="rId1"/>
  <drawing r:id="rId2"/>
  <legacyDrawing r:id="rId3"/>
  <controls>
    <mc:AlternateContent xmlns:mc="http://schemas.openxmlformats.org/markup-compatibility/2006">
      <mc:Choice Requires="x14">
        <control shapeId="96465" r:id="rId4" name="cmdNuevaTransfer">
          <controlPr defaultSize="0" autoLine="0" r:id="rId5">
            <anchor>
              <from>
                <xdr:col>2</xdr:col>
                <xdr:colOff>276225</xdr:colOff>
                <xdr:row>4</xdr:row>
                <xdr:rowOff>19050</xdr:rowOff>
              </from>
              <to>
                <xdr:col>2</xdr:col>
                <xdr:colOff>628650</xdr:colOff>
                <xdr:row>5</xdr:row>
                <xdr:rowOff>114300</xdr:rowOff>
              </to>
            </anchor>
          </controlPr>
        </control>
      </mc:Choice>
      <mc:Fallback>
        <control shapeId="96465" r:id="rId4" name="cmdNuevaTransfer"/>
      </mc:Fallback>
    </mc:AlternateContent>
    <mc:AlternateContent xmlns:mc="http://schemas.openxmlformats.org/markup-compatibility/2006">
      <mc:Choice Requires="x14">
        <control shapeId="49451" r:id="rId6" name="cmd_Reportaje">
          <controlPr defaultSize="0" autoLine="0" r:id="rId7">
            <anchor>
              <from>
                <xdr:col>2</xdr:col>
                <xdr:colOff>638175</xdr:colOff>
                <xdr:row>4</xdr:row>
                <xdr:rowOff>19050</xdr:rowOff>
              </from>
              <to>
                <xdr:col>3</xdr:col>
                <xdr:colOff>752475</xdr:colOff>
                <xdr:row>6</xdr:row>
                <xdr:rowOff>66675</xdr:rowOff>
              </to>
            </anchor>
          </controlPr>
        </control>
      </mc:Choice>
      <mc:Fallback>
        <control shapeId="49451" r:id="rId6" name="cmd_Reportaje"/>
      </mc:Fallback>
    </mc:AlternateContent>
    <mc:AlternateContent xmlns:mc="http://schemas.openxmlformats.org/markup-compatibility/2006">
      <mc:Choice Requires="x14">
        <control shapeId="1517" r:id="rId8" name="cmdTraeFechasRefrescado">
          <controlPr defaultSize="0" disabled="1" autoLine="0" r:id="rId9">
            <anchor>
              <from>
                <xdr:col>2</xdr:col>
                <xdr:colOff>114300</xdr:colOff>
                <xdr:row>2</xdr:row>
                <xdr:rowOff>28575</xdr:rowOff>
              </from>
              <to>
                <xdr:col>2</xdr:col>
                <xdr:colOff>790575</xdr:colOff>
                <xdr:row>3</xdr:row>
                <xdr:rowOff>95250</xdr:rowOff>
              </to>
            </anchor>
          </controlPr>
        </control>
      </mc:Choice>
      <mc:Fallback>
        <control shapeId="1517" r:id="rId8" name="cmdTraeFechasRefrescado"/>
      </mc:Fallback>
    </mc:AlternateContent>
    <mc:AlternateContent xmlns:mc="http://schemas.openxmlformats.org/markup-compatibility/2006">
      <mc:Choice Requires="x14">
        <control shapeId="1062" r:id="rId10" name="cmd_Alertas_Actuales">
          <controlPr defaultSize="0" autoLine="0" r:id="rId11">
            <anchor>
              <from>
                <xdr:col>4</xdr:col>
                <xdr:colOff>190500</xdr:colOff>
                <xdr:row>9</xdr:row>
                <xdr:rowOff>9525</xdr:rowOff>
              </from>
              <to>
                <xdr:col>4</xdr:col>
                <xdr:colOff>533400</xdr:colOff>
                <xdr:row>9</xdr:row>
                <xdr:rowOff>180975</xdr:rowOff>
              </to>
            </anchor>
          </controlPr>
        </control>
      </mc:Choice>
      <mc:Fallback>
        <control shapeId="1062" r:id="rId10" name="cmd_Alertas_Actuales"/>
      </mc:Fallback>
    </mc:AlternateContent>
    <mc:AlternateContent xmlns:mc="http://schemas.openxmlformats.org/markup-compatibility/2006">
      <mc:Choice Requires="x14">
        <control shapeId="1056" r:id="rId12" name="cmdTransferencias">
          <controlPr defaultSize="0" autoLine="0" r:id="rId13">
            <anchor>
              <from>
                <xdr:col>0</xdr:col>
                <xdr:colOff>2219325</xdr:colOff>
                <xdr:row>4</xdr:row>
                <xdr:rowOff>19050</xdr:rowOff>
              </from>
              <to>
                <xdr:col>2</xdr:col>
                <xdr:colOff>276225</xdr:colOff>
                <xdr:row>6</xdr:row>
                <xdr:rowOff>66675</xdr:rowOff>
              </to>
            </anchor>
          </controlPr>
        </control>
      </mc:Choice>
      <mc:Fallback>
        <control shapeId="1056" r:id="rId12" name="cmdTransferencias"/>
      </mc:Fallback>
    </mc:AlternateContent>
    <mc:AlternateContent xmlns:mc="http://schemas.openxmlformats.org/markup-compatibility/2006">
      <mc:Choice Requires="x14">
        <control shapeId="1034" r:id="rId14" name="cboEmpresa">
          <controlPr defaultSize="0" autoLine="0" r:id="rId15">
            <anchor>
              <from>
                <xdr:col>0</xdr:col>
                <xdr:colOff>0</xdr:colOff>
                <xdr:row>4</xdr:row>
                <xdr:rowOff>38100</xdr:rowOff>
              </from>
              <to>
                <xdr:col>0</xdr:col>
                <xdr:colOff>1266825</xdr:colOff>
                <xdr:row>5</xdr:row>
                <xdr:rowOff>95250</xdr:rowOff>
              </to>
            </anchor>
          </controlPr>
        </control>
      </mc:Choice>
      <mc:Fallback>
        <control shapeId="1034" r:id="rId14" name="cboEmpresa"/>
      </mc:Fallback>
    </mc:AlternateContent>
    <mc:AlternateContent xmlns:mc="http://schemas.openxmlformats.org/markup-compatibility/2006">
      <mc:Choice Requires="x14">
        <control shapeId="1053" r:id="rId16" name="cmdControl">
          <controlPr defaultSize="0" autoLine="0" r:id="rId17">
            <anchor>
              <from>
                <xdr:col>0</xdr:col>
                <xdr:colOff>1314450</xdr:colOff>
                <xdr:row>4</xdr:row>
                <xdr:rowOff>19050</xdr:rowOff>
              </from>
              <to>
                <xdr:col>0</xdr:col>
                <xdr:colOff>2190750</xdr:colOff>
                <xdr:row>6</xdr:row>
                <xdr:rowOff>66675</xdr:rowOff>
              </to>
            </anchor>
          </controlPr>
        </control>
      </mc:Choice>
      <mc:Fallback>
        <control shapeId="1053" r:id="rId16" name="cmdControl"/>
      </mc:Fallback>
    </mc:AlternateContent>
    <mc:AlternateContent xmlns:mc="http://schemas.openxmlformats.org/markup-compatibility/2006">
      <mc:Choice Requires="x14">
        <control shapeId="1057" r:id="rId18" name="cmdMantenimiento">
          <controlPr defaultSize="0" autoLine="0" r:id="rId19">
            <anchor>
              <from>
                <xdr:col>4</xdr:col>
                <xdr:colOff>476250</xdr:colOff>
                <xdr:row>2</xdr:row>
                <xdr:rowOff>28575</xdr:rowOff>
              </from>
              <to>
                <xdr:col>5</xdr:col>
                <xdr:colOff>819150</xdr:colOff>
                <xdr:row>3</xdr:row>
                <xdr:rowOff>104775</xdr:rowOff>
              </to>
            </anchor>
          </controlPr>
        </control>
      </mc:Choice>
      <mc:Fallback>
        <control shapeId="1057" r:id="rId18" name="cmdMantenimiento"/>
      </mc:Fallback>
    </mc:AlternateContent>
    <mc:AlternateContent xmlns:mc="http://schemas.openxmlformats.org/markup-compatibility/2006">
      <mc:Choice Requires="x14">
        <control shapeId="1060" r:id="rId20" name="cmd_refresca_items">
          <controlPr defaultSize="0" autoLine="0" r:id="rId21">
            <anchor>
              <from>
                <xdr:col>3</xdr:col>
                <xdr:colOff>28575</xdr:colOff>
                <xdr:row>2</xdr:row>
                <xdr:rowOff>28575</xdr:rowOff>
              </from>
              <to>
                <xdr:col>3</xdr:col>
                <xdr:colOff>714375</xdr:colOff>
                <xdr:row>3</xdr:row>
                <xdr:rowOff>95250</xdr:rowOff>
              </to>
            </anchor>
          </controlPr>
        </control>
      </mc:Choice>
      <mc:Fallback>
        <control shapeId="1060" r:id="rId20" name="cmd_refresca_items"/>
      </mc:Fallback>
    </mc:AlternateContent>
    <mc:AlternateContent xmlns:mc="http://schemas.openxmlformats.org/markup-compatibility/2006">
      <mc:Choice Requires="x14">
        <control shapeId="1061" r:id="rId22" name="cmd_Refrescar_Alertas">
          <controlPr defaultSize="0" autoLine="0" r:id="rId23">
            <anchor>
              <from>
                <xdr:col>4</xdr:col>
                <xdr:colOff>523875</xdr:colOff>
                <xdr:row>9</xdr:row>
                <xdr:rowOff>9525</xdr:rowOff>
              </from>
              <to>
                <xdr:col>4</xdr:col>
                <xdr:colOff>819150</xdr:colOff>
                <xdr:row>9</xdr:row>
                <xdr:rowOff>180975</xdr:rowOff>
              </to>
            </anchor>
          </controlPr>
        </control>
      </mc:Choice>
      <mc:Fallback>
        <control shapeId="1061" r:id="rId22" name="cmd_Refrescar_Alertas"/>
      </mc:Fallback>
    </mc:AlternateContent>
    <mc:AlternateContent xmlns:mc="http://schemas.openxmlformats.org/markup-compatibility/2006">
      <mc:Choice Requires="x14">
        <control shapeId="97019" r:id="rId24" name="cmdTransferenciasActivas">
          <controlPr defaultSize="0" autoLine="0" r:id="rId25">
            <anchor>
              <from>
                <xdr:col>2</xdr:col>
                <xdr:colOff>276225</xdr:colOff>
                <xdr:row>5</xdr:row>
                <xdr:rowOff>123825</xdr:rowOff>
              </from>
              <to>
                <xdr:col>2</xdr:col>
                <xdr:colOff>628650</xdr:colOff>
                <xdr:row>7</xdr:row>
                <xdr:rowOff>28575</xdr:rowOff>
              </to>
            </anchor>
          </controlPr>
        </control>
      </mc:Choice>
      <mc:Fallback>
        <control shapeId="97019" r:id="rId24" name="cmdTransferenciasActivas"/>
      </mc:Fallback>
    </mc:AlternateContent>
    <mc:AlternateContent xmlns:mc="http://schemas.openxmlformats.org/markup-compatibility/2006">
      <mc:Choice Requires="x14">
        <control shapeId="170289" r:id="rId26" name="cmd_Ayuda_CCB">
          <controlPr defaultSize="0" print="0" autoFill="0" autoPict="0" macro="[0]!Abre_Ayuda_de_Centrocontrol">
            <anchor>
              <from>
                <xdr:col>5</xdr:col>
                <xdr:colOff>114300</xdr:colOff>
                <xdr:row>4</xdr:row>
                <xdr:rowOff>9525</xdr:rowOff>
              </from>
              <to>
                <xdr:col>5</xdr:col>
                <xdr:colOff>809625</xdr:colOff>
                <xdr:row>5</xdr:row>
                <xdr:rowOff>123825</xdr:rowOff>
              </to>
            </anchor>
          </controlPr>
        </control>
      </mc:Choice>
    </mc:AlternateContent>
    <mc:AlternateContent xmlns:mc="http://schemas.openxmlformats.org/markup-compatibility/2006">
      <mc:Choice Requires="x14">
        <control shapeId="170298" r:id="rId27" name="cmd_Cambia_Usuario">
          <controlPr defaultSize="0" print="0" autoFill="0" autoPict="0" macro="[0]!Cambia_Usuario">
            <anchor>
              <from>
                <xdr:col>0</xdr:col>
                <xdr:colOff>28575</xdr:colOff>
                <xdr:row>2</xdr:row>
                <xdr:rowOff>0</xdr:rowOff>
              </from>
              <to>
                <xdr:col>0</xdr:col>
                <xdr:colOff>1000125</xdr:colOff>
                <xdr:row>2</xdr:row>
                <xdr:rowOff>152400</xdr:rowOff>
              </to>
            </anchor>
          </controlPr>
        </control>
      </mc:Choice>
    </mc:AlternateContent>
    <mc:AlternateContent xmlns:mc="http://schemas.openxmlformats.org/markup-compatibility/2006">
      <mc:Choice Requires="x14">
        <control shapeId="170283" r:id="rId28" name="cmd_Importa_Datos_ERP">
          <controlPr defaultSize="0" print="0" autoFill="0" autoPict="0" macro="[0]!Trae_Datos_del_ERP">
            <anchor>
              <from>
                <xdr:col>3</xdr:col>
                <xdr:colOff>828675</xdr:colOff>
                <xdr:row>4</xdr:row>
                <xdr:rowOff>19050</xdr:rowOff>
              </from>
              <to>
                <xdr:col>4</xdr:col>
                <xdr:colOff>800100</xdr:colOff>
                <xdr:row>6</xdr:row>
                <xdr:rowOff>104775</xdr:rowOff>
              </to>
            </anchor>
          </controlPr>
        </control>
      </mc:Choice>
    </mc:AlternateContent>
  </controls>
  <tableParts count="1">
    <tablePart r:id="rId29"/>
  </tableParts>
  <extLst>
    <ext xmlns:x14="http://schemas.microsoft.com/office/spreadsheetml/2009/9/main" uri="{78C0D931-6437-407d-A8EE-F0AAD7539E65}">
      <x14:conditionalFormattings>
        <x14:conditionalFormatting xmlns:xm="http://schemas.microsoft.com/office/excel/2006/main">
          <x14:cfRule type="dataBar" id="{FB5FB2B2-C023-4D87-B7B1-C1AAB0250117}">
            <x14:dataBar minLength="0" maxLength="100" gradient="0">
              <x14:cfvo type="autoMin"/>
              <x14:cfvo type="autoMax"/>
              <x14:negativeFillColor rgb="FFFF0000"/>
              <x14:axisColor rgb="FF000000"/>
            </x14:dataBar>
          </x14:cfRule>
          <xm:sqref>C16:C17</xm:sqref>
        </x14:conditionalFormatting>
        <x14:conditionalFormatting xmlns:xm="http://schemas.microsoft.com/office/excel/2006/main">
          <x14:cfRule type="dataBar" id="{2C29C2A8-FAA1-440F-BFA2-C382BCC5E323}">
            <x14:dataBar minLength="0" maxLength="100" gradient="0">
              <x14:cfvo type="autoMin"/>
              <x14:cfvo type="autoMax"/>
              <x14:negativeFillColor rgb="FFFF0000"/>
              <x14:axisColor rgb="FF000000"/>
            </x14:dataBar>
          </x14:cfRule>
          <xm:sqref>D16:D17</xm:sqref>
        </x14:conditionalFormatting>
        <x14:conditionalFormatting xmlns:xm="http://schemas.microsoft.com/office/excel/2006/main">
          <x14:cfRule type="dataBar" id="{897C27A1-00D3-4A3C-88D0-3BDD15241711}">
            <x14:dataBar minLength="0" maxLength="100" gradient="0">
              <x14:cfvo type="autoMin"/>
              <x14:cfvo type="autoMax"/>
              <x14:negativeFillColor rgb="FFFF0000"/>
              <x14:axisColor rgb="FF000000"/>
            </x14:dataBar>
          </x14:cfRule>
          <xm:sqref>E16:E17</xm:sqref>
        </x14:conditionalFormatting>
        <x14:conditionalFormatting xmlns:xm="http://schemas.microsoft.com/office/excel/2006/main">
          <x14:cfRule type="dataBar" id="{A341B4D6-0E62-4FBD-A05F-008DFBB8B5DE}">
            <x14:dataBar minLength="0" maxLength="100" gradient="0">
              <x14:cfvo type="autoMin"/>
              <x14:cfvo type="autoMax"/>
              <x14:negativeFillColor rgb="FFFF0000"/>
              <x14:axisColor rgb="FF000000"/>
            </x14:dataBar>
          </x14:cfRule>
          <xm:sqref>G16:G17</xm:sqref>
        </x14:conditionalFormatting>
        <x14:conditionalFormatting xmlns:xm="http://schemas.microsoft.com/office/excel/2006/main">
          <x14:cfRule type="dataBar" id="{3158811A-C7EB-4B8B-A785-C7535AC56E09}">
            <x14:dataBar minLength="0" maxLength="100" gradient="0">
              <x14:cfvo type="autoMin"/>
              <x14:cfvo type="autoMax"/>
              <x14:negativeFillColor rgb="FFFF0000"/>
              <x14:axisColor rgb="FF000000"/>
            </x14:dataBar>
          </x14:cfRule>
          <xm:sqref>H16:H17</xm:sqref>
        </x14:conditionalFormatting>
        <x14:conditionalFormatting xmlns:xm="http://schemas.microsoft.com/office/excel/2006/main">
          <x14:cfRule type="dataBar" id="{5996A4CF-CC5E-4A69-B718-A80ADBBD7738}">
            <x14:dataBar minLength="0" maxLength="100" gradient="0">
              <x14:cfvo type="autoMin"/>
              <x14:cfvo type="autoMax"/>
              <x14:negativeFillColor rgb="FFFF0000"/>
              <x14:axisColor rgb="FF000000"/>
            </x14:dataBar>
          </x14:cfRule>
          <xm:sqref>I16:I17</xm:sqref>
        </x14:conditionalFormatting>
        <x14:conditionalFormatting xmlns:xm="http://schemas.microsoft.com/office/excel/2006/main">
          <x14:cfRule type="dataBar" id="{CEB8BC71-8DBD-4C07-BC20-C7C459ABDFD2}">
            <x14:dataBar minLength="0" maxLength="100" gradient="0">
              <x14:cfvo type="autoMin"/>
              <x14:cfvo type="autoMax"/>
              <x14:negativeFillColor rgb="FFFF0000"/>
              <x14:axisColor rgb="FF000000"/>
            </x14:dataBar>
          </x14:cfRule>
          <xm:sqref>J16:J17</xm:sqref>
        </x14:conditionalFormatting>
        <x14:conditionalFormatting xmlns:xm="http://schemas.microsoft.com/office/excel/2006/main">
          <x14:cfRule type="dataBar" id="{0308F7F1-29C8-46E6-B876-11EB063F781A}">
            <x14:dataBar minLength="0" maxLength="100" gradient="0">
              <x14:cfvo type="autoMin"/>
              <x14:cfvo type="autoMax"/>
              <x14:negativeFillColor rgb="FFFF0000"/>
              <x14:axisColor rgb="FF000000"/>
            </x14:dataBar>
          </x14:cfRule>
          <xm:sqref>K16:K17</xm:sqref>
        </x14:conditionalFormatting>
        <x14:conditionalFormatting xmlns:xm="http://schemas.microsoft.com/office/excel/2006/main">
          <x14:cfRule type="dataBar" id="{BC002F9D-636E-47D2-840E-33D6699C67B8}">
            <x14:dataBar minLength="0" maxLength="100" gradient="0">
              <x14:cfvo type="autoMin"/>
              <x14:cfvo type="autoMax"/>
              <x14:negativeFillColor rgb="FFFF0000"/>
              <x14:axisColor rgb="FF000000"/>
            </x14:dataBar>
          </x14:cfRule>
          <xm:sqref>F16:F17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dimension ref="A1:T6"/>
  <sheetViews>
    <sheetView workbookViewId="0">
      <selection activeCell="A2" sqref="A2:T2"/>
    </sheetView>
  </sheetViews>
  <sheetFormatPr baseColWidth="10" defaultRowHeight="15" x14ac:dyDescent="0.25"/>
  <cols>
    <col min="3" max="3" width="12.42578125" customWidth="1"/>
    <col min="4" max="4" width="13.140625" customWidth="1"/>
    <col min="5" max="5" width="18.42578125" customWidth="1"/>
    <col min="6" max="6" width="16" customWidth="1"/>
    <col min="9" max="9" width="14.7109375" customWidth="1"/>
    <col min="10" max="10" width="12.7109375" customWidth="1"/>
    <col min="11" max="11" width="13.28515625" customWidth="1"/>
    <col min="12" max="12" width="12.7109375" customWidth="1"/>
    <col min="13" max="13" width="14.42578125" customWidth="1"/>
    <col min="14" max="14" width="13.5703125" customWidth="1"/>
    <col min="15" max="15" width="15.7109375" customWidth="1"/>
    <col min="16" max="16" width="22" customWidth="1"/>
    <col min="17" max="17" width="17.7109375" customWidth="1"/>
    <col min="18" max="18" width="18.85546875" customWidth="1"/>
    <col min="19" max="19" width="13" customWidth="1"/>
  </cols>
  <sheetData>
    <row r="1" spans="1:20" x14ac:dyDescent="0.25">
      <c r="A1" t="s">
        <v>276</v>
      </c>
      <c r="B1" t="s">
        <v>277</v>
      </c>
      <c r="C1" t="s">
        <v>278</v>
      </c>
      <c r="D1" t="s">
        <v>279</v>
      </c>
      <c r="E1" t="s">
        <v>280</v>
      </c>
      <c r="F1" t="s">
        <v>281</v>
      </c>
      <c r="G1" t="s">
        <v>282</v>
      </c>
      <c r="H1" t="s">
        <v>283</v>
      </c>
      <c r="I1" t="s">
        <v>284</v>
      </c>
      <c r="J1" t="s">
        <v>285</v>
      </c>
      <c r="K1" t="s">
        <v>286</v>
      </c>
      <c r="L1" t="s">
        <v>287</v>
      </c>
      <c r="M1" t="s">
        <v>288</v>
      </c>
      <c r="N1" t="s">
        <v>289</v>
      </c>
      <c r="O1" t="s">
        <v>290</v>
      </c>
      <c r="P1" t="s">
        <v>291</v>
      </c>
      <c r="Q1" t="s">
        <v>292</v>
      </c>
      <c r="R1" t="s">
        <v>293</v>
      </c>
      <c r="S1" t="s">
        <v>294</v>
      </c>
      <c r="T1" t="s">
        <v>295</v>
      </c>
    </row>
    <row r="2" spans="1:20" x14ac:dyDescent="0.25">
      <c r="A2" t="s">
        <v>0</v>
      </c>
      <c r="B2" t="s">
        <v>253</v>
      </c>
      <c r="C2">
        <v>1</v>
      </c>
      <c r="D2">
        <v>1</v>
      </c>
      <c r="E2" s="24">
        <v>43235.964768518519</v>
      </c>
      <c r="F2" s="24">
        <v>43235.965983796297</v>
      </c>
      <c r="G2" s="24">
        <v>43235.966087962966</v>
      </c>
      <c r="I2">
        <v>174</v>
      </c>
      <c r="J2">
        <v>0</v>
      </c>
      <c r="K2">
        <v>80</v>
      </c>
      <c r="L2">
        <v>63</v>
      </c>
      <c r="M2">
        <v>108456.03</v>
      </c>
      <c r="N2">
        <v>43626.19</v>
      </c>
      <c r="O2">
        <v>66202.210000000006</v>
      </c>
      <c r="P2">
        <v>0</v>
      </c>
      <c r="Q2">
        <v>32485.01</v>
      </c>
      <c r="R2">
        <v>142313.41</v>
      </c>
      <c r="S2">
        <v>109828.4</v>
      </c>
      <c r="T2" s="2" t="str">
        <f>tbl_hojascb_estado_hoy[[#This Row],[empresa]]&amp;tbl_hojascb_estado_hoy[[#This Row],[hoja_cb]]</f>
        <v>AGROTAAccesorios.xlsm</v>
      </c>
    </row>
    <row r="3" spans="1:20" x14ac:dyDescent="0.25">
      <c r="A3" t="s">
        <v>0</v>
      </c>
      <c r="B3" t="s">
        <v>261</v>
      </c>
      <c r="C3">
        <v>1</v>
      </c>
      <c r="D3">
        <v>1</v>
      </c>
      <c r="E3" s="24">
        <v>43234.402349537035</v>
      </c>
      <c r="F3" s="24">
        <v>43234.402986111112</v>
      </c>
      <c r="G3" s="24">
        <v>43234.455914351849</v>
      </c>
      <c r="I3">
        <v>71</v>
      </c>
      <c r="J3">
        <v>0</v>
      </c>
      <c r="K3">
        <v>6</v>
      </c>
      <c r="L3">
        <v>6</v>
      </c>
      <c r="M3">
        <v>4206.5</v>
      </c>
      <c r="N3">
        <v>7227.07</v>
      </c>
      <c r="O3">
        <v>0</v>
      </c>
      <c r="P3">
        <v>0</v>
      </c>
      <c r="Q3">
        <v>0</v>
      </c>
      <c r="R3">
        <v>7227.07</v>
      </c>
      <c r="S3">
        <v>7227.07</v>
      </c>
      <c r="T3" s="2" t="str">
        <f>tbl_hojascb_estado_hoy[[#This Row],[empresa]]&amp;tbl_hojascb_estado_hoy[[#This Row],[hoja_cb]]</f>
        <v>AGROTACAFE MATERIA PRIMA.xlsm</v>
      </c>
    </row>
    <row r="4" spans="1:20" x14ac:dyDescent="0.25">
      <c r="A4" t="s">
        <v>0</v>
      </c>
      <c r="B4" t="s">
        <v>7</v>
      </c>
      <c r="C4">
        <v>1</v>
      </c>
      <c r="D4">
        <v>1</v>
      </c>
      <c r="E4" s="24">
        <v>43233.899895833332</v>
      </c>
      <c r="F4" s="24">
        <v>43233.902037037034</v>
      </c>
      <c r="G4" s="24">
        <v>43234.377569444441</v>
      </c>
      <c r="I4">
        <v>223</v>
      </c>
      <c r="J4">
        <v>0</v>
      </c>
      <c r="K4">
        <v>57</v>
      </c>
      <c r="L4">
        <v>45</v>
      </c>
      <c r="M4">
        <v>887483.71</v>
      </c>
      <c r="N4">
        <v>287836.81</v>
      </c>
      <c r="O4">
        <v>209520.14</v>
      </c>
      <c r="P4">
        <v>0</v>
      </c>
      <c r="Q4">
        <v>1426.24</v>
      </c>
      <c r="R4">
        <v>498783.19</v>
      </c>
      <c r="S4">
        <v>497356.95</v>
      </c>
      <c r="T4" s="2" t="str">
        <f>tbl_hojascb_estado_hoy[[#This Row],[empresa]]&amp;tbl_hojascb_estado_hoy[[#This Row],[hoja_cb]]</f>
        <v>AGROTAControl Buffers.xlsm</v>
      </c>
    </row>
    <row r="5" spans="1:20" x14ac:dyDescent="0.25">
      <c r="A5" t="s">
        <v>0</v>
      </c>
      <c r="B5" t="s">
        <v>250</v>
      </c>
      <c r="C5">
        <v>1</v>
      </c>
      <c r="D5">
        <v>1</v>
      </c>
      <c r="E5" s="24">
        <v>43235.966423611113</v>
      </c>
      <c r="F5" s="24">
        <v>43235.967766203707</v>
      </c>
      <c r="G5" s="24">
        <v>43235.967870370368</v>
      </c>
      <c r="I5">
        <v>228</v>
      </c>
      <c r="J5">
        <v>0</v>
      </c>
      <c r="K5">
        <v>57</v>
      </c>
      <c r="L5">
        <v>45</v>
      </c>
      <c r="M5">
        <v>887483.71</v>
      </c>
      <c r="N5">
        <v>289590.53000000003</v>
      </c>
      <c r="O5">
        <v>209520.14</v>
      </c>
      <c r="P5">
        <v>0</v>
      </c>
      <c r="Q5">
        <v>1426.24</v>
      </c>
      <c r="R5">
        <v>500536.91</v>
      </c>
      <c r="S5">
        <v>499110.67</v>
      </c>
      <c r="T5" s="2" t="str">
        <f>tbl_hojascb_estado_hoy[[#This Row],[empresa]]&amp;tbl_hojascb_estado_hoy[[#This Row],[hoja_cb]]</f>
        <v>AGROTAMaquinas ECHO - SHINDAIWA.xlsm</v>
      </c>
    </row>
    <row r="6" spans="1:20" x14ac:dyDescent="0.25">
      <c r="A6" t="s">
        <v>0</v>
      </c>
      <c r="B6" t="s">
        <v>300</v>
      </c>
      <c r="C6">
        <v>1</v>
      </c>
      <c r="D6">
        <v>1</v>
      </c>
      <c r="E6" s="24">
        <v>43235.968240740738</v>
      </c>
      <c r="F6" s="24">
        <v>43235.97042824074</v>
      </c>
      <c r="G6" s="24">
        <v>43235.970671296294</v>
      </c>
      <c r="I6">
        <v>190</v>
      </c>
      <c r="J6">
        <v>0</v>
      </c>
      <c r="K6">
        <v>1282</v>
      </c>
      <c r="L6">
        <v>1171</v>
      </c>
      <c r="M6">
        <v>99809.44</v>
      </c>
      <c r="N6">
        <v>120477.14</v>
      </c>
      <c r="O6">
        <v>49332.959999999999</v>
      </c>
      <c r="P6">
        <v>0</v>
      </c>
      <c r="Q6">
        <v>2008.49</v>
      </c>
      <c r="R6">
        <v>171818.59</v>
      </c>
      <c r="S6">
        <v>169810.1</v>
      </c>
      <c r="T6" s="2" t="str">
        <f>tbl_hojascb_estado_hoy[[#This Row],[empresa]]&amp;tbl_hojascb_estado_hoy[[#This Row],[hoja_cb]]</f>
        <v>AGROTARepuestos ECHO.xlsm</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dimension ref="F14"/>
  <sheetViews>
    <sheetView showGridLines="0" showRowColHeaders="0" workbookViewId="0">
      <selection activeCell="H12" sqref="H12"/>
    </sheetView>
  </sheetViews>
  <sheetFormatPr baseColWidth="10" defaultRowHeight="15" x14ac:dyDescent="0.25"/>
  <sheetData>
    <row r="14" spans="6:6" x14ac:dyDescent="0.25">
      <c r="F14" s="8"/>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C42"/>
  <sheetViews>
    <sheetView showGridLines="0" workbookViewId="0">
      <selection activeCell="C20" sqref="C20"/>
    </sheetView>
  </sheetViews>
  <sheetFormatPr baseColWidth="10" defaultRowHeight="15" x14ac:dyDescent="0.25"/>
  <cols>
    <col min="1" max="2" width="14.42578125" bestFit="1" customWidth="1"/>
    <col min="3" max="3" width="88.85546875" customWidth="1"/>
  </cols>
  <sheetData>
    <row r="1" spans="1:3" x14ac:dyDescent="0.25">
      <c r="A1" t="s">
        <v>148</v>
      </c>
      <c r="B1" t="s">
        <v>146</v>
      </c>
      <c r="C1" t="s">
        <v>147</v>
      </c>
    </row>
    <row r="2" spans="1:3" x14ac:dyDescent="0.25">
      <c r="A2">
        <f>ROW()-ROW(Indicaciones[[#Headers],[ID]])</f>
        <v>1</v>
      </c>
      <c r="C2" t="s">
        <v>184</v>
      </c>
    </row>
    <row r="3" spans="1:3" x14ac:dyDescent="0.25">
      <c r="A3">
        <f>ROW()-ROW(Indicaciones[[#Headers],[ID]])</f>
        <v>2</v>
      </c>
      <c r="C3" t="s">
        <v>185</v>
      </c>
    </row>
    <row r="4" spans="1:3" x14ac:dyDescent="0.25">
      <c r="A4" s="2">
        <f>ROW()-ROW(Indicaciones[[#Headers],[ID]])</f>
        <v>3</v>
      </c>
      <c r="C4" t="s">
        <v>187</v>
      </c>
    </row>
    <row r="5" spans="1:3" x14ac:dyDescent="0.25">
      <c r="A5" s="2">
        <f>ROW()-ROW(Indicaciones[[#Headers],[ID]])</f>
        <v>4</v>
      </c>
      <c r="C5" t="s">
        <v>149</v>
      </c>
    </row>
    <row r="6" spans="1:3" x14ac:dyDescent="0.25">
      <c r="A6" s="2">
        <f>ROW()-ROW(Indicaciones[[#Headers],[ID]])</f>
        <v>5</v>
      </c>
      <c r="C6" t="s">
        <v>150</v>
      </c>
    </row>
    <row r="7" spans="1:3" x14ac:dyDescent="0.25">
      <c r="A7" s="2">
        <f>ROW()-ROW(Indicaciones[[#Headers],[ID]])</f>
        <v>6</v>
      </c>
      <c r="C7" t="s">
        <v>151</v>
      </c>
    </row>
    <row r="8" spans="1:3" x14ac:dyDescent="0.25">
      <c r="A8" s="2">
        <f>ROW()-ROW(Indicaciones[[#Headers],[ID]])</f>
        <v>7</v>
      </c>
      <c r="C8" t="s">
        <v>188</v>
      </c>
    </row>
    <row r="9" spans="1:3" x14ac:dyDescent="0.25">
      <c r="A9" s="2">
        <f>ROW()-ROW(Indicaciones[[#Headers],[ID]])</f>
        <v>8</v>
      </c>
      <c r="C9" t="s">
        <v>152</v>
      </c>
    </row>
    <row r="10" spans="1:3" x14ac:dyDescent="0.25">
      <c r="A10" s="2">
        <f>ROW()-ROW(Indicaciones[[#Headers],[ID]])</f>
        <v>9</v>
      </c>
      <c r="C10" t="s">
        <v>153</v>
      </c>
    </row>
    <row r="11" spans="1:3" x14ac:dyDescent="0.25">
      <c r="A11" s="2">
        <f>ROW()-ROW(Indicaciones[[#Headers],[ID]])</f>
        <v>10</v>
      </c>
      <c r="C11" t="s">
        <v>176</v>
      </c>
    </row>
    <row r="12" spans="1:3" x14ac:dyDescent="0.25">
      <c r="A12" s="2">
        <f>ROW()-ROW(Indicaciones[[#Headers],[ID]])</f>
        <v>11</v>
      </c>
      <c r="C12" t="s">
        <v>177</v>
      </c>
    </row>
    <row r="13" spans="1:3" x14ac:dyDescent="0.25">
      <c r="A13" s="2">
        <f>ROW()-ROW(Indicaciones[[#Headers],[ID]])</f>
        <v>12</v>
      </c>
      <c r="C13" t="s">
        <v>154</v>
      </c>
    </row>
    <row r="14" spans="1:3" x14ac:dyDescent="0.25">
      <c r="A14" s="2">
        <f>ROW()-ROW(Indicaciones[[#Headers],[ID]])</f>
        <v>13</v>
      </c>
      <c r="C14" t="s">
        <v>155</v>
      </c>
    </row>
    <row r="15" spans="1:3" x14ac:dyDescent="0.25">
      <c r="A15" s="2">
        <f>ROW()-ROW(Indicaciones[[#Headers],[ID]])</f>
        <v>14</v>
      </c>
      <c r="C15" t="s">
        <v>156</v>
      </c>
    </row>
    <row r="16" spans="1:3" x14ac:dyDescent="0.25">
      <c r="A16" s="2">
        <f>ROW()-ROW(Indicaciones[[#Headers],[ID]])</f>
        <v>15</v>
      </c>
      <c r="C16" t="s">
        <v>157</v>
      </c>
    </row>
    <row r="17" spans="1:3" x14ac:dyDescent="0.25">
      <c r="A17" s="2">
        <f>ROW()-ROW(Indicaciones[[#Headers],[ID]])</f>
        <v>16</v>
      </c>
      <c r="C17" t="s">
        <v>158</v>
      </c>
    </row>
    <row r="18" spans="1:3" x14ac:dyDescent="0.25">
      <c r="A18" s="2">
        <f>ROW()-ROW(Indicaciones[[#Headers],[ID]])</f>
        <v>17</v>
      </c>
      <c r="C18" t="s">
        <v>191</v>
      </c>
    </row>
    <row r="19" spans="1:3" x14ac:dyDescent="0.25">
      <c r="A19" s="2">
        <f>ROW()-ROW(Indicaciones[[#Headers],[ID]])</f>
        <v>18</v>
      </c>
      <c r="C19" t="s">
        <v>159</v>
      </c>
    </row>
    <row r="20" spans="1:3" x14ac:dyDescent="0.25">
      <c r="A20" s="2">
        <f>ROW()-ROW(Indicaciones[[#Headers],[ID]])</f>
        <v>19</v>
      </c>
      <c r="C20" t="s">
        <v>160</v>
      </c>
    </row>
    <row r="21" spans="1:3" x14ac:dyDescent="0.25">
      <c r="A21" s="2">
        <f>ROW()-ROW(Indicaciones[[#Headers],[ID]])</f>
        <v>20</v>
      </c>
      <c r="C21" t="s">
        <v>161</v>
      </c>
    </row>
    <row r="22" spans="1:3" x14ac:dyDescent="0.25">
      <c r="A22" s="2">
        <f>ROW()-ROW(Indicaciones[[#Headers],[ID]])</f>
        <v>21</v>
      </c>
      <c r="C22" t="s">
        <v>162</v>
      </c>
    </row>
    <row r="23" spans="1:3" x14ac:dyDescent="0.25">
      <c r="A23" s="2">
        <f>ROW()-ROW(Indicaciones[[#Headers],[ID]])</f>
        <v>22</v>
      </c>
      <c r="C23" t="s">
        <v>163</v>
      </c>
    </row>
    <row r="24" spans="1:3" x14ac:dyDescent="0.25">
      <c r="A24" s="2">
        <f>ROW()-ROW(Indicaciones[[#Headers],[ID]])</f>
        <v>23</v>
      </c>
      <c r="C24" t="s">
        <v>164</v>
      </c>
    </row>
    <row r="25" spans="1:3" x14ac:dyDescent="0.25">
      <c r="A25" s="2">
        <f>ROW()-ROW(Indicaciones[[#Headers],[ID]])</f>
        <v>24</v>
      </c>
      <c r="C25" t="s">
        <v>165</v>
      </c>
    </row>
    <row r="26" spans="1:3" x14ac:dyDescent="0.25">
      <c r="A26" s="2">
        <f>ROW()-ROW(Indicaciones[[#Headers],[ID]])</f>
        <v>25</v>
      </c>
      <c r="C26" t="s">
        <v>166</v>
      </c>
    </row>
    <row r="27" spans="1:3" x14ac:dyDescent="0.25">
      <c r="A27" s="2">
        <f>ROW()-ROW(Indicaciones[[#Headers],[ID]])</f>
        <v>26</v>
      </c>
      <c r="C27" t="s">
        <v>167</v>
      </c>
    </row>
    <row r="28" spans="1:3" x14ac:dyDescent="0.25">
      <c r="A28" s="2">
        <f>ROW()-ROW(Indicaciones[[#Headers],[ID]])</f>
        <v>27</v>
      </c>
      <c r="C28" t="s">
        <v>168</v>
      </c>
    </row>
    <row r="29" spans="1:3" x14ac:dyDescent="0.25">
      <c r="A29" s="2">
        <f>ROW()-ROW(Indicaciones[[#Headers],[ID]])</f>
        <v>28</v>
      </c>
      <c r="C29" t="s">
        <v>169</v>
      </c>
    </row>
    <row r="30" spans="1:3" x14ac:dyDescent="0.25">
      <c r="A30" s="2">
        <f>ROW()-ROW(Indicaciones[[#Headers],[ID]])</f>
        <v>29</v>
      </c>
      <c r="C30" t="s">
        <v>170</v>
      </c>
    </row>
    <row r="31" spans="1:3" x14ac:dyDescent="0.25">
      <c r="A31" s="2">
        <f>ROW()-ROW(Indicaciones[[#Headers],[ID]])</f>
        <v>30</v>
      </c>
      <c r="C31" t="s">
        <v>171</v>
      </c>
    </row>
    <row r="32" spans="1:3" x14ac:dyDescent="0.25">
      <c r="A32" s="2">
        <f>ROW()-ROW(Indicaciones[[#Headers],[ID]])</f>
        <v>31</v>
      </c>
      <c r="C32" t="s">
        <v>172</v>
      </c>
    </row>
    <row r="33" spans="1:3" x14ac:dyDescent="0.25">
      <c r="A33" s="2">
        <f>ROW()-ROW(Indicaciones[[#Headers],[ID]])</f>
        <v>32</v>
      </c>
      <c r="C33" t="s">
        <v>173</v>
      </c>
    </row>
    <row r="34" spans="1:3" x14ac:dyDescent="0.25">
      <c r="A34" s="2">
        <f>ROW()-ROW(Indicaciones[[#Headers],[ID]])</f>
        <v>33</v>
      </c>
      <c r="C34" t="s">
        <v>174</v>
      </c>
    </row>
    <row r="35" spans="1:3" x14ac:dyDescent="0.25">
      <c r="A35" s="2">
        <f>ROW()-ROW(Indicaciones[[#Headers],[ID]])</f>
        <v>34</v>
      </c>
      <c r="C35" t="s">
        <v>175</v>
      </c>
    </row>
    <row r="36" spans="1:3" x14ac:dyDescent="0.25">
      <c r="A36" s="2">
        <f>ROW()-ROW(Indicaciones[[#Headers],[ID]])</f>
        <v>35</v>
      </c>
      <c r="C36" t="s">
        <v>178</v>
      </c>
    </row>
    <row r="37" spans="1:3" x14ac:dyDescent="0.25">
      <c r="A37" s="2">
        <f>ROW()-ROW(Indicaciones[[#Headers],[ID]])</f>
        <v>36</v>
      </c>
      <c r="C37" t="s">
        <v>179</v>
      </c>
    </row>
    <row r="38" spans="1:3" x14ac:dyDescent="0.25">
      <c r="A38" s="2">
        <f>ROW()-ROW(Indicaciones[[#Headers],[ID]])</f>
        <v>37</v>
      </c>
      <c r="C38" t="s">
        <v>180</v>
      </c>
    </row>
    <row r="39" spans="1:3" x14ac:dyDescent="0.25">
      <c r="A39" s="2">
        <f>ROW()-ROW(Indicaciones[[#Headers],[ID]])</f>
        <v>38</v>
      </c>
      <c r="C39" t="s">
        <v>181</v>
      </c>
    </row>
    <row r="40" spans="1:3" x14ac:dyDescent="0.25">
      <c r="A40" s="2">
        <f>ROW()-ROW(Indicaciones[[#Headers],[ID]])</f>
        <v>39</v>
      </c>
      <c r="C40" t="s">
        <v>182</v>
      </c>
    </row>
    <row r="41" spans="1:3" x14ac:dyDescent="0.25">
      <c r="A41" s="2">
        <f>ROW()-ROW(Indicaciones[[#Headers],[ID]])</f>
        <v>40</v>
      </c>
      <c r="C41" t="s">
        <v>183</v>
      </c>
    </row>
    <row r="42" spans="1:3" x14ac:dyDescent="0.25">
      <c r="A42" s="2">
        <f>ROW()-ROW(Indicaciones[[#Headers],[ID]])</f>
        <v>41</v>
      </c>
      <c r="C42" t="s">
        <v>186</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
  <sheetViews>
    <sheetView showGridLines="0" workbookViewId="0">
      <selection activeCell="E14" sqref="E14"/>
    </sheetView>
  </sheetViews>
  <sheetFormatPr baseColWidth="10" defaultRowHeight="15" x14ac:dyDescent="0.25"/>
  <sheetData/>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20834" r:id="rId4" name="btnSalir">
              <controlPr defaultSize="0" print="0" autoFill="0" autoPict="0" macro="[0]!Cerrar_CCB">
                <anchor moveWithCells="1" sizeWithCells="1">
                  <from>
                    <xdr:col>1</xdr:col>
                    <xdr:colOff>19050</xdr:colOff>
                    <xdr:row>4</xdr:row>
                    <xdr:rowOff>85725</xdr:rowOff>
                  </from>
                  <to>
                    <xdr:col>2</xdr:col>
                    <xdr:colOff>495300</xdr:colOff>
                    <xdr:row>7</xdr:row>
                    <xdr:rowOff>38100</xdr:rowOff>
                  </to>
                </anchor>
              </controlPr>
            </control>
          </mc:Choice>
        </mc:AlternateContent>
        <mc:AlternateContent xmlns:mc="http://schemas.openxmlformats.org/markup-compatibility/2006">
          <mc:Choice Requires="x14">
            <control shapeId="120835" r:id="rId5" name="btnSalir">
              <controlPr defaultSize="0" print="0" autoFill="0" autoPict="0" macro="[0]!Botón2_Haga_clic_en">
                <anchor moveWithCells="1" sizeWithCells="1">
                  <from>
                    <xdr:col>1</xdr:col>
                    <xdr:colOff>19050</xdr:colOff>
                    <xdr:row>1</xdr:row>
                    <xdr:rowOff>47625</xdr:rowOff>
                  </from>
                  <to>
                    <xdr:col>2</xdr:col>
                    <xdr:colOff>495300</xdr:colOff>
                    <xdr:row>4</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4"/>
  <sheetViews>
    <sheetView showGridLines="0" zoomScale="80" zoomScaleNormal="80" workbookViewId="0">
      <selection activeCell="C26" sqref="C26"/>
    </sheetView>
  </sheetViews>
  <sheetFormatPr baseColWidth="10" defaultRowHeight="15" x14ac:dyDescent="0.25"/>
  <sheetData>
    <row r="1" spans="1:1" ht="28.5" customHeight="1" x14ac:dyDescent="0.3">
      <c r="A1" s="27" t="s">
        <v>112</v>
      </c>
    </row>
    <row r="24" spans="3:4" x14ac:dyDescent="0.25">
      <c r="C24">
        <v>1</v>
      </c>
      <c r="D24" t="s">
        <v>113</v>
      </c>
    </row>
    <row r="25" spans="3:4" x14ac:dyDescent="0.25">
      <c r="C25">
        <v>2</v>
      </c>
      <c r="D25" t="s">
        <v>114</v>
      </c>
    </row>
    <row r="26" spans="3:4" x14ac:dyDescent="0.25">
      <c r="C26">
        <v>3</v>
      </c>
      <c r="D26" t="s">
        <v>124</v>
      </c>
    </row>
    <row r="27" spans="3:4" x14ac:dyDescent="0.25">
      <c r="C27">
        <v>4</v>
      </c>
      <c r="D27" t="s">
        <v>115</v>
      </c>
    </row>
    <row r="28" spans="3:4" x14ac:dyDescent="0.25">
      <c r="C28">
        <v>5</v>
      </c>
      <c r="D28" t="s">
        <v>116</v>
      </c>
    </row>
    <row r="29" spans="3:4" x14ac:dyDescent="0.25">
      <c r="C29">
        <v>6</v>
      </c>
      <c r="D29" t="s">
        <v>117</v>
      </c>
    </row>
    <row r="30" spans="3:4" x14ac:dyDescent="0.25">
      <c r="C30">
        <v>7</v>
      </c>
      <c r="D30" t="s">
        <v>118</v>
      </c>
    </row>
    <row r="31" spans="3:4" x14ac:dyDescent="0.25">
      <c r="C31">
        <v>8</v>
      </c>
      <c r="D31" t="s">
        <v>119</v>
      </c>
    </row>
    <row r="32" spans="3:4" x14ac:dyDescent="0.25">
      <c r="C32">
        <v>9</v>
      </c>
      <c r="D32" t="s">
        <v>120</v>
      </c>
    </row>
    <row r="33" spans="3:4" x14ac:dyDescent="0.25">
      <c r="C33">
        <v>10</v>
      </c>
      <c r="D33" t="s">
        <v>121</v>
      </c>
    </row>
    <row r="34" spans="3:4" x14ac:dyDescent="0.25">
      <c r="C34">
        <v>10.1</v>
      </c>
      <c r="D34" t="s">
        <v>143</v>
      </c>
    </row>
    <row r="35" spans="3:4" x14ac:dyDescent="0.25">
      <c r="C35">
        <v>10.199999999999999</v>
      </c>
      <c r="D35" t="s">
        <v>189</v>
      </c>
    </row>
    <row r="36" spans="3:4" x14ac:dyDescent="0.25">
      <c r="C36">
        <v>11</v>
      </c>
      <c r="D36" t="s">
        <v>122</v>
      </c>
    </row>
    <row r="37" spans="3:4" x14ac:dyDescent="0.25">
      <c r="C37">
        <v>12</v>
      </c>
      <c r="D37" t="s">
        <v>125</v>
      </c>
    </row>
    <row r="38" spans="3:4" x14ac:dyDescent="0.25">
      <c r="C38">
        <v>13</v>
      </c>
      <c r="D38" t="s">
        <v>126</v>
      </c>
    </row>
    <row r="39" spans="3:4" x14ac:dyDescent="0.25">
      <c r="C39">
        <v>14</v>
      </c>
      <c r="D39" t="s">
        <v>127</v>
      </c>
    </row>
    <row r="40" spans="3:4" x14ac:dyDescent="0.25">
      <c r="C40">
        <v>15</v>
      </c>
      <c r="D40" t="s">
        <v>128</v>
      </c>
    </row>
    <row r="41" spans="3:4" x14ac:dyDescent="0.25">
      <c r="C41">
        <v>16</v>
      </c>
      <c r="D41" t="s">
        <v>129</v>
      </c>
    </row>
    <row r="42" spans="3:4" x14ac:dyDescent="0.25">
      <c r="C42">
        <v>17</v>
      </c>
      <c r="D42" t="s">
        <v>130</v>
      </c>
    </row>
    <row r="43" spans="3:4" x14ac:dyDescent="0.25">
      <c r="C43">
        <v>18</v>
      </c>
      <c r="D43" t="s">
        <v>131</v>
      </c>
    </row>
    <row r="44" spans="3:4" x14ac:dyDescent="0.25">
      <c r="C44">
        <v>19</v>
      </c>
      <c r="D44" t="s">
        <v>132</v>
      </c>
    </row>
    <row r="45" spans="3:4" x14ac:dyDescent="0.25">
      <c r="C45">
        <v>20</v>
      </c>
      <c r="D45" t="s">
        <v>134</v>
      </c>
    </row>
    <row r="46" spans="3:4" x14ac:dyDescent="0.25">
      <c r="C46">
        <v>21</v>
      </c>
      <c r="D46" t="s">
        <v>133</v>
      </c>
    </row>
    <row r="47" spans="3:4" x14ac:dyDescent="0.25">
      <c r="C47">
        <v>22</v>
      </c>
      <c r="D47" t="s">
        <v>135</v>
      </c>
    </row>
    <row r="48" spans="3:4" x14ac:dyDescent="0.25">
      <c r="C48">
        <v>23</v>
      </c>
      <c r="D48" t="s">
        <v>136</v>
      </c>
    </row>
    <row r="49" spans="3:4" x14ac:dyDescent="0.25">
      <c r="C49">
        <v>24</v>
      </c>
      <c r="D49" t="s">
        <v>137</v>
      </c>
    </row>
    <row r="50" spans="3:4" x14ac:dyDescent="0.25">
      <c r="C50">
        <v>25</v>
      </c>
      <c r="D50" t="s">
        <v>138</v>
      </c>
    </row>
    <row r="51" spans="3:4" x14ac:dyDescent="0.25">
      <c r="C51">
        <v>26</v>
      </c>
      <c r="D51" t="s">
        <v>140</v>
      </c>
    </row>
    <row r="52" spans="3:4" x14ac:dyDescent="0.25">
      <c r="C52">
        <v>27</v>
      </c>
      <c r="D52" t="s">
        <v>141</v>
      </c>
    </row>
    <row r="53" spans="3:4" x14ac:dyDescent="0.25">
      <c r="C53">
        <v>28</v>
      </c>
      <c r="D53" t="s">
        <v>139</v>
      </c>
    </row>
    <row r="54" spans="3:4" x14ac:dyDescent="0.25">
      <c r="C54">
        <v>29</v>
      </c>
      <c r="D54" t="s">
        <v>190</v>
      </c>
    </row>
  </sheetData>
  <sheetProtection sort="0" autoFilter="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6222" r:id="rId3" name="cmd_Centrocontrol_de_ayuda">
              <controlPr defaultSize="0" print="0" autoFill="0" autoPict="0" macro="[0]!Abre_Centrocontrol_de_Ayuda">
                <anchor>
                  <from>
                    <xdr:col>1</xdr:col>
                    <xdr:colOff>666750</xdr:colOff>
                    <xdr:row>0</xdr:row>
                    <xdr:rowOff>47625</xdr:rowOff>
                  </from>
                  <to>
                    <xdr:col>2</xdr:col>
                    <xdr:colOff>609600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V5"/>
  <sheetViews>
    <sheetView showGridLines="0" workbookViewId="0">
      <pane xSplit="6" ySplit="1" topLeftCell="K2" activePane="bottomRight" state="frozen"/>
      <selection pane="topRight" activeCell="G1" sqref="G1"/>
      <selection pane="bottomLeft" activeCell="A2" sqref="A2"/>
      <selection pane="bottomRight" activeCell="B1" sqref="B1"/>
    </sheetView>
  </sheetViews>
  <sheetFormatPr baseColWidth="10" defaultRowHeight="15" x14ac:dyDescent="0.25"/>
  <cols>
    <col min="1" max="1" width="7.85546875" customWidth="1"/>
    <col min="2" max="2" width="13.42578125" customWidth="1"/>
    <col min="3" max="3" width="35.85546875" customWidth="1"/>
    <col min="4" max="4" width="13.85546875" customWidth="1"/>
    <col min="5" max="6" width="11.7109375" customWidth="1"/>
    <col min="7" max="8" width="16.7109375" bestFit="1" customWidth="1"/>
    <col min="9" max="9" width="15.28515625" bestFit="1" customWidth="1"/>
    <col min="10" max="10" width="50.140625" customWidth="1"/>
    <col min="11" max="11" width="11.42578125" customWidth="1"/>
    <col min="12" max="12" width="12.5703125" customWidth="1"/>
    <col min="13" max="13" width="14.42578125" customWidth="1"/>
    <col min="14" max="14" width="13.42578125" customWidth="1"/>
    <col min="15" max="15" width="17.5703125" customWidth="1"/>
    <col min="16" max="16" width="15.140625" customWidth="1"/>
    <col min="17" max="17" width="16.28515625" customWidth="1"/>
    <col min="20" max="20" width="11.85546875" bestFit="1" customWidth="1"/>
  </cols>
  <sheetData>
    <row r="1" spans="2:22" ht="30" x14ac:dyDescent="0.25">
      <c r="B1" s="21" t="s">
        <v>5</v>
      </c>
      <c r="C1" s="21" t="s">
        <v>89</v>
      </c>
      <c r="D1" s="21" t="s">
        <v>90</v>
      </c>
      <c r="E1" s="21" t="s">
        <v>102</v>
      </c>
      <c r="F1" s="21" t="s">
        <v>192</v>
      </c>
      <c r="G1" s="21" t="s">
        <v>93</v>
      </c>
      <c r="H1" s="21" t="s">
        <v>94</v>
      </c>
      <c r="I1" s="21" t="s">
        <v>91</v>
      </c>
      <c r="J1" s="21" t="s">
        <v>111</v>
      </c>
      <c r="K1" s="21" t="s">
        <v>95</v>
      </c>
      <c r="L1" s="21" t="s">
        <v>101</v>
      </c>
      <c r="M1" s="21" t="s">
        <v>97</v>
      </c>
      <c r="N1" s="21" t="s">
        <v>96</v>
      </c>
      <c r="O1" s="21" t="s">
        <v>98</v>
      </c>
      <c r="P1" s="21" t="s">
        <v>99</v>
      </c>
      <c r="Q1" s="21" t="s">
        <v>100</v>
      </c>
    </row>
    <row r="2" spans="2:22" x14ac:dyDescent="0.25">
      <c r="B2" t="s">
        <v>0</v>
      </c>
      <c r="C2" t="s">
        <v>300</v>
      </c>
      <c r="D2" s="6">
        <v>1</v>
      </c>
      <c r="E2" s="6" t="s">
        <v>104</v>
      </c>
      <c r="F2" s="6">
        <v>1</v>
      </c>
      <c r="G2" s="26">
        <v>43235.968240740738</v>
      </c>
      <c r="H2" s="26">
        <v>43235.97042824074</v>
      </c>
      <c r="I2" s="25">
        <f>tbl_Fechas_Refrescado[[#This Row],[FIN]]-tbl_Fechas_Refrescado[[#This Row],[INICIO]]</f>
        <v>2.1875000020372681E-3</v>
      </c>
      <c r="J2" s="25"/>
      <c r="K2" s="22">
        <v>190</v>
      </c>
      <c r="L2" s="22">
        <v>0</v>
      </c>
      <c r="M2" s="22">
        <v>1282</v>
      </c>
      <c r="N2" s="22">
        <v>1171</v>
      </c>
      <c r="O2" s="23">
        <v>99809</v>
      </c>
      <c r="P2" s="23">
        <v>120477</v>
      </c>
      <c r="Q2" s="23">
        <v>49333</v>
      </c>
      <c r="V2" s="24"/>
    </row>
    <row r="3" spans="2:22" x14ac:dyDescent="0.25">
      <c r="B3" t="s">
        <v>0</v>
      </c>
      <c r="C3" t="s">
        <v>250</v>
      </c>
      <c r="D3" s="6">
        <v>1</v>
      </c>
      <c r="E3" s="6" t="s">
        <v>104</v>
      </c>
      <c r="F3" s="6">
        <v>1</v>
      </c>
      <c r="G3" s="26">
        <v>43235.966423611113</v>
      </c>
      <c r="H3" s="26">
        <v>43235.967766203707</v>
      </c>
      <c r="I3" s="25">
        <f>tbl_Fechas_Refrescado[[#This Row],[FIN]]-tbl_Fechas_Refrescado[[#This Row],[INICIO]]</f>
        <v>1.3425925935734995E-3</v>
      </c>
      <c r="J3" s="25"/>
      <c r="K3" s="22">
        <v>228</v>
      </c>
      <c r="L3" s="22">
        <v>0</v>
      </c>
      <c r="M3" s="22">
        <v>57</v>
      </c>
      <c r="N3" s="22">
        <v>45</v>
      </c>
      <c r="O3" s="23">
        <v>887484</v>
      </c>
      <c r="P3" s="23">
        <v>289591</v>
      </c>
      <c r="Q3" s="23">
        <v>209520</v>
      </c>
    </row>
    <row r="4" spans="2:22" x14ac:dyDescent="0.25">
      <c r="B4" t="s">
        <v>0</v>
      </c>
      <c r="C4" t="s">
        <v>253</v>
      </c>
      <c r="D4" s="6">
        <v>1</v>
      </c>
      <c r="E4" s="6" t="s">
        <v>104</v>
      </c>
      <c r="F4" s="6">
        <v>1</v>
      </c>
      <c r="G4" s="26">
        <v>43235.964768518519</v>
      </c>
      <c r="H4" s="26">
        <v>43235.965983796297</v>
      </c>
      <c r="I4" s="25">
        <f>tbl_Fechas_Refrescado[[#This Row],[FIN]]-tbl_Fechas_Refrescado[[#This Row],[INICIO]]</f>
        <v>1.2152777781011537E-3</v>
      </c>
      <c r="J4" s="25"/>
      <c r="K4" s="22">
        <v>174</v>
      </c>
      <c r="L4" s="22">
        <v>0</v>
      </c>
      <c r="M4" s="22">
        <v>80</v>
      </c>
      <c r="N4" s="22">
        <v>63</v>
      </c>
      <c r="O4" s="23">
        <v>108456</v>
      </c>
      <c r="P4" s="23">
        <v>43626</v>
      </c>
      <c r="Q4" s="23">
        <v>66202</v>
      </c>
    </row>
    <row r="5" spans="2:22" x14ac:dyDescent="0.25">
      <c r="B5" t="s">
        <v>105</v>
      </c>
      <c r="C5" s="6">
        <f>SUBTOTAL(103,tbl_Fechas_Refrescado[HOJA CB])</f>
        <v>3</v>
      </c>
      <c r="D5" s="6"/>
      <c r="E5" s="6"/>
      <c r="F5" s="6"/>
      <c r="G5" s="26">
        <f>SUBTOTAL(105,tbl_Fechas_Refrescado[INICIO])</f>
        <v>43235.964768518519</v>
      </c>
      <c r="H5" s="26">
        <f>SUBTOTAL(104,tbl_Fechas_Refrescado[FIN])</f>
        <v>43235.97042824074</v>
      </c>
      <c r="I5" s="25">
        <f>SUBTOTAL(109,tbl_Fechas_Refrescado[DURACIÓN])</f>
        <v>4.7453703737119213E-3</v>
      </c>
      <c r="J5" s="25"/>
      <c r="K5" s="6">
        <f>SUBTOTAL(104,tbl_Fechas_Refrescado[DIAS PERIODO])</f>
        <v>228</v>
      </c>
      <c r="L5" s="6">
        <f>SUBTOTAL(109,tbl_Fechas_Refrescado[DUPLICADOS])</f>
        <v>0</v>
      </c>
      <c r="M5" s="6">
        <f>SUBTOTAL(109,tbl_Fechas_Refrescado[SKUs Totales])</f>
        <v>1419</v>
      </c>
      <c r="N5" s="6">
        <f>SUBTOTAL(109,tbl_Fechas_Refrescado[SKUs Buffer])</f>
        <v>1279</v>
      </c>
      <c r="O5" s="23">
        <f>SUBTOTAL(109,tbl_Fechas_Refrescado[COSTO BUFFER])</f>
        <v>1095749</v>
      </c>
      <c r="P5" s="23">
        <f>SUBTOTAL(109,tbl_Fechas_Refrescado[COSTO FISICO])</f>
        <v>453694</v>
      </c>
      <c r="Q5" s="23">
        <f>SUBTOTAL(109,tbl_Fechas_Refrescado[COSTO TRANSITO])</f>
        <v>325055</v>
      </c>
    </row>
  </sheetData>
  <sheetProtection sort="0" autoFilter="0"/>
  <conditionalFormatting sqref="B2:Q4">
    <cfRule type="expression" dxfId="17" priority="2">
      <formula>$L2&lt;&gt;0</formula>
    </cfRule>
    <cfRule type="expression" dxfId="16" priority="3">
      <formula>OR(AND($D2=1,(DATE(YEAR($H2),MONTH($H2),DAY($H2)))&lt;&gt;TODAY()),$D2=0,$F2=0)</formula>
    </cfRule>
  </conditionalFormatting>
  <conditionalFormatting sqref="E2:F4">
    <cfRule type="expression" dxfId="15"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171450</xdr:colOff>
                <xdr:row>0</xdr:row>
                <xdr:rowOff>371475</xdr:rowOff>
              </to>
            </anchor>
          </controlPr>
        </control>
      </mc:Choice>
      <mc:Fallback>
        <control shapeId="27649" r:id="rId4" name="cmdVolver"/>
      </mc:Fallback>
    </mc:AlternateContent>
  </controls>
  <tableParts count="1">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D:\Documents RAMCAS\RAM CAS\MEJORA CONTINUA\</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3"/>
  <sheetViews>
    <sheetView showGridLines="0" workbookViewId="0">
      <selection activeCell="A2" sqref="A2"/>
    </sheetView>
  </sheetViews>
  <sheetFormatPr baseColWidth="10" defaultColWidth="11.42578125" defaultRowHeight="15" x14ac:dyDescent="0.25"/>
  <cols>
    <col min="1" max="1" width="18.140625" bestFit="1" customWidth="1"/>
  </cols>
  <sheetData>
    <row r="1" spans="1:1" x14ac:dyDescent="0.25">
      <c r="A1" t="s">
        <v>56</v>
      </c>
    </row>
    <row r="2" spans="1:1" x14ac:dyDescent="0.25">
      <c r="A2" t="s">
        <v>0</v>
      </c>
    </row>
    <row r="3" spans="1:1" x14ac:dyDescent="0.25">
      <c r="A3" t="s">
        <v>28</v>
      </c>
    </row>
  </sheetData>
  <sheetProtection sort="0" autoFilter="0"/>
  <pageMargins left="0.7" right="0.7" top="0.75" bottom="0.75" header="0.3" footer="0.3"/>
  <pageSetup paperSize="9" orientation="portrait" horizontalDpi="0" verticalDpi="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5</v>
      </c>
      <c r="B1" t="s">
        <v>6</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14" priority="5">
      <formula>ISBLANK(A2)</formula>
    </cfRule>
  </conditionalFormatting>
  <conditionalFormatting sqref="A2">
    <cfRule type="expression" dxfId="13"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0"/>
  <sheetViews>
    <sheetView showGridLines="0" zoomScale="90" zoomScaleNormal="90" workbookViewId="0">
      <selection activeCell="C1" sqref="C1"/>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2</v>
      </c>
      <c r="B1" t="s">
        <v>5</v>
      </c>
      <c r="C1" t="s">
        <v>3</v>
      </c>
      <c r="D1" t="s">
        <v>4</v>
      </c>
      <c r="E1" t="s">
        <v>8</v>
      </c>
      <c r="F1" t="s">
        <v>32</v>
      </c>
    </row>
    <row r="2" spans="1:6" x14ac:dyDescent="0.25">
      <c r="A2" s="9">
        <v>12</v>
      </c>
      <c r="B2" t="s">
        <v>1</v>
      </c>
      <c r="C2" t="s">
        <v>46</v>
      </c>
      <c r="D2" t="s">
        <v>15</v>
      </c>
      <c r="E2" s="3" t="str">
        <f>ARCHIVOSCB[[#This Row],[DIRECTORIO]]&amp;"\"&amp;ARCHIVOSCB[[#This Row],[ARCHIVO]]</f>
        <v>C:\RAM CAS\MEJORA CONTINUA\CONTROL DE BUFFERS\AGROINSUMOS\MATERIAPRIMA\COMPRAS-LOCALES.xlsm</v>
      </c>
      <c r="F2">
        <v>17</v>
      </c>
    </row>
    <row r="3" spans="1:6" x14ac:dyDescent="0.25">
      <c r="A3" s="6">
        <v>14</v>
      </c>
      <c r="B3" t="s">
        <v>1</v>
      </c>
      <c r="C3" t="s">
        <v>46</v>
      </c>
      <c r="D3" t="s">
        <v>16</v>
      </c>
      <c r="E3" s="3" t="str">
        <f>ARCHIVOSCB[[#This Row],[DIRECTORIO]]&amp;"\"&amp;ARCHIVOSCB[[#This Row],[ARCHIVO]]</f>
        <v>C:\RAM CAS\MEJORA CONTINUA\CONTROL DE BUFFERS\AGROINSUMOS\MATERIAPRIMA\IMPORTACIONES.xlsm</v>
      </c>
      <c r="F3">
        <v>19</v>
      </c>
    </row>
    <row r="4" spans="1:6" x14ac:dyDescent="0.25">
      <c r="A4" s="6">
        <v>15</v>
      </c>
      <c r="B4" t="s">
        <v>1</v>
      </c>
      <c r="C4" t="s">
        <v>34</v>
      </c>
      <c r="D4" t="s">
        <v>7</v>
      </c>
      <c r="E4" s="3" t="str">
        <f>ARCHIVOSCB[[#This Row],[DIRECTORIO]]&amp;"\"&amp;ARCHIVOSCB[[#This Row],[ARCHIVO]]</f>
        <v>C:\RAM CAS\MEJORA CONTINUA\CONTROL DE BUFFERS\AGROINSUMOS\CENTRAL\Control Buffers.xlsm</v>
      </c>
      <c r="F4">
        <v>26</v>
      </c>
    </row>
    <row r="5" spans="1:6" x14ac:dyDescent="0.25">
      <c r="A5" s="6">
        <v>21</v>
      </c>
      <c r="B5" t="s">
        <v>1</v>
      </c>
      <c r="C5" t="s">
        <v>35</v>
      </c>
      <c r="D5" t="s">
        <v>7</v>
      </c>
      <c r="E5" s="3" t="str">
        <f>ARCHIVOSCB[[#This Row],[DIRECTORIO]]&amp;"\"&amp;ARCHIVOSCB[[#This Row],[ARCHIVO]]</f>
        <v>C:\RAM CAS\MEJORA CONTINUA\CONTROL DE BUFFERS\AGROINSUMOS\AGRONUEVO\Control Buffers.xlsm</v>
      </c>
      <c r="F5">
        <v>37</v>
      </c>
    </row>
    <row r="6" spans="1:6" x14ac:dyDescent="0.25">
      <c r="A6" s="6">
        <v>22</v>
      </c>
      <c r="B6" t="s">
        <v>1</v>
      </c>
      <c r="C6" t="s">
        <v>36</v>
      </c>
      <c r="D6" t="s">
        <v>7</v>
      </c>
      <c r="E6" s="3" t="str">
        <f>ARCHIVOSCB[[#This Row],[DIRECTORIO]]&amp;"\"&amp;ARCHIVOSCB[[#This Row],[ARCHIVO]]</f>
        <v>C:\RAM CAS\MEJORA CONTINUA\CONTROL DE BUFFERS\AGROINSUMOS\AGROHERMANOSLEON\Control Buffers.xlsm</v>
      </c>
      <c r="F6">
        <v>38</v>
      </c>
    </row>
    <row r="7" spans="1:6" x14ac:dyDescent="0.25">
      <c r="A7" s="6">
        <v>23</v>
      </c>
      <c r="B7" t="s">
        <v>1</v>
      </c>
      <c r="C7" t="s">
        <v>37</v>
      </c>
      <c r="D7" t="s">
        <v>7</v>
      </c>
      <c r="E7" s="3" t="str">
        <f>ARCHIVOSCB[[#This Row],[DIRECTORIO]]&amp;"\"&amp;ARCHIVOSCB[[#This Row],[ARCHIVO]]</f>
        <v>C:\RAM CAS\MEJORA CONTINUA\CONTROL DE BUFFERS\AGROINSUMOS\MONCAYOLOPEZ\Control Buffers.xlsm</v>
      </c>
      <c r="F7">
        <v>34</v>
      </c>
    </row>
    <row r="8" spans="1:6" x14ac:dyDescent="0.25">
      <c r="A8" s="6">
        <v>28</v>
      </c>
      <c r="B8" t="s">
        <v>1</v>
      </c>
      <c r="C8" t="s">
        <v>38</v>
      </c>
      <c r="D8" t="s">
        <v>7</v>
      </c>
      <c r="E8" s="3" t="str">
        <f>ARCHIVOSCB[[#This Row],[DIRECTORIO]]&amp;"\"&amp;ARCHIVOSCB[[#This Row],[ARCHIVO]]</f>
        <v>C:\RAM CAS\MEJORA CONTINUA\CONTROL DE BUFFERS\AGROINSUMOS\LAFINCA\Control Buffers.xlsm</v>
      </c>
      <c r="F8">
        <v>43</v>
      </c>
    </row>
    <row r="9" spans="1:6" x14ac:dyDescent="0.25">
      <c r="A9" s="6">
        <v>36</v>
      </c>
      <c r="B9" t="s">
        <v>1</v>
      </c>
      <c r="C9" t="s">
        <v>39</v>
      </c>
      <c r="D9" t="s">
        <v>7</v>
      </c>
      <c r="E9" s="3" t="str">
        <f>ARCHIVOSCB[[#This Row],[DIRECTORIO]]&amp;"\"&amp;ARCHIVOSCB[[#This Row],[ARCHIVO]]</f>
        <v>C:\RAM CAS\MEJORA CONTINUA\CONTROL DE BUFFERS\AGROINSUMOS\EIGUANCHI\Control Buffers.xlsm</v>
      </c>
      <c r="F9">
        <v>51</v>
      </c>
    </row>
    <row r="10" spans="1:6" x14ac:dyDescent="0.25">
      <c r="A10" s="6">
        <v>1</v>
      </c>
      <c r="B10" t="s">
        <v>0</v>
      </c>
      <c r="C10" t="s">
        <v>33</v>
      </c>
      <c r="D10" t="s">
        <v>47</v>
      </c>
      <c r="E10" s="3" t="str">
        <f>ARCHIVOSCB[[#This Row],[DIRECTORIO]]&amp;"\"&amp;ARCHIVOSCB[[#This Row],[ARCHIVO]]</f>
        <v>C:\RAM CAS\MEJORA CONTINUA\CONTROL DE BUFFERS\AGROTA\CENTRAL\ACCESORIOS.xlsm</v>
      </c>
      <c r="F10">
        <v>1</v>
      </c>
    </row>
    <row r="11" spans="1:6" x14ac:dyDescent="0.25">
      <c r="A11" s="6">
        <v>2</v>
      </c>
      <c r="B11" t="s">
        <v>0</v>
      </c>
      <c r="C11" t="s">
        <v>33</v>
      </c>
      <c r="D11" t="s">
        <v>48</v>
      </c>
      <c r="E11" s="3" t="str">
        <f>ARCHIVOSCB[[#This Row],[DIRECTORIO]]&amp;"\"&amp;ARCHIVOSCB[[#This Row],[ARCHIVO]]</f>
        <v>C:\RAM CAS\MEJORA CONTINUA\CONTROL DE BUFFERS\AGROTA\CENTRAL\ECHO.xlsm</v>
      </c>
      <c r="F11">
        <v>2</v>
      </c>
    </row>
    <row r="12" spans="1:6" x14ac:dyDescent="0.25">
      <c r="A12" s="6">
        <v>3</v>
      </c>
      <c r="B12" t="s">
        <v>0</v>
      </c>
      <c r="C12" t="s">
        <v>33</v>
      </c>
      <c r="D12" t="s">
        <v>49</v>
      </c>
      <c r="E12" s="3" t="str">
        <f>ARCHIVOSCB[[#This Row],[DIRECTORIO]]&amp;"\"&amp;ARCHIVOSCB[[#This Row],[ARCHIVO]]</f>
        <v>C:\RAM CAS\MEJORA CONTINUA\CONTROL DE BUFFERS\AGROTA\CENTRAL\SHINDAIWA.xlsm</v>
      </c>
      <c r="F12">
        <v>3</v>
      </c>
    </row>
    <row r="13" spans="1:6" x14ac:dyDescent="0.25">
      <c r="A13" s="6">
        <v>4</v>
      </c>
      <c r="B13" t="s">
        <v>0</v>
      </c>
      <c r="C13" t="s">
        <v>33</v>
      </c>
      <c r="D13" t="s">
        <v>50</v>
      </c>
      <c r="E13" s="3" t="str">
        <f>ARCHIVOSCB[[#This Row],[DIRECTORIO]]&amp;"\"&amp;ARCHIVOSCB[[#This Row],[ARCHIVO]]</f>
        <v>C:\RAM CAS\MEJORA CONTINUA\CONTROL DE BUFFERS\AGROTA\CENTRAL\MAQ-ECHO-SHINDAIWA.xlsm</v>
      </c>
      <c r="F13">
        <v>4</v>
      </c>
    </row>
    <row r="14" spans="1:6" x14ac:dyDescent="0.25">
      <c r="A14" s="6">
        <v>5</v>
      </c>
      <c r="B14" t="s">
        <v>0</v>
      </c>
      <c r="C14" t="s">
        <v>33</v>
      </c>
      <c r="D14" t="s">
        <v>51</v>
      </c>
      <c r="E14" s="3" t="str">
        <f>ARCHIVOSCB[[#This Row],[DIRECTORIO]]&amp;"\"&amp;ARCHIVOSCB[[#This Row],[ARCHIVO]]</f>
        <v>C:\RAM CAS\MEJORA CONTINUA\CONTROL DE BUFFERS\AGROTA\CENTRAL\LINEA-JF.xlsm</v>
      </c>
      <c r="F14">
        <v>5</v>
      </c>
    </row>
    <row r="15" spans="1:6" x14ac:dyDescent="0.25">
      <c r="A15" s="6">
        <v>30</v>
      </c>
      <c r="B15" t="s">
        <v>0</v>
      </c>
      <c r="C15" t="s">
        <v>52</v>
      </c>
      <c r="D15" t="s">
        <v>7</v>
      </c>
      <c r="E15" s="3" t="str">
        <f>ARCHIVOSCB[[#This Row],[DIRECTORIO]]&amp;"\"&amp;ARCHIVOSCB[[#This Row],[ARCHIVO]]</f>
        <v>C:\RAM CAS\MEJORA CONTINUA\CONTROL DE BUFFERS\AGROTA\MAXGUAYAQUIL\Control Buffers.xlsm</v>
      </c>
      <c r="F15">
        <v>45</v>
      </c>
    </row>
    <row r="16" spans="1:6" x14ac:dyDescent="0.25">
      <c r="A16" s="6">
        <v>34</v>
      </c>
      <c r="B16" t="s">
        <v>0</v>
      </c>
      <c r="C16" t="s">
        <v>53</v>
      </c>
      <c r="D16" t="s">
        <v>7</v>
      </c>
      <c r="E16" s="3" t="str">
        <f>ARCHIVOSCB[[#This Row],[DIRECTORIO]]&amp;"\"&amp;ARCHIVOSCB[[#This Row],[ARCHIVO]]</f>
        <v>C:\RAM CAS\MEJORA CONTINUA\CONTROL DE BUFFERS\AGROTA\PROMACOFI\Control Buffers.xlsm</v>
      </c>
      <c r="F16">
        <v>49</v>
      </c>
    </row>
    <row r="17" spans="1:6" x14ac:dyDescent="0.25">
      <c r="A17" s="6">
        <v>35</v>
      </c>
      <c r="B17" t="s">
        <v>0</v>
      </c>
      <c r="C17" t="s">
        <v>54</v>
      </c>
      <c r="D17" t="s">
        <v>7</v>
      </c>
      <c r="E17" s="3" t="str">
        <f>ARCHIVOSCB[[#This Row],[DIRECTORIO]]&amp;"\"&amp;ARCHIVOSCB[[#This Row],[ARCHIVO]]</f>
        <v>C:\RAM CAS\MEJORA CONTINUA\CONTROL DE BUFFERS\AGROTA\EIGUANCHI\Control Buffers.xlsm</v>
      </c>
      <c r="F17">
        <v>50</v>
      </c>
    </row>
    <row r="18" spans="1:6" x14ac:dyDescent="0.25">
      <c r="A18" s="6">
        <v>37</v>
      </c>
      <c r="B18" t="s">
        <v>28</v>
      </c>
      <c r="C18" t="s">
        <v>40</v>
      </c>
      <c r="D18" t="s">
        <v>29</v>
      </c>
      <c r="E18" s="3" t="str">
        <f>ARCHIVOSCB[[#This Row],[DIRECTORIO]]&amp;"\"&amp;ARCHIVOSCB[[#This Row],[ARCHIVO]]</f>
        <v>C:\RAM CAS\MEJORA CONTINUA\CONTROL DE BUFFERS\SUKAMPO\CENTRAL\CENTRAL.xlsm</v>
      </c>
      <c r="F18">
        <v>52</v>
      </c>
    </row>
    <row r="19" spans="1:6" x14ac:dyDescent="0.25">
      <c r="A19" s="6">
        <v>38</v>
      </c>
      <c r="B19" t="s">
        <v>28</v>
      </c>
      <c r="C19" t="s">
        <v>41</v>
      </c>
      <c r="D19" t="s">
        <v>30</v>
      </c>
      <c r="E19" s="3" t="str">
        <f>ARCHIVOSCB[[#This Row],[DIRECTORIO]]&amp;"\"&amp;ARCHIVOSCB[[#This Row],[ARCHIVO]]</f>
        <v>C:\RAM CAS\MEJORA CONTINUA\CONTROL DE BUFFERS\SUKAMPO\SUCRE\SUCRE.xlsm</v>
      </c>
      <c r="F19">
        <v>54</v>
      </c>
    </row>
    <row r="20" spans="1:6" x14ac:dyDescent="0.25">
      <c r="A20" s="6">
        <v>40</v>
      </c>
      <c r="B20" t="s">
        <v>28</v>
      </c>
      <c r="C20" t="s">
        <v>42</v>
      </c>
      <c r="D20" t="s">
        <v>31</v>
      </c>
      <c r="E20" s="3" t="str">
        <f>ARCHIVOSCB[[#This Row],[DIRECTORIO]]&amp;"\"&amp;ARCHIVOSCB[[#This Row],[ARCHIVO]]</f>
        <v>C:\RAM CAS\MEJORA CONTINUA\CONTROL DE BUFFERS\SUKAMPO\CENTRALPROPIA\CENTRALPROPIA.xlsm</v>
      </c>
      <c r="F20">
        <v>53</v>
      </c>
    </row>
  </sheetData>
  <conditionalFormatting sqref="A2:F20">
    <cfRule type="expression" dxfId="12" priority="1">
      <formula>ISBLANK(A2)</formula>
    </cfRule>
  </conditionalFormatting>
  <conditionalFormatting sqref="A2:A20">
    <cfRule type="duplicateValues" dxfId="11" priority="49"/>
    <cfRule type="duplicateValues" dxfId="10" priority="50"/>
    <cfRule type="duplicateValues" dxfId="9" priority="51"/>
  </conditionalFormatting>
  <dataValidations count="1">
    <dataValidation type="list" allowBlank="1" showInputMessage="1" showErrorMessage="1" sqref="B2:B20">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2" r:id="rId4" name="cmdCancelar">
          <controlPr defaultSize="0" print="0" autoLine="0" r:id="rId5">
            <anchor>
              <from>
                <xdr:col>6</xdr:col>
                <xdr:colOff>66675</xdr:colOff>
                <xdr:row>2</xdr:row>
                <xdr:rowOff>57150</xdr:rowOff>
              </from>
              <to>
                <xdr:col>7</xdr:col>
                <xdr:colOff>190500</xdr:colOff>
                <xdr:row>4</xdr:row>
                <xdr:rowOff>0</xdr:rowOff>
              </to>
            </anchor>
          </controlPr>
        </control>
      </mc:Choice>
      <mc:Fallback>
        <control shapeId="5122" r:id="rId4" name="cmdCancelar"/>
      </mc:Fallback>
    </mc:AlternateContent>
    <mc:AlternateContent xmlns:mc="http://schemas.openxmlformats.org/markup-compatibility/2006">
      <mc:Choice Requires="x14">
        <control shapeId="5121" r:id="rId6" name="cmdGuardar">
          <controlPr defaultSize="0" print="0" autoLine="0" r:id="rId7">
            <anchor>
              <from>
                <xdr:col>6</xdr:col>
                <xdr:colOff>66675</xdr:colOff>
                <xdr:row>0</xdr:row>
                <xdr:rowOff>38100</xdr:rowOff>
              </from>
              <to>
                <xdr:col>7</xdr:col>
                <xdr:colOff>190500</xdr:colOff>
                <xdr:row>1</xdr:row>
                <xdr:rowOff>171450</xdr:rowOff>
              </to>
            </anchor>
          </controlPr>
        </control>
      </mc:Choice>
      <mc:Fallback>
        <control shapeId="5121" r:id="rId6" name="cmdGuardar"/>
      </mc:Fallback>
    </mc:AlternateContent>
  </controls>
  <tableParts count="1">
    <tablePart r:id="rId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2</v>
      </c>
      <c r="B1" t="s">
        <v>5</v>
      </c>
      <c r="C1" t="s">
        <v>6</v>
      </c>
      <c r="D1" t="s">
        <v>8</v>
      </c>
      <c r="E1" t="s">
        <v>4</v>
      </c>
      <c r="F1" t="s">
        <v>17</v>
      </c>
      <c r="G1" t="s">
        <v>18</v>
      </c>
      <c r="H1" t="s">
        <v>27</v>
      </c>
      <c r="I1" t="s">
        <v>26</v>
      </c>
      <c r="J1" t="s">
        <v>55</v>
      </c>
    </row>
    <row r="2" spans="1:10" x14ac:dyDescent="0.25">
      <c r="A2" s="6"/>
      <c r="D2" s="2"/>
      <c r="E2" s="2"/>
    </row>
  </sheetData>
  <conditionalFormatting sqref="A2:I2">
    <cfRule type="expression" dxfId="8" priority="2">
      <formula>ISBLANK(A2)</formula>
    </cfRule>
  </conditionalFormatting>
  <conditionalFormatting sqref="A2">
    <cfRule type="duplicateValues" dxfId="7" priority="101"/>
    <cfRule type="duplicateValues" dxfId="6" priority="102"/>
    <cfRule type="duplicateValues" dxfId="5" priority="103"/>
    <cfRule type="duplicateValues" dxfId="4" priority="104"/>
  </conditionalFormatting>
  <conditionalFormatting sqref="B2">
    <cfRule type="expression" dxfId="3"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55</v>
      </c>
      <c r="C1" s="10" t="s">
        <v>17</v>
      </c>
      <c r="D1" s="10" t="s">
        <v>18</v>
      </c>
      <c r="E1" s="10" t="s">
        <v>27</v>
      </c>
      <c r="F1" s="10" t="s">
        <v>26</v>
      </c>
    </row>
    <row r="2" spans="2:6" x14ac:dyDescent="0.25">
      <c r="B2" s="11"/>
      <c r="C2" s="11"/>
      <c r="D2" s="11"/>
      <c r="E2" s="11"/>
      <c r="F2" s="11"/>
    </row>
  </sheetData>
  <conditionalFormatting sqref="C2:F2">
    <cfRule type="expression" dxfId="2" priority="1">
      <formula>ISBLANK(C2)</formula>
    </cfRule>
  </conditionalFormatting>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81"/>
  <sheetViews>
    <sheetView showGridLines="0" workbookViewId="0">
      <selection activeCell="A2" sqref="A2:D2"/>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24</v>
      </c>
      <c r="B1" t="s">
        <v>23</v>
      </c>
      <c r="C1" t="s">
        <v>43</v>
      </c>
      <c r="D1" t="s">
        <v>44</v>
      </c>
    </row>
    <row r="2" spans="1:4" x14ac:dyDescent="0.25">
      <c r="A2" t="s">
        <v>0</v>
      </c>
      <c r="B2" t="s">
        <v>196</v>
      </c>
      <c r="C2" t="s">
        <v>197</v>
      </c>
      <c r="D2">
        <v>1</v>
      </c>
    </row>
    <row r="3" spans="1:4" x14ac:dyDescent="0.25">
      <c r="A3" t="s">
        <v>0</v>
      </c>
      <c r="B3" t="s">
        <v>198</v>
      </c>
      <c r="C3" t="s">
        <v>197</v>
      </c>
      <c r="D3">
        <v>1</v>
      </c>
    </row>
    <row r="4" spans="1:4" x14ac:dyDescent="0.25">
      <c r="A4" t="s">
        <v>0</v>
      </c>
      <c r="B4" t="s">
        <v>199</v>
      </c>
      <c r="C4" t="s">
        <v>197</v>
      </c>
      <c r="D4">
        <v>1</v>
      </c>
    </row>
    <row r="5" spans="1:4" x14ac:dyDescent="0.25">
      <c r="A5" t="s">
        <v>0</v>
      </c>
      <c r="B5" t="s">
        <v>199</v>
      </c>
      <c r="C5" t="s">
        <v>200</v>
      </c>
      <c r="D5">
        <v>2</v>
      </c>
    </row>
    <row r="6" spans="1:4" x14ac:dyDescent="0.25">
      <c r="A6" t="s">
        <v>0</v>
      </c>
      <c r="B6" t="s">
        <v>201</v>
      </c>
      <c r="C6" t="s">
        <v>197</v>
      </c>
      <c r="D6">
        <v>1</v>
      </c>
    </row>
    <row r="7" spans="1:4" x14ac:dyDescent="0.25">
      <c r="A7" t="s">
        <v>0</v>
      </c>
      <c r="B7" t="s">
        <v>201</v>
      </c>
      <c r="C7" t="s">
        <v>200</v>
      </c>
      <c r="D7">
        <v>2</v>
      </c>
    </row>
    <row r="8" spans="1:4" x14ac:dyDescent="0.25">
      <c r="A8" t="s">
        <v>0</v>
      </c>
      <c r="B8" t="s">
        <v>201</v>
      </c>
      <c r="C8" t="s">
        <v>202</v>
      </c>
      <c r="D8">
        <v>4</v>
      </c>
    </row>
    <row r="9" spans="1:4" x14ac:dyDescent="0.25">
      <c r="A9" t="s">
        <v>0</v>
      </c>
      <c r="B9" t="s">
        <v>203</v>
      </c>
      <c r="C9" t="s">
        <v>197</v>
      </c>
      <c r="D9">
        <v>1</v>
      </c>
    </row>
    <row r="10" spans="1:4" x14ac:dyDescent="0.25">
      <c r="A10" t="s">
        <v>0</v>
      </c>
      <c r="B10" t="s">
        <v>204</v>
      </c>
      <c r="C10" t="s">
        <v>197</v>
      </c>
      <c r="D10">
        <v>1</v>
      </c>
    </row>
    <row r="11" spans="1:4" x14ac:dyDescent="0.25">
      <c r="A11" t="s">
        <v>0</v>
      </c>
      <c r="B11" t="s">
        <v>205</v>
      </c>
      <c r="C11" t="s">
        <v>197</v>
      </c>
      <c r="D11">
        <v>1</v>
      </c>
    </row>
    <row r="12" spans="1:4" x14ac:dyDescent="0.25">
      <c r="A12" t="s">
        <v>0</v>
      </c>
      <c r="B12" t="s">
        <v>205</v>
      </c>
      <c r="C12" t="s">
        <v>202</v>
      </c>
      <c r="D12">
        <v>9</v>
      </c>
    </row>
    <row r="13" spans="1:4" x14ac:dyDescent="0.25">
      <c r="A13" t="s">
        <v>0</v>
      </c>
      <c r="B13" t="s">
        <v>206</v>
      </c>
      <c r="C13" t="s">
        <v>197</v>
      </c>
      <c r="D13">
        <v>1</v>
      </c>
    </row>
    <row r="14" spans="1:4" x14ac:dyDescent="0.25">
      <c r="A14" t="s">
        <v>0</v>
      </c>
      <c r="B14" t="s">
        <v>207</v>
      </c>
      <c r="C14" t="s">
        <v>197</v>
      </c>
      <c r="D14">
        <v>1</v>
      </c>
    </row>
    <row r="15" spans="1:4" x14ac:dyDescent="0.25">
      <c r="A15" t="s">
        <v>0</v>
      </c>
      <c r="B15" t="s">
        <v>208</v>
      </c>
      <c r="C15" t="s">
        <v>197</v>
      </c>
      <c r="D15">
        <v>1</v>
      </c>
    </row>
    <row r="16" spans="1:4" x14ac:dyDescent="0.25">
      <c r="A16" t="s">
        <v>0</v>
      </c>
      <c r="B16" t="s">
        <v>208</v>
      </c>
      <c r="C16" t="s">
        <v>202</v>
      </c>
      <c r="D16">
        <v>2</v>
      </c>
    </row>
    <row r="17" spans="1:4" x14ac:dyDescent="0.25">
      <c r="A17" t="s">
        <v>0</v>
      </c>
      <c r="B17" t="s">
        <v>202</v>
      </c>
      <c r="C17" t="s">
        <v>209</v>
      </c>
      <c r="D17">
        <v>1</v>
      </c>
    </row>
    <row r="18" spans="1:4" x14ac:dyDescent="0.25">
      <c r="A18" t="s">
        <v>0</v>
      </c>
      <c r="B18" t="s">
        <v>202</v>
      </c>
      <c r="C18" t="s">
        <v>210</v>
      </c>
      <c r="D18">
        <v>2</v>
      </c>
    </row>
    <row r="19" spans="1:4" x14ac:dyDescent="0.25">
      <c r="A19" t="s">
        <v>0</v>
      </c>
      <c r="B19" t="s">
        <v>202</v>
      </c>
      <c r="C19" t="s">
        <v>211</v>
      </c>
      <c r="D19">
        <v>3</v>
      </c>
    </row>
    <row r="20" spans="1:4" x14ac:dyDescent="0.25">
      <c r="A20" t="s">
        <v>0</v>
      </c>
      <c r="B20" t="s">
        <v>202</v>
      </c>
      <c r="C20" t="s">
        <v>212</v>
      </c>
      <c r="D20">
        <v>4</v>
      </c>
    </row>
    <row r="21" spans="1:4" x14ac:dyDescent="0.25">
      <c r="A21" t="s">
        <v>0</v>
      </c>
      <c r="B21" t="s">
        <v>202</v>
      </c>
      <c r="C21" t="s">
        <v>213</v>
      </c>
      <c r="D21">
        <v>5</v>
      </c>
    </row>
    <row r="22" spans="1:4" x14ac:dyDescent="0.25">
      <c r="A22" t="s">
        <v>0</v>
      </c>
      <c r="B22" t="s">
        <v>202</v>
      </c>
      <c r="C22" t="s">
        <v>214</v>
      </c>
      <c r="D22">
        <v>6</v>
      </c>
    </row>
    <row r="23" spans="1:4" x14ac:dyDescent="0.25">
      <c r="A23" t="s">
        <v>0</v>
      </c>
      <c r="B23" t="s">
        <v>202</v>
      </c>
      <c r="C23" t="s">
        <v>215</v>
      </c>
      <c r="D23">
        <v>7</v>
      </c>
    </row>
    <row r="24" spans="1:4" x14ac:dyDescent="0.25">
      <c r="A24" t="s">
        <v>0</v>
      </c>
      <c r="B24" t="s">
        <v>197</v>
      </c>
      <c r="C24" t="s">
        <v>209</v>
      </c>
      <c r="D24">
        <v>1</v>
      </c>
    </row>
    <row r="25" spans="1:4" x14ac:dyDescent="0.25">
      <c r="A25" t="s">
        <v>0</v>
      </c>
      <c r="B25" t="s">
        <v>197</v>
      </c>
      <c r="C25" t="s">
        <v>216</v>
      </c>
      <c r="D25">
        <v>2</v>
      </c>
    </row>
    <row r="26" spans="1:4" x14ac:dyDescent="0.25">
      <c r="A26" t="s">
        <v>0</v>
      </c>
      <c r="B26" t="s">
        <v>197</v>
      </c>
      <c r="C26" t="s">
        <v>210</v>
      </c>
      <c r="D26">
        <v>3</v>
      </c>
    </row>
    <row r="27" spans="1:4" x14ac:dyDescent="0.25">
      <c r="A27" t="s">
        <v>0</v>
      </c>
      <c r="B27" t="s">
        <v>197</v>
      </c>
      <c r="C27" t="s">
        <v>211</v>
      </c>
      <c r="D27">
        <v>4</v>
      </c>
    </row>
    <row r="28" spans="1:4" x14ac:dyDescent="0.25">
      <c r="A28" t="s">
        <v>0</v>
      </c>
      <c r="B28" t="s">
        <v>197</v>
      </c>
      <c r="C28" t="s">
        <v>214</v>
      </c>
      <c r="D28">
        <v>5</v>
      </c>
    </row>
    <row r="29" spans="1:4" x14ac:dyDescent="0.25">
      <c r="A29" t="s">
        <v>0</v>
      </c>
      <c r="B29" t="s">
        <v>197</v>
      </c>
      <c r="C29" t="s">
        <v>213</v>
      </c>
      <c r="D29">
        <v>6</v>
      </c>
    </row>
    <row r="30" spans="1:4" x14ac:dyDescent="0.25">
      <c r="A30" t="s">
        <v>0</v>
      </c>
      <c r="B30" t="s">
        <v>197</v>
      </c>
      <c r="C30" t="s">
        <v>212</v>
      </c>
      <c r="D30">
        <v>7</v>
      </c>
    </row>
    <row r="31" spans="1:4" x14ac:dyDescent="0.25">
      <c r="A31" t="s">
        <v>0</v>
      </c>
      <c r="B31" t="s">
        <v>197</v>
      </c>
      <c r="C31" t="s">
        <v>215</v>
      </c>
      <c r="D31">
        <v>8</v>
      </c>
    </row>
    <row r="32" spans="1:4" x14ac:dyDescent="0.25">
      <c r="A32" t="s">
        <v>0</v>
      </c>
      <c r="B32" t="s">
        <v>197</v>
      </c>
      <c r="C32" t="s">
        <v>217</v>
      </c>
      <c r="D32">
        <v>9</v>
      </c>
    </row>
    <row r="33" spans="1:4" x14ac:dyDescent="0.25">
      <c r="A33" t="s">
        <v>0</v>
      </c>
      <c r="B33" t="s">
        <v>197</v>
      </c>
      <c r="C33" t="s">
        <v>218</v>
      </c>
      <c r="D33">
        <v>10</v>
      </c>
    </row>
    <row r="34" spans="1:4" x14ac:dyDescent="0.25">
      <c r="A34" t="s">
        <v>0</v>
      </c>
      <c r="B34" t="s">
        <v>197</v>
      </c>
      <c r="C34" t="s">
        <v>219</v>
      </c>
      <c r="D34">
        <v>11</v>
      </c>
    </row>
    <row r="35" spans="1:4" x14ac:dyDescent="0.25">
      <c r="A35" t="s">
        <v>0</v>
      </c>
      <c r="B35" t="s">
        <v>197</v>
      </c>
      <c r="C35" t="s">
        <v>220</v>
      </c>
      <c r="D35">
        <v>12</v>
      </c>
    </row>
    <row r="36" spans="1:4" x14ac:dyDescent="0.25">
      <c r="A36" t="s">
        <v>0</v>
      </c>
      <c r="B36" t="s">
        <v>197</v>
      </c>
      <c r="C36" t="s">
        <v>221</v>
      </c>
      <c r="D36">
        <v>13</v>
      </c>
    </row>
    <row r="37" spans="1:4" x14ac:dyDescent="0.25">
      <c r="A37" t="s">
        <v>0</v>
      </c>
      <c r="B37" t="s">
        <v>197</v>
      </c>
      <c r="C37" t="s">
        <v>222</v>
      </c>
      <c r="D37">
        <v>14</v>
      </c>
    </row>
    <row r="38" spans="1:4" x14ac:dyDescent="0.25">
      <c r="A38" t="s">
        <v>0</v>
      </c>
      <c r="B38" t="s">
        <v>197</v>
      </c>
      <c r="C38" t="s">
        <v>223</v>
      </c>
      <c r="D38">
        <v>15</v>
      </c>
    </row>
    <row r="39" spans="1:4" x14ac:dyDescent="0.25">
      <c r="A39" t="s">
        <v>0</v>
      </c>
      <c r="B39" t="s">
        <v>197</v>
      </c>
      <c r="C39" t="s">
        <v>224</v>
      </c>
      <c r="D39">
        <v>16</v>
      </c>
    </row>
    <row r="40" spans="1:4" x14ac:dyDescent="0.25">
      <c r="A40" t="s">
        <v>0</v>
      </c>
      <c r="B40" t="s">
        <v>197</v>
      </c>
      <c r="C40" t="s">
        <v>225</v>
      </c>
      <c r="D40">
        <v>18</v>
      </c>
    </row>
    <row r="41" spans="1:4" x14ac:dyDescent="0.25">
      <c r="A41" t="s">
        <v>0</v>
      </c>
      <c r="B41" t="s">
        <v>197</v>
      </c>
      <c r="C41" t="s">
        <v>226</v>
      </c>
      <c r="D41">
        <v>19</v>
      </c>
    </row>
    <row r="42" spans="1:4" x14ac:dyDescent="0.25">
      <c r="A42" t="s">
        <v>0</v>
      </c>
      <c r="B42" t="s">
        <v>200</v>
      </c>
      <c r="C42" t="s">
        <v>209</v>
      </c>
      <c r="D42">
        <v>1</v>
      </c>
    </row>
    <row r="43" spans="1:4" x14ac:dyDescent="0.25">
      <c r="A43" t="s">
        <v>0</v>
      </c>
      <c r="B43" t="s">
        <v>200</v>
      </c>
      <c r="C43" t="s">
        <v>210</v>
      </c>
      <c r="D43">
        <v>2</v>
      </c>
    </row>
    <row r="44" spans="1:4" x14ac:dyDescent="0.25">
      <c r="A44" t="s">
        <v>0</v>
      </c>
      <c r="B44" t="s">
        <v>200</v>
      </c>
      <c r="C44" t="s">
        <v>212</v>
      </c>
      <c r="D44">
        <v>3</v>
      </c>
    </row>
    <row r="45" spans="1:4" x14ac:dyDescent="0.25">
      <c r="A45" t="s">
        <v>0</v>
      </c>
      <c r="B45" t="s">
        <v>200</v>
      </c>
      <c r="C45" t="s">
        <v>211</v>
      </c>
      <c r="D45">
        <v>4</v>
      </c>
    </row>
    <row r="46" spans="1:4" x14ac:dyDescent="0.25">
      <c r="A46" t="s">
        <v>0</v>
      </c>
      <c r="B46" t="s">
        <v>200</v>
      </c>
      <c r="C46" t="s">
        <v>213</v>
      </c>
      <c r="D46">
        <v>5</v>
      </c>
    </row>
    <row r="47" spans="1:4" x14ac:dyDescent="0.25">
      <c r="A47" t="s">
        <v>0</v>
      </c>
      <c r="B47" t="s">
        <v>200</v>
      </c>
      <c r="C47" t="s">
        <v>214</v>
      </c>
      <c r="D47">
        <v>6</v>
      </c>
    </row>
    <row r="48" spans="1:4" x14ac:dyDescent="0.25">
      <c r="A48" t="s">
        <v>0</v>
      </c>
      <c r="B48" t="s">
        <v>200</v>
      </c>
      <c r="C48" t="s">
        <v>227</v>
      </c>
      <c r="D48">
        <v>7</v>
      </c>
    </row>
    <row r="49" spans="1:4" x14ac:dyDescent="0.25">
      <c r="A49" t="s">
        <v>0</v>
      </c>
      <c r="B49" t="s">
        <v>200</v>
      </c>
      <c r="C49" t="s">
        <v>228</v>
      </c>
      <c r="D49">
        <v>8</v>
      </c>
    </row>
    <row r="50" spans="1:4" x14ac:dyDescent="0.25">
      <c r="A50" t="s">
        <v>0</v>
      </c>
      <c r="B50" t="s">
        <v>200</v>
      </c>
      <c r="C50" t="s">
        <v>229</v>
      </c>
      <c r="D50">
        <v>9</v>
      </c>
    </row>
    <row r="51" spans="1:4" x14ac:dyDescent="0.25">
      <c r="A51" t="s">
        <v>0</v>
      </c>
      <c r="B51" t="s">
        <v>221</v>
      </c>
      <c r="C51" t="s">
        <v>228</v>
      </c>
      <c r="D51">
        <v>1</v>
      </c>
    </row>
    <row r="52" spans="1:4" x14ac:dyDescent="0.25">
      <c r="A52" t="s">
        <v>0</v>
      </c>
      <c r="B52" t="s">
        <v>230</v>
      </c>
      <c r="C52" t="s">
        <v>197</v>
      </c>
      <c r="D52">
        <v>4</v>
      </c>
    </row>
    <row r="53" spans="1:4" x14ac:dyDescent="0.25">
      <c r="A53" t="s">
        <v>0</v>
      </c>
      <c r="B53" t="s">
        <v>231</v>
      </c>
      <c r="C53" t="s">
        <v>197</v>
      </c>
      <c r="D53">
        <v>4</v>
      </c>
    </row>
    <row r="54" spans="1:4" x14ac:dyDescent="0.25">
      <c r="A54" t="s">
        <v>0</v>
      </c>
      <c r="B54" t="s">
        <v>232</v>
      </c>
      <c r="C54" t="s">
        <v>197</v>
      </c>
      <c r="D54">
        <v>4</v>
      </c>
    </row>
    <row r="55" spans="1:4" x14ac:dyDescent="0.25">
      <c r="A55" t="s">
        <v>0</v>
      </c>
      <c r="B55" t="s">
        <v>233</v>
      </c>
      <c r="C55" t="s">
        <v>229</v>
      </c>
      <c r="D55">
        <v>2</v>
      </c>
    </row>
    <row r="56" spans="1:4" x14ac:dyDescent="0.25">
      <c r="A56" t="s">
        <v>0</v>
      </c>
      <c r="B56" t="s">
        <v>233</v>
      </c>
      <c r="C56" t="s">
        <v>228</v>
      </c>
      <c r="D56">
        <v>5</v>
      </c>
    </row>
    <row r="57" spans="1:4" x14ac:dyDescent="0.25">
      <c r="A57" t="s">
        <v>0</v>
      </c>
      <c r="B57" t="s">
        <v>233</v>
      </c>
      <c r="C57" t="s">
        <v>221</v>
      </c>
      <c r="D57">
        <v>7</v>
      </c>
    </row>
    <row r="58" spans="1:4" x14ac:dyDescent="0.25">
      <c r="A58" t="s">
        <v>0</v>
      </c>
      <c r="B58" t="s">
        <v>234</v>
      </c>
      <c r="C58" t="s">
        <v>197</v>
      </c>
      <c r="D58">
        <v>1</v>
      </c>
    </row>
    <row r="59" spans="1:4" x14ac:dyDescent="0.25">
      <c r="A59" t="s">
        <v>0</v>
      </c>
      <c r="B59" t="s">
        <v>235</v>
      </c>
      <c r="C59" t="s">
        <v>197</v>
      </c>
      <c r="D59">
        <v>4</v>
      </c>
    </row>
    <row r="60" spans="1:4" x14ac:dyDescent="0.25">
      <c r="A60" t="s">
        <v>0</v>
      </c>
      <c r="B60" t="s">
        <v>236</v>
      </c>
      <c r="C60" t="s">
        <v>197</v>
      </c>
      <c r="D60">
        <v>1</v>
      </c>
    </row>
    <row r="61" spans="1:4" x14ac:dyDescent="0.25">
      <c r="A61" t="s">
        <v>0</v>
      </c>
      <c r="B61" t="s">
        <v>237</v>
      </c>
      <c r="C61" t="s">
        <v>197</v>
      </c>
      <c r="D61">
        <v>1</v>
      </c>
    </row>
    <row r="62" spans="1:4" x14ac:dyDescent="0.25">
      <c r="A62" t="s">
        <v>0</v>
      </c>
      <c r="B62" t="s">
        <v>238</v>
      </c>
      <c r="C62" t="s">
        <v>197</v>
      </c>
      <c r="D62">
        <v>1</v>
      </c>
    </row>
    <row r="63" spans="1:4" x14ac:dyDescent="0.25">
      <c r="A63" t="s">
        <v>0</v>
      </c>
      <c r="B63" t="s">
        <v>239</v>
      </c>
      <c r="C63" t="s">
        <v>197</v>
      </c>
      <c r="D63">
        <v>2</v>
      </c>
    </row>
    <row r="64" spans="1:4" x14ac:dyDescent="0.25">
      <c r="A64" t="s">
        <v>0</v>
      </c>
      <c r="B64" t="s">
        <v>240</v>
      </c>
      <c r="C64" t="s">
        <v>197</v>
      </c>
      <c r="D64">
        <v>1</v>
      </c>
    </row>
    <row r="65" spans="1:4" x14ac:dyDescent="0.25">
      <c r="A65" t="s">
        <v>0</v>
      </c>
      <c r="B65" t="s">
        <v>229</v>
      </c>
      <c r="C65" t="s">
        <v>228</v>
      </c>
      <c r="D65">
        <v>1</v>
      </c>
    </row>
    <row r="66" spans="1:4" x14ac:dyDescent="0.25">
      <c r="A66" t="s">
        <v>0</v>
      </c>
      <c r="B66" t="s">
        <v>229</v>
      </c>
      <c r="C66" t="s">
        <v>216</v>
      </c>
      <c r="D66">
        <v>2</v>
      </c>
    </row>
    <row r="67" spans="1:4" x14ac:dyDescent="0.25">
      <c r="A67" t="s">
        <v>0</v>
      </c>
      <c r="B67" t="s">
        <v>229</v>
      </c>
      <c r="C67" t="s">
        <v>227</v>
      </c>
      <c r="D67">
        <v>3</v>
      </c>
    </row>
    <row r="68" spans="1:4" x14ac:dyDescent="0.25">
      <c r="A68" t="s">
        <v>0</v>
      </c>
      <c r="B68" t="s">
        <v>229</v>
      </c>
      <c r="C68" t="s">
        <v>241</v>
      </c>
      <c r="D68">
        <v>4</v>
      </c>
    </row>
    <row r="69" spans="1:4" x14ac:dyDescent="0.25">
      <c r="A69" t="s">
        <v>0</v>
      </c>
      <c r="B69" t="s">
        <v>229</v>
      </c>
      <c r="C69" t="s">
        <v>242</v>
      </c>
      <c r="D69">
        <v>5</v>
      </c>
    </row>
    <row r="70" spans="1:4" x14ac:dyDescent="0.25">
      <c r="A70" t="s">
        <v>0</v>
      </c>
      <c r="B70" t="s">
        <v>229</v>
      </c>
      <c r="C70" t="s">
        <v>243</v>
      </c>
      <c r="D70">
        <v>6</v>
      </c>
    </row>
    <row r="71" spans="1:4" x14ac:dyDescent="0.25">
      <c r="A71" t="s">
        <v>0</v>
      </c>
      <c r="B71" t="s">
        <v>229</v>
      </c>
      <c r="C71" t="s">
        <v>244</v>
      </c>
      <c r="D71">
        <v>7</v>
      </c>
    </row>
    <row r="72" spans="1:4" x14ac:dyDescent="0.25">
      <c r="A72" t="s">
        <v>0</v>
      </c>
      <c r="B72" t="s">
        <v>229</v>
      </c>
      <c r="C72" t="s">
        <v>221</v>
      </c>
      <c r="D72">
        <v>8</v>
      </c>
    </row>
    <row r="73" spans="1:4" x14ac:dyDescent="0.25">
      <c r="A73" t="s">
        <v>0</v>
      </c>
      <c r="B73" t="s">
        <v>229</v>
      </c>
      <c r="C73" t="s">
        <v>233</v>
      </c>
      <c r="D73">
        <v>11</v>
      </c>
    </row>
    <row r="74" spans="1:4" x14ac:dyDescent="0.25">
      <c r="A74" t="s">
        <v>0</v>
      </c>
      <c r="B74" t="s">
        <v>245</v>
      </c>
      <c r="C74" t="s">
        <v>229</v>
      </c>
      <c r="D74">
        <v>1</v>
      </c>
    </row>
    <row r="75" spans="1:4" x14ac:dyDescent="0.25">
      <c r="A75" t="s">
        <v>0</v>
      </c>
      <c r="B75" t="s">
        <v>245</v>
      </c>
      <c r="C75" t="s">
        <v>246</v>
      </c>
      <c r="D75">
        <v>3</v>
      </c>
    </row>
    <row r="76" spans="1:4" x14ac:dyDescent="0.25">
      <c r="A76" t="s">
        <v>0</v>
      </c>
      <c r="B76" t="s">
        <v>245</v>
      </c>
      <c r="C76" t="s">
        <v>247</v>
      </c>
      <c r="D76">
        <v>4</v>
      </c>
    </row>
    <row r="77" spans="1:4" x14ac:dyDescent="0.25">
      <c r="A77" t="s">
        <v>0</v>
      </c>
      <c r="B77" t="s">
        <v>245</v>
      </c>
      <c r="C77" t="s">
        <v>243</v>
      </c>
      <c r="D77">
        <v>5</v>
      </c>
    </row>
    <row r="78" spans="1:4" x14ac:dyDescent="0.25">
      <c r="A78" t="s">
        <v>0</v>
      </c>
      <c r="B78" t="s">
        <v>245</v>
      </c>
      <c r="C78" t="s">
        <v>200</v>
      </c>
      <c r="D78">
        <v>6</v>
      </c>
    </row>
    <row r="79" spans="1:4" x14ac:dyDescent="0.25">
      <c r="A79" t="s">
        <v>0</v>
      </c>
      <c r="B79" t="s">
        <v>245</v>
      </c>
      <c r="C79" t="s">
        <v>212</v>
      </c>
      <c r="D79">
        <v>9</v>
      </c>
    </row>
    <row r="80" spans="1:4" x14ac:dyDescent="0.25">
      <c r="A80" t="s">
        <v>0</v>
      </c>
      <c r="B80" t="s">
        <v>245</v>
      </c>
      <c r="C80" t="s">
        <v>248</v>
      </c>
      <c r="D80">
        <v>15</v>
      </c>
    </row>
    <row r="81" spans="1:4" x14ac:dyDescent="0.25">
      <c r="A81" t="s">
        <v>28</v>
      </c>
      <c r="B81" t="s">
        <v>249</v>
      </c>
      <c r="C81" t="s">
        <v>197</v>
      </c>
      <c r="D81">
        <v>1</v>
      </c>
    </row>
  </sheetData>
  <conditionalFormatting sqref="A2:D81">
    <cfRule type="expression" dxfId="1" priority="2">
      <formula>ISBLANK(A2)</formula>
    </cfRule>
  </conditionalFormatting>
  <conditionalFormatting sqref="A2:A81">
    <cfRule type="expression" dxfId="0" priority="3236">
      <formula>SUMPRODUCT(--($A$2:$A$81=A2),--($B$2:$B$81=B2),--($D$2:$D$81=D2))&gt;1</formula>
    </cfRule>
  </conditionalFormatting>
  <dataValidations count="1">
    <dataValidation type="list" allowBlank="1" showInputMessage="1" showErrorMessage="1" sqref="A2:A81">
      <formula1>EMPRESA</formula1>
    </dataValidation>
  </dataValidation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6"/>
  <sheetViews>
    <sheetView showGridLines="0" zoomScale="120" zoomScaleNormal="120" workbookViewId="0">
      <selection activeCell="A2" sqref="A2"/>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45</v>
      </c>
      <c r="B1" s="4"/>
    </row>
    <row r="2" spans="1:3" x14ac:dyDescent="0.25">
      <c r="A2" t="s">
        <v>4</v>
      </c>
      <c r="B2" t="s">
        <v>10</v>
      </c>
      <c r="C2" t="s">
        <v>11</v>
      </c>
    </row>
    <row r="3" spans="1:3" x14ac:dyDescent="0.25">
      <c r="A3" s="1" t="s">
        <v>76</v>
      </c>
      <c r="B3" s="16">
        <v>41852</v>
      </c>
      <c r="C3" s="7">
        <f ca="1">Tabla_DIAS_RESTANTES[[#This Row],[FIN PERÍODO]]-TODAY()</f>
        <v>-1384</v>
      </c>
    </row>
    <row r="4" spans="1:3" x14ac:dyDescent="0.25">
      <c r="A4" s="1" t="s">
        <v>75</v>
      </c>
      <c r="B4" s="16">
        <v>41866</v>
      </c>
      <c r="C4" s="7">
        <f ca="1">Tabla_DIAS_RESTANTES[[#This Row],[FIN PERÍODO]]-TODAY()</f>
        <v>-1370</v>
      </c>
    </row>
    <row r="5" spans="1:3" x14ac:dyDescent="0.25">
      <c r="A5" s="1" t="s">
        <v>77</v>
      </c>
      <c r="B5" s="16">
        <v>41866</v>
      </c>
      <c r="C5" s="7">
        <f ca="1">Tabla_DIAS_RESTANTES[[#This Row],[FIN PERÍODO]]-TODAY()</f>
        <v>-1370</v>
      </c>
    </row>
    <row r="6" spans="1:3" x14ac:dyDescent="0.25">
      <c r="A6" s="1" t="s">
        <v>72</v>
      </c>
      <c r="B6" s="16">
        <v>41873</v>
      </c>
      <c r="C6" s="7">
        <f ca="1">Tabla_DIAS_RESTANTES[[#This Row],[FIN PERÍODO]]-TODAY()</f>
        <v>-1363</v>
      </c>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2" sqref="A2"/>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92</v>
      </c>
    </row>
    <row r="2" spans="1:4" x14ac:dyDescent="0.25">
      <c r="A2" s="6" t="s">
        <v>89</v>
      </c>
      <c r="B2" s="6" t="s">
        <v>13</v>
      </c>
      <c r="C2" s="6" t="s">
        <v>12</v>
      </c>
      <c r="D2" s="6" t="s">
        <v>79</v>
      </c>
    </row>
    <row r="3" spans="1:4" x14ac:dyDescent="0.25">
      <c r="A3" t="s">
        <v>103</v>
      </c>
      <c r="B3" s="6">
        <v>1637</v>
      </c>
      <c r="C3" s="6">
        <v>497</v>
      </c>
      <c r="D3" s="19">
        <f>Tabla_NUMERO_ITEMS[[#This Row],[ITEMS CON BUFFER]]/Tabla_NUMERO_ITEMS[[#This Row],[TODOS ITEMS]]</f>
        <v>0.3036041539401344</v>
      </c>
    </row>
    <row r="4" spans="1:4" x14ac:dyDescent="0.25">
      <c r="A4" s="28" t="s">
        <v>110</v>
      </c>
      <c r="B4" s="6">
        <f>SUBTOTAL(109,Tabla_NUMERO_ITEMS[TODOS ITEMS])</f>
        <v>1637</v>
      </c>
      <c r="C4" s="6">
        <f>SUBTOTAL(109,Tabla_NUMERO_ITEMS[ITEMS CON BUFFER])</f>
        <v>497</v>
      </c>
      <c r="D4" s="19">
        <f>SUBTOTAL(101,Tabla_NUMERO_ITEMS[% ITEMS CON BUFFER])</f>
        <v>0.3036041539401344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14</v>
      </c>
    </row>
  </sheetData>
  <pageMargins left="0.7" right="0.7" top="0.75" bottom="0.75" header="0.3" footer="0.3"/>
  <drawing r:id="rId1"/>
  <legacyDrawing r:id="rId2"/>
  <controls>
    <mc:AlternateContent xmlns:mc="http://schemas.openxmlformats.org/markup-compatibility/2006">
      <mc:Choice Requires="x14">
        <control shapeId="4097" r:id="rId3" name="cmdCargar">
          <controlPr defaultSize="0" autoLine="0" r:id="rId4">
            <anchor moveWithCells="1">
              <from>
                <xdr:col>0</xdr:col>
                <xdr:colOff>276225</xdr:colOff>
                <xdr:row>1</xdr:row>
                <xdr:rowOff>95250</xdr:rowOff>
              </from>
              <to>
                <xdr:col>2</xdr:col>
                <xdr:colOff>9525</xdr:colOff>
                <xdr:row>3</xdr:row>
                <xdr:rowOff>114300</xdr:rowOff>
              </to>
            </anchor>
          </controlPr>
        </control>
      </mc:Choice>
      <mc:Fallback>
        <control shapeId="4097" r:id="rId3" name="cmdCargar"/>
      </mc:Fallback>
    </mc:AlternateContent>
    <mc:AlternateContent xmlns:mc="http://schemas.openxmlformats.org/markup-compatibility/2006">
      <mc:Choice Requires="x14">
        <control shapeId="4098" r:id="rId5" name="cmdCancelar">
          <controlPr defaultSize="0" autoLine="0" r:id="rId6">
            <anchor moveWithCells="1">
              <from>
                <xdr:col>0</xdr:col>
                <xdr:colOff>285750</xdr:colOff>
                <xdr:row>4</xdr:row>
                <xdr:rowOff>19050</xdr:rowOff>
              </from>
              <to>
                <xdr:col>2</xdr:col>
                <xdr:colOff>19050</xdr:colOff>
                <xdr:row>6</xdr:row>
                <xdr:rowOff>38100</xdr:rowOff>
              </to>
            </anchor>
          </controlPr>
        </control>
      </mc:Choice>
      <mc:Fallback>
        <control shapeId="4098" r:id="rId5" name="cmdCancelar"/>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19</v>
      </c>
      <c r="B1" t="s">
        <v>23</v>
      </c>
      <c r="D1" t="s">
        <v>19</v>
      </c>
    </row>
  </sheetData>
  <pageMargins left="0.7" right="0.7" top="0.75" bottom="0.75" header="0.3" footer="0.3"/>
  <tableParts count="2">
    <tablePart r:id="rId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24</v>
      </c>
      <c r="B1" t="s">
        <v>23</v>
      </c>
      <c r="C1" t="s">
        <v>19</v>
      </c>
      <c r="D1" t="s">
        <v>9</v>
      </c>
      <c r="E1" t="s">
        <v>25</v>
      </c>
      <c r="G1" t="s">
        <v>6</v>
      </c>
      <c r="H1" t="s">
        <v>4</v>
      </c>
      <c r="I1" t="s">
        <v>8</v>
      </c>
      <c r="K1" t="s">
        <v>6</v>
      </c>
      <c r="L1" t="s">
        <v>4</v>
      </c>
      <c r="M1" t="s">
        <v>8</v>
      </c>
      <c r="N1" t="s">
        <v>59</v>
      </c>
    </row>
    <row r="2" spans="1:14" x14ac:dyDescent="0.25">
      <c r="A2" t="s">
        <v>85</v>
      </c>
      <c r="B2" t="s">
        <v>86</v>
      </c>
      <c r="C2" t="s">
        <v>87</v>
      </c>
      <c r="D2" t="s">
        <v>29</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R4"/>
  <sheetViews>
    <sheetView topLeftCell="B1" workbookViewId="0">
      <selection activeCell="P2" sqref="P2:P4"/>
    </sheetView>
  </sheetViews>
  <sheetFormatPr baseColWidth="10" defaultColWidth="11.42578125" defaultRowHeight="15" x14ac:dyDescent="0.25"/>
  <sheetData>
    <row r="1" spans="1:18" x14ac:dyDescent="0.25">
      <c r="A1">
        <v>1</v>
      </c>
      <c r="B1" t="s">
        <v>58</v>
      </c>
      <c r="P1" t="s">
        <v>252</v>
      </c>
      <c r="R1" t="s">
        <v>0</v>
      </c>
    </row>
    <row r="2" spans="1:18" x14ac:dyDescent="0.25">
      <c r="P2" t="s">
        <v>253</v>
      </c>
    </row>
    <row r="3" spans="1:18" x14ac:dyDescent="0.25">
      <c r="P3" t="s">
        <v>250</v>
      </c>
    </row>
    <row r="4" spans="1:18" x14ac:dyDescent="0.25">
      <c r="P4" t="s">
        <v>300</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A28" sqref="A28"/>
    </sheetView>
  </sheetViews>
  <sheetFormatPr baseColWidth="10" defaultColWidth="11.42578125" defaultRowHeight="15" x14ac:dyDescent="0.25"/>
  <cols>
    <col min="1" max="16384" width="11.42578125" style="13"/>
  </cols>
  <sheetData>
    <row r="2" spans="1:5" ht="23.25" x14ac:dyDescent="0.35">
      <c r="A2" s="14" t="s">
        <v>57</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29" t="s">
        <v>142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2" r:id="rId4" name="cmdNoBorrar">
          <controlPr defaultSize="0" autoLine="0" r:id="rId5">
            <anchor moveWithCells="1">
              <from>
                <xdr:col>0</xdr:col>
                <xdr:colOff>142875</xdr:colOff>
                <xdr:row>9</xdr:row>
                <xdr:rowOff>142875</xdr:rowOff>
              </from>
              <to>
                <xdr:col>5</xdr:col>
                <xdr:colOff>133350</xdr:colOff>
                <xdr:row>12</xdr:row>
                <xdr:rowOff>85725</xdr:rowOff>
              </to>
            </anchor>
          </controlPr>
        </control>
      </mc:Choice>
      <mc:Fallback>
        <control shapeId="10242" r:id="rId4" name="cmdNoBorrar"/>
      </mc:Fallback>
    </mc:AlternateContent>
    <mc:AlternateContent xmlns:mc="http://schemas.openxmlformats.org/markup-compatibility/2006">
      <mc:Choice Requires="x14">
        <control shapeId="10241" r:id="rId6" name="cmdBorrarTransferDadaBaja">
          <controlPr defaultSize="0" autoLine="0" r:id="rId7">
            <anchor moveWithCells="1">
              <from>
                <xdr:col>0</xdr:col>
                <xdr:colOff>142875</xdr:colOff>
                <xdr:row>4</xdr:row>
                <xdr:rowOff>161925</xdr:rowOff>
              </from>
              <to>
                <xdr:col>5</xdr:col>
                <xdr:colOff>142875</xdr:colOff>
                <xdr:row>8</xdr:row>
                <xdr:rowOff>180975</xdr:rowOff>
              </to>
            </anchor>
          </controlPr>
        </control>
      </mc:Choice>
      <mc:Fallback>
        <control shapeId="10241" r:id="rId6" name="cmdBorrarTransferDadaBaja"/>
      </mc:Fallback>
    </mc:AlternateContent>
  </control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19</v>
      </c>
      <c r="B1" t="s">
        <v>20</v>
      </c>
      <c r="C1" t="s">
        <v>21</v>
      </c>
      <c r="D1" t="s">
        <v>22</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B6"/>
  <sheetViews>
    <sheetView workbookViewId="0">
      <selection activeCell="B2" sqref="B2"/>
    </sheetView>
  </sheetViews>
  <sheetFormatPr baseColWidth="10" defaultColWidth="11.42578125" defaultRowHeight="15" x14ac:dyDescent="0.25"/>
  <cols>
    <col min="1" max="1" width="16.28515625" bestFit="1" customWidth="1"/>
    <col min="2" max="2" width="15.7109375" bestFit="1" customWidth="1"/>
  </cols>
  <sheetData>
    <row r="1" spans="1:2" x14ac:dyDescent="0.25">
      <c r="A1" t="s">
        <v>65</v>
      </c>
      <c r="B1" s="17">
        <v>43235.96429398148</v>
      </c>
    </row>
    <row r="2" spans="1:2" x14ac:dyDescent="0.25">
      <c r="A2" t="s">
        <v>66</v>
      </c>
      <c r="B2" s="17">
        <v>43235.970729166664</v>
      </c>
    </row>
    <row r="4" spans="1:2" x14ac:dyDescent="0.25">
      <c r="A4" t="s">
        <v>67</v>
      </c>
      <c r="B4" s="18">
        <f>IF((FINREFRESCADO-INICIOREFRESCADO)&gt;0,FINREFRESCADO-INICIOREFRESCADO,"")</f>
        <v>6.435185183363501E-3</v>
      </c>
    </row>
    <row r="6" spans="1:2" x14ac:dyDescent="0.25">
      <c r="A6" t="s">
        <v>123</v>
      </c>
      <c r="B6" t="s">
        <v>262</v>
      </c>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69</v>
      </c>
      <c r="B1" t="s">
        <v>70</v>
      </c>
      <c r="C1" t="s">
        <v>71</v>
      </c>
    </row>
    <row r="2" spans="1:3" x14ac:dyDescent="0.25">
      <c r="A2" t="s">
        <v>80</v>
      </c>
      <c r="B2" t="s">
        <v>84</v>
      </c>
      <c r="C2" t="str">
        <f>IF(RIGHT(Tabla_Parametros[par_valor],1)="\",LEFT(Tabla_Parametros[par_valor],LEN(Tabla_Parametros[par_valor])-1),Tabla_Parametros[par_valor])</f>
        <v>O:</v>
      </c>
    </row>
    <row r="3" spans="1:3" x14ac:dyDescent="0.25">
      <c r="A3" t="s">
        <v>81</v>
      </c>
      <c r="B3" t="s">
        <v>84</v>
      </c>
      <c r="C3" t="str">
        <f>IF(RIGHT(Tabla_Parametros[par_valor],1)="\",LEFT(Tabla_Parametros[par_valor],LEN(Tabla_Parametros[par_valor])-1),Tabla_Parametros[par_valor])</f>
        <v>O:</v>
      </c>
    </row>
    <row r="4" spans="1:3" x14ac:dyDescent="0.25">
      <c r="A4" t="s">
        <v>82</v>
      </c>
      <c r="B4" t="s">
        <v>84</v>
      </c>
      <c r="C4" t="str">
        <f>IF(RIGHT(Tabla_Parametros[par_valor],1)="\",LEFT(Tabla_Parametros[par_valor],LEN(Tabla_Parametros[par_valor])-1),Tabla_Parametros[par_valor])</f>
        <v>O:</v>
      </c>
    </row>
    <row r="5" spans="1:3" x14ac:dyDescent="0.25">
      <c r="A5" t="s">
        <v>106</v>
      </c>
      <c r="B5" t="s">
        <v>107</v>
      </c>
      <c r="C5" t="str">
        <f>IF(RIGHT(Tabla_Parametros[par_valor],1)="\",LEFT(Tabla_Parametros[par_valor],LEN(Tabla_Parametros[par_valor])-1),Tabla_Parametros[par_valor])</f>
        <v>0</v>
      </c>
    </row>
    <row r="6" spans="1:3" x14ac:dyDescent="0.25">
      <c r="A6" t="s">
        <v>108</v>
      </c>
      <c r="B6" t="s">
        <v>193</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C8"/>
  <sheetViews>
    <sheetView showGridLines="0" workbookViewId="0">
      <selection activeCell="D1" sqref="D1"/>
    </sheetView>
  </sheetViews>
  <sheetFormatPr baseColWidth="10" defaultColWidth="11.42578125" defaultRowHeight="15" x14ac:dyDescent="0.25"/>
  <cols>
    <col min="1" max="1" width="25.28515625" bestFit="1" customWidth="1"/>
    <col min="2" max="2" width="34.85546875" bestFit="1" customWidth="1"/>
    <col min="3" max="3" width="25.28515625" bestFit="1" customWidth="1"/>
  </cols>
  <sheetData>
    <row r="1" spans="1:3" ht="38.25" customHeight="1" x14ac:dyDescent="0.25">
      <c r="A1" t="s">
        <v>253</v>
      </c>
      <c r="B1" t="s">
        <v>250</v>
      </c>
      <c r="C1" t="s">
        <v>300</v>
      </c>
    </row>
    <row r="2" spans="1:3" x14ac:dyDescent="0.25">
      <c r="A2" t="s">
        <v>254</v>
      </c>
      <c r="B2" t="s">
        <v>254</v>
      </c>
      <c r="C2" t="s">
        <v>254</v>
      </c>
    </row>
    <row r="3" spans="1:3" x14ac:dyDescent="0.25">
      <c r="A3" t="s">
        <v>255</v>
      </c>
      <c r="B3" t="s">
        <v>255</v>
      </c>
      <c r="C3" t="s">
        <v>255</v>
      </c>
    </row>
    <row r="4" spans="1:3" x14ac:dyDescent="0.25">
      <c r="A4" t="s">
        <v>256</v>
      </c>
      <c r="B4" t="s">
        <v>256</v>
      </c>
      <c r="C4" t="s">
        <v>256</v>
      </c>
    </row>
    <row r="5" spans="1:3" x14ac:dyDescent="0.25">
      <c r="A5" t="s">
        <v>257</v>
      </c>
      <c r="B5" t="s">
        <v>257</v>
      </c>
      <c r="C5" t="s">
        <v>257</v>
      </c>
    </row>
    <row r="6" spans="1:3" x14ac:dyDescent="0.25">
      <c r="A6" t="s">
        <v>258</v>
      </c>
      <c r="B6" t="s">
        <v>259</v>
      </c>
      <c r="C6" t="s">
        <v>258</v>
      </c>
    </row>
    <row r="7" spans="1:3" x14ac:dyDescent="0.25">
      <c r="A7" t="s">
        <v>259</v>
      </c>
      <c r="C7" t="s">
        <v>259</v>
      </c>
    </row>
    <row r="8" spans="1:3" x14ac:dyDescent="0.25">
      <c r="A8" t="s">
        <v>260</v>
      </c>
    </row>
  </sheetData>
  <sheetProtection sort="0" autoFilter="0"/>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2290" r:id="rId4" name="cmd_Irdea_Alertas_CCB">
              <controlPr defaultSize="0" print="0" autoFill="0" autoPict="0" macro="[0]!Abre_Centrocontrol_de_Alertas">
                <anchor moveWithCells="1" sizeWithCells="1">
                  <from>
                    <xdr:col>0</xdr:col>
                    <xdr:colOff>0</xdr:colOff>
                    <xdr:row>0</xdr:row>
                    <xdr:rowOff>9525</xdr:rowOff>
                  </from>
                  <to>
                    <xdr:col>0</xdr:col>
                    <xdr:colOff>733425</xdr:colOff>
                    <xdr:row>0</xdr:row>
                    <xdr:rowOff>257175</xdr:rowOff>
                  </to>
                </anchor>
              </controlPr>
            </control>
          </mc:Choice>
        </mc:AlternateContent>
      </controls>
    </mc:Choice>
  </mc:AlternateContent>
  <tableParts count="1">
    <tablePart r:id="rId5"/>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A3" sqref="A3"/>
    </sheetView>
  </sheetViews>
  <sheetFormatPr baseColWidth="10" defaultRowHeight="15" x14ac:dyDescent="0.25"/>
  <sheetData>
    <row r="1" spans="1:1" x14ac:dyDescent="0.25">
      <c r="A1" t="s">
        <v>195</v>
      </c>
    </row>
    <row r="3" spans="1:1" x14ac:dyDescent="0.25">
      <c r="A3" t="s">
        <v>83</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3"/>
  <sheetViews>
    <sheetView showGridLines="0" workbookViewId="0">
      <selection activeCell="A2" sqref="A2:C2"/>
    </sheetView>
  </sheetViews>
  <sheetFormatPr baseColWidth="10" defaultRowHeight="15" x14ac:dyDescent="0.25"/>
  <cols>
    <col min="1" max="1" width="22.7109375" customWidth="1"/>
    <col min="2" max="2" width="20" customWidth="1"/>
  </cols>
  <sheetData>
    <row r="1" spans="1:3" x14ac:dyDescent="0.25">
      <c r="A1" t="s">
        <v>5</v>
      </c>
      <c r="B1" t="s">
        <v>4</v>
      </c>
      <c r="C1" t="s">
        <v>8</v>
      </c>
    </row>
    <row r="2" spans="1:3" x14ac:dyDescent="0.25">
      <c r="A2" t="s">
        <v>0</v>
      </c>
      <c r="B2" t="s">
        <v>250</v>
      </c>
      <c r="C2" t="s">
        <v>251</v>
      </c>
    </row>
    <row r="3" spans="1:3" x14ac:dyDescent="0.25">
      <c r="A3" t="s">
        <v>0</v>
      </c>
      <c r="B3" t="s">
        <v>300</v>
      </c>
      <c r="C3" t="s">
        <v>301</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C69F422-F23B-4AF9-A8AA-B10146FE38A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32</vt:i4>
      </vt:variant>
    </vt:vector>
  </HeadingPairs>
  <TitlesOfParts>
    <vt:vector size="33" baseType="lpstr">
      <vt:lpstr>CENTROCONTROL</vt:lpstr>
      <vt:lpstr>ACTUALIZACIONBODEGA</vt:lpstr>
      <vt:lpstr>ACTUALIZACIONCONSUMO</vt:lpstr>
      <vt:lpstr>ACTUALIZACIONHISTRANSFER</vt:lpstr>
      <vt:lpstr>ACTUALIZACIONINVENTARIO</vt:lpstr>
      <vt:lpstr>ACTUALIZACIONPRODUCTO</vt:lpstr>
      <vt:lpstr>BODEGAS</vt:lpstr>
      <vt:lpstr>DIR</vt:lpstr>
      <vt:lpstr>DURACIONREFRESCADO</vt:lpstr>
      <vt:lpstr>EMP</vt:lpstr>
      <vt:lpstr>EMPRESA</vt:lpstr>
      <vt:lpstr>ESTADOREFRESCADO</vt:lpstr>
      <vt:lpstr>Fecha_Calendario</vt:lpstr>
      <vt:lpstr>FECHAREFRESCADO</vt:lpstr>
      <vt:lpstr>FINREFRESCADO</vt:lpstr>
      <vt:lpstr>HojasCB_cla</vt:lpstr>
      <vt:lpstr>HojasCB_user</vt:lpstr>
      <vt:lpstr>HORAAPAGADO</vt:lpstr>
      <vt:lpstr>HORAIMPORTACION</vt:lpstr>
      <vt:lpstr>HORAREFRESCADO</vt:lpstr>
      <vt:lpstr>INICIOREFRESCADO</vt:lpstr>
      <vt:lpstr>ItemsSeleccionados</vt:lpstr>
      <vt:lpstr>MENSAJE</vt:lpstr>
      <vt:lpstr>PATH</vt:lpstr>
      <vt:lpstr>PATHTRANSFERENCIA</vt:lpstr>
      <vt:lpstr>REFRESCADO</vt:lpstr>
      <vt:lpstr>TIPO</vt:lpstr>
      <vt:lpstr>TODAS</vt:lpstr>
      <vt:lpstr>Trans_Dada_Baja</vt:lpstr>
      <vt:lpstr>transfer</vt:lpstr>
      <vt:lpstr>US</vt:lpstr>
      <vt:lpstr>USUARIO</vt:lpstr>
      <vt:lpstr>version</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2010-03-18T04:13:57Z</cp:lastPrinted>
  <dcterms:created xsi:type="dcterms:W3CDTF">2010-02-10T19:54:10Z</dcterms:created>
  <dcterms:modified xsi:type="dcterms:W3CDTF">2018-05-16T16:16:54Z</dcterms:modified>
</cp:coreProperties>
</file>