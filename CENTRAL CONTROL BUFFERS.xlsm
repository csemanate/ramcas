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7.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T16" i="1"/>
  <c r="C16" i="1" s="1"/>
  <c r="T17" i="1"/>
  <c r="D17" i="1" s="1"/>
  <c r="T18" i="1"/>
  <c r="E18" i="1" s="1"/>
  <c r="C2" i="24"/>
  <c r="C3" i="24"/>
  <c r="C4" i="24"/>
  <c r="C5" i="24"/>
  <c r="C6" i="24"/>
  <c r="B16" i="1"/>
  <c r="B17" i="1"/>
  <c r="B18" i="1"/>
  <c r="R18" i="1" l="1"/>
  <c r="P16" i="1"/>
  <c r="N18" i="1"/>
  <c r="M17" i="1"/>
  <c r="L16" i="1"/>
  <c r="J18" i="1"/>
  <c r="I17" i="1"/>
  <c r="H16" i="1"/>
  <c r="F18" i="1"/>
  <c r="E17" i="1"/>
  <c r="D16" i="1"/>
  <c r="S18" i="1"/>
  <c r="R17" i="1"/>
  <c r="O18" i="1"/>
  <c r="N17" i="1"/>
  <c r="M16" i="1"/>
  <c r="K18" i="1"/>
  <c r="J17" i="1"/>
  <c r="I16" i="1"/>
  <c r="G18" i="1"/>
  <c r="F17" i="1"/>
  <c r="E16" i="1"/>
  <c r="C18" i="1"/>
  <c r="S17" i="1"/>
  <c r="R16" i="1"/>
  <c r="P18" i="1"/>
  <c r="Q18" i="1" s="1"/>
  <c r="O17" i="1"/>
  <c r="N16" i="1"/>
  <c r="L18" i="1"/>
  <c r="K17" i="1"/>
  <c r="J16" i="1"/>
  <c r="H18" i="1"/>
  <c r="G17" i="1"/>
  <c r="F16" i="1"/>
  <c r="D18" i="1"/>
  <c r="C17" i="1"/>
  <c r="S16" i="1"/>
  <c r="P17" i="1"/>
  <c r="O16" i="1"/>
  <c r="M18" i="1"/>
  <c r="L17" i="1"/>
  <c r="K16" i="1"/>
  <c r="I18" i="1"/>
  <c r="H17" i="1"/>
  <c r="G16" i="1"/>
  <c r="C5" i="30"/>
  <c r="G5" i="30"/>
  <c r="H5" i="30"/>
  <c r="K5" i="30"/>
  <c r="L5" i="30"/>
  <c r="M5" i="30"/>
  <c r="N5" i="30"/>
  <c r="O5" i="30"/>
  <c r="P5" i="30"/>
  <c r="Q5" i="30"/>
  <c r="I2" i="30"/>
  <c r="I5" i="30" s="1"/>
  <c r="I3" i="30"/>
  <c r="I4" i="30"/>
  <c r="Q17" i="1" l="1"/>
  <c r="Q16" i="1"/>
  <c r="B19" i="1"/>
  <c r="I3" i="1"/>
  <c r="A19" i="1" l="1"/>
  <c r="J19" i="1" l="1"/>
  <c r="I19" i="1"/>
  <c r="K19" i="1"/>
  <c r="M19" i="1"/>
  <c r="D19" i="1"/>
  <c r="L19" i="1"/>
  <c r="C19" i="1"/>
  <c r="Q19" i="1" l="1"/>
  <c r="H19" i="1"/>
  <c r="G19" i="1"/>
  <c r="F19" i="1"/>
  <c r="E19"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C3"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3"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<sst xmlns="http://schemas.openxmlformats.org/spreadsheetml/2006/main" count="601" uniqueCount="305">
  <si>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</si>
  <si>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</si>
  <si>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</si>
  <si>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</si>
  <si>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</si>
  <si>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</si>
  <si>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</si>
  <si>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</si>
  <si>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</si>
  <si>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</si>
  <si>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</si>
  <si>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</si>
  <si>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</si>
  <si>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</si>
  <si>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</si>
  <si>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</si>
  <si>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</si>
  <si>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</si>
  <si>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</si>
  <si>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</si>
  <si>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</si>
  <si>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</si>
  <si>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</si>
  <si>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</si>
  <si>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</si>
  <si>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</si>
  <si>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</si>
  <si>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</si>
  <si>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</si>
  <si>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</si>
  <si>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</si>
  <si>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</si>
  <si>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</si>
  <si>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</si>
  <si>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</si>
  <si>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</si>
  <si>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</si>
  <si>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</si>
  <si>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</si>
  <si>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</si>
  <si>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</si>
  <si>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</si>
  <si>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</si>
  <si>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</si>
  <si>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</si>
  <si>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</si>
  <si>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</si>
  <si>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</si>
  <si>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</si>
  <si>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</si>
  <si>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</si>
  <si>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</si>
  <si>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</si>
  <si>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</si>
  <si>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</si>
  <si>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</si>
  <si>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</si>
  <si>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</si>
  <si>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</si>
  <si>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</si>
  <si>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</si>
  <si>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</si>
  <si>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</si>
  <si>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</si>
  <si>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</si>
  <si>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</si>
  <si>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</si>
  <si>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</si>
  <si>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</si>
  <si>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</si>
  <si>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</si>
  <si>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</si>
  <si>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</si>
  <si>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</si>
  <si>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</si>
  <si>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</si>
  <si>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</si>
  <si>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</si>
  <si>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</si>
  <si>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</si>
  <si>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</si>
  <si>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</si>
  <si>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</si>
  <si>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</si>
  <si>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</si>
  <si>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</si>
  <si>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</si>
  <si>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</si>
  <si>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</si>
  <si>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</si>
  <si>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</si>
  <si>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</si>
  <si>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</si>
  <si>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</si>
  <si>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</si>
  <si>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</si>
  <si>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</si>
  <si>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</si>
  <si>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</si>
  <si>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</si>
  <si>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</si>
  <si>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</si>
  <si>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</si>
  <si>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</si>
  <si>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</si>
  <si>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</si>
  <si>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</si>
  <si>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</si>
  <si>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</si>
  <si>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</si>
  <si>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</si>
  <si>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</si>
  <si>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</si>
  <si>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</si>
  <si>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</si>
  <si>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</si>
  <si>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</si>
  <si>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</si>
  <si>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</si>
  <si>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</si>
  <si>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</si>
  <si>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</si>
  <si>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</si>
  <si>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</si>
  <si>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</si>
  <si>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</si>
  <si>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</si>
  <si>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</si>
  <si>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</si>
  <si>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</si>
  <si>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</si>
  <si>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</si>
  <si>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</si>
  <si>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</si>
  <si>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</si>
  <si>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</si>
  <si>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</si>
  <si>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</si>
  <si>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</si>
  <si>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</si>
  <si>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</si>
  <si>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</si>
  <si>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</si>
  <si>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</si>
  <si>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</si>
  <si>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</si>
  <si>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</si>
  <si>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</si>
  <si>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</si>
  <si>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</si>
  <si>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</si>
  <si>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</si>
  <si>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</si>
  <si>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</si>
  <si>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</si>
  <si>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</si>
  <si>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</si>
  <si>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</si>
  <si>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</si>
  <si>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</si>
  <si>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</si>
  <si>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</si>
  <si>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</si>
  <si>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</si>
  <si>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</si>
  <si>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</si>
  <si>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</si>
  <si>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</si>
  <si>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</si>
  <si>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</si>
  <si>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</si>
  <si>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</si>
  <si>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</si>
  <si>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</si>
  <si>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</si>
  <si>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</si>
  <si>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</si>
  <si>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</si>
  <si>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</si>
  <si>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</si>
  <si>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</si>
  <si>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</si>
  <si>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</si>
  <si>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</si>
  <si>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</si>
  <si>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</si>
  <si>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</si>
  <si>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</si>
  <si>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</si>
  <si>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</si>
  <si>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</si>
  <si>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</si>
  <si>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</si>
  <si>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</si>
  <si>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</si>
  <si>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</si>
  <si>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</si>
  <si>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</si>
  <si>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</si>
  <si>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</si>
  <si>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</si>
  <si>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</si>
  <si>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</si>
  <si>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</si>
  <si>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</si>
  <si>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</si>
  <si>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</si>
  <si>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</si>
  <si>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</si>
  <si>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</si>
  <si>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</si>
  <si>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</si>
  <si>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</si>
  <si>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</si>
  <si>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</si>
  <si>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</si>
  <si>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</si>
  <si>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</si>
  <si>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</si>
  <si>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</si>
  <si>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</si>
  <si>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</si>
  <si>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</si>
  <si>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</si>
  <si>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</si>
  <si>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</si>
  <si>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</si>
  <si>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</si>
  <si>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</si>
  <si>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</si>
  <si>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</si>
  <si>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</si>
  <si>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</si>
  <si>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</si>
  <si>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</si>
  <si>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</si>
  <si>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</si>
  <si>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</si>
  <si>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</si>
  <si>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</si>
  <si>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</si>
  <si>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</si>
  <si>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</si>
  <si>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</si>
  <si>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</si>
  <si>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</si>
  <si>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</si>
  <si>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</si>
  <si>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</si>
  <si>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</si>
  <si>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</si>
  <si>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</si>
  <si>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</si>
  <si>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</si>
  <si>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</si>
  <si>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</si>
  <si>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</si>
  <si>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</si>
  <si>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</si>
  <si>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</si>
  <si>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</si>
  <si>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</si>
  <si>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</si>
  <si>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</si>
  <si>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</si>
  <si>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</si>
  <si>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</si>
  <si>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</si>
  <si>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</si>
  <si>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</si>
  <si>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</si>
  <si>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</si>
  <si>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</si>
  <si>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</si>
  <si>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</si>
  <si>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</si>
  <si>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</si>
  <si>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</si>
  <si>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</si>
  <si>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</si>
  <si>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</si>
  <si>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</si>
  <si>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</si>
  <si>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</si>
  <si>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</si>
  <si>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</si>
  <si>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</si>
  <si>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</si>
  <si>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</si>
  <si>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</si>
  <si>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</si>
  <si>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</si>
  <si>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</si>
  <si>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</si>
  <si>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</si>
  <si>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</si>
  <si>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</si>
  <si>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</si>
  <si>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</si>
  <si>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</si>
  <si>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</si>
  <si>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</si>
  <si>
    <t>O:\Accesorios.xlsm</t>
  </si>
  <si>
    <t>Agroinsumos Riera.xlsm</t>
  </si>
  <si>
    <t>O:\Agroinsumos Riera.xlsm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</si>
</sst>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167"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67" formatCode="hh:mm:ss;@"/>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67" formatCode="hh:mm:ss;@"/>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2.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3.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4.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1266825</xdr:colOff>
          <xdr:row>5</xdr:row>
          <xdr:rowOff>95250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2</xdr:row>
          <xdr:rowOff>28575</xdr:rowOff>
        </xdr:from>
        <xdr:to>
          <xdr:col>3</xdr:col>
          <xdr:colOff>714375</xdr:colOff>
          <xdr:row>3</xdr:row>
          <xdr:rowOff>95250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114300</xdr:colOff>
          <xdr:row>2</xdr:row>
          <xdr:rowOff>28575</xdr:rowOff>
        </xdr:from>
        <xdr:to>
          <xdr:col>2</xdr:col>
          <xdr:colOff>790575</xdr:colOff>
          <xdr:row>3</xdr:row>
          <xdr:rowOff>95250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698"/>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104775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797"/>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9" totalsRowCount="1" headerRowDxfId="126" dataDxfId="125" totalsRowDxfId="124">
  <autoFilter ref="A15:T16"/>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dataDxfId="109" totalsRowDxfId="31">
      <calculatedColumnFormula>IFERROR(INDEX(tbl_hojascb_estado_hoy[inicio_refrescado],tbl_HojasCB[[#This Row],[Coincidir]]),"")</calculatedColumnFormula>
    </tableColumn>
    <tableColumn id="16" name="REFRESCADO_FIN"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5" totalsRowShown="0">
  <autoFilter ref="A1:C5"/>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6.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19.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2.emf"/><Relationship Id="rId5" Type="http://schemas.openxmlformats.org/officeDocument/2006/relationships/control" Target="../activeX/activeX18.xml"/><Relationship Id="rId4"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20.xml"/><Relationship Id="rId5" Type="http://schemas.openxmlformats.org/officeDocument/2006/relationships/image" Target="../media/image23.emf"/><Relationship Id="rId4" Type="http://schemas.openxmlformats.org/officeDocument/2006/relationships/control" Target="../activeX/activeX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B20" sqref="B20"/>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29.85546875"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1">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7" t="s">
        <v>60</v>
      </c>
      <c r="H3" s="56"/>
      <c r="I3" s="59" t="str">
        <f>IF(COUNTIF(tbl_HojasCB[REFRESCADA],"1 - 1")=COUNTA(tbl_HojasCB[HOJAS]),"Completo","Incompleto")</f>
        <v>Completo</v>
      </c>
      <c r="J3" s="32"/>
      <c r="K3" s="32"/>
    </row>
    <row r="4" spans="1:20" ht="15" customHeight="1" x14ac:dyDescent="0.25">
      <c r="A4" s="32"/>
      <c r="C4" s="34"/>
      <c r="D4" s="34"/>
      <c r="E4" s="34"/>
      <c r="F4" s="34"/>
      <c r="G4" s="78" t="s">
        <v>61</v>
      </c>
      <c r="H4" s="55"/>
      <c r="I4" s="62">
        <v>43236</v>
      </c>
      <c r="J4" s="32"/>
      <c r="K4" s="32"/>
      <c r="O4" s="35"/>
    </row>
    <row r="5" spans="1:20" ht="15" customHeight="1" x14ac:dyDescent="0.35">
      <c r="A5" s="36"/>
      <c r="B5" s="37"/>
      <c r="E5" s="37"/>
      <c r="F5" s="37"/>
      <c r="G5" s="78" t="s">
        <v>299</v>
      </c>
      <c r="H5" s="55"/>
      <c r="I5" s="63">
        <f>DURACIONREFRESCADO</f>
        <v>6.435185183363501E-3</v>
      </c>
    </row>
    <row r="6" spans="1:20" ht="15" customHeight="1" x14ac:dyDescent="0.3">
      <c r="A6" s="38"/>
      <c r="B6" s="32"/>
      <c r="C6" s="32"/>
      <c r="D6" s="32"/>
      <c r="E6" s="32"/>
      <c r="F6" s="32"/>
      <c r="G6" s="73" t="s">
        <v>62</v>
      </c>
      <c r="H6" s="57"/>
      <c r="I6" s="64">
        <v>43235</v>
      </c>
    </row>
    <row r="7" spans="1:20" ht="15" customHeight="1" x14ac:dyDescent="0.25">
      <c r="A7" s="32"/>
      <c r="B7" s="32"/>
      <c r="C7" s="32"/>
      <c r="D7" s="32"/>
      <c r="E7" s="32"/>
      <c r="F7" s="32"/>
      <c r="G7" s="74" t="s">
        <v>63</v>
      </c>
      <c r="H7" s="55"/>
      <c r="I7" s="65">
        <v>43235</v>
      </c>
    </row>
    <row r="8" spans="1:20" ht="15" customHeight="1" x14ac:dyDescent="0.25">
      <c r="A8" s="68" t="s">
        <v>88</v>
      </c>
      <c r="B8" s="69"/>
      <c r="C8" s="37"/>
      <c r="D8" s="39" t="str">
        <f ca="1">HYPERLINK("["&amp;LEFT(CELL("filename",A1),FIND("[",CELL("filename",A1))-2)&amp;"\CONTROL DE BUFFERS\ARCHIVO\ARCHIVO.xlsm]","Archivo")</f>
        <v>Archivo</v>
      </c>
      <c r="E8" s="40" t="str">
        <f ca="1">HYPERLINK(LEFT(CELL("filename",A1),FIND("[",CELL("filename",A1))-2)&amp;"\CONTROL DE BUFFERS\ARCHIVO\","dir")</f>
        <v>dir</v>
      </c>
      <c r="F8" s="32"/>
      <c r="G8" s="74" t="s">
        <v>64</v>
      </c>
      <c r="H8" s="55"/>
      <c r="I8" s="65">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3" t="s">
        <v>73</v>
      </c>
      <c r="H9" s="58"/>
      <c r="I9" s="64"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3" t="s">
        <v>74</v>
      </c>
      <c r="H10" s="57"/>
      <c r="I10" s="64">
        <v>43229</v>
      </c>
    </row>
    <row r="11" spans="1:20" ht="15" customHeight="1" x14ac:dyDescent="0.25">
      <c r="A11" s="43"/>
      <c r="B11" s="32"/>
      <c r="C11" s="32"/>
      <c r="D11" s="39" t="str">
        <f ca="1">HYPERLINK("["&amp;LEFT(CELL("filename",A1),FIND("[",CELL("filename",A1))-2)&amp;"\CONTROL DE BUFFERS\PLANTILLAS\Plantilla Copiado Pegado.xlsx]","Copiado y Pegado")</f>
        <v>Copiado y Pegado</v>
      </c>
      <c r="E11" s="40"/>
      <c r="F11" s="32"/>
      <c r="G11" s="75" t="s">
        <v>68</v>
      </c>
      <c r="H11" s="57"/>
      <c r="I11" s="66">
        <v>9.7222222222222224E-2</v>
      </c>
    </row>
    <row r="12" spans="1:20" ht="15" customHeight="1" x14ac:dyDescent="0.3">
      <c r="A12" s="72" t="s">
        <v>165</v>
      </c>
      <c r="B12" s="60"/>
      <c r="C12" s="60"/>
      <c r="D12" s="60"/>
      <c r="E12" s="60"/>
      <c r="F12" s="60"/>
      <c r="G12" s="76" t="s">
        <v>144</v>
      </c>
      <c r="H12" s="55"/>
      <c r="I12" s="67">
        <v>8.3333333333333329E-2</v>
      </c>
    </row>
    <row r="13" spans="1:20" ht="15" customHeight="1" x14ac:dyDescent="0.25">
      <c r="G13" s="76" t="s">
        <v>78</v>
      </c>
      <c r="H13" s="55"/>
      <c r="I13" s="67">
        <v>0.97916666666666663</v>
      </c>
    </row>
    <row r="14" spans="1:20" ht="11.25" customHeight="1" x14ac:dyDescent="0.25">
      <c r="G14" s="32"/>
      <c r="H14" s="32"/>
      <c r="I14" s="70"/>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1">
        <f ca="1">IFERROR(COUNTA(INDIRECT("Alertas["&amp;tbl_HojasCB[[#This Row],[HOJAS]]&amp;"]")),0)</f>
        <v>7</v>
      </c>
      <c r="C16" s="46">
        <f>IFERROR(INDEX(tbl_hojascb_estado_hoy[costo_buffer],tbl_HojasCB[[#This Row],[Coincidir]]),"")</f>
        <v>108456.03</v>
      </c>
      <c r="D16" s="46">
        <f>IFERROR(INDEX(tbl_hojascb_estado_hoy[costo_fisico],tbl_HojasCB[[#This Row],[Coincidir]]),"")</f>
        <v>43626.19</v>
      </c>
      <c r="E16" s="46">
        <f>IFERROR(INDEX(tbl_hojascb_estado_hoy[costo_transito],tbl_HojasCB[[#This Row],[Coincidir]]),"")</f>
        <v>66202.210000000006</v>
      </c>
      <c r="F16" s="46">
        <f>IFERROR(INDEX(tbl_hojascb_estado_hoy[costo_comprometido],tbl_HojasCB[[#This Row],[Coincidir]]),"")</f>
        <v>0</v>
      </c>
      <c r="G16" s="46">
        <f>IFERROR(INDEX(tbl_hojascb_estado_hoy[costo_backorder],tbl_HojasCB[[#This Row],[Coincidir]]),"")</f>
        <v>32485.01</v>
      </c>
      <c r="H16" s="46">
        <f>IFERROR(INDEX(tbl_hojascb_estado_hoy[costo_proyectado],tbl_HojasCB[[#This Row],[Coincidir]]),"")</f>
        <v>142313.41</v>
      </c>
      <c r="I16" s="46">
        <f>IFERROR(INDEX(tbl_hojascb_estado_hoy[costo_total],tbl_HojasCB[[#This Row],[Coincidir]]),"")</f>
        <v>109828.4</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43235.964768518519</v>
      </c>
      <c r="P16" s="49">
        <f>IFERROR(INDEX(tbl_hojascb_estado_hoy[fin_refrescado],tbl_HojasCB[[#This Row],[Coincidir]]),"")</f>
        <v>43235.965983796297</v>
      </c>
      <c r="Q16" s="50">
        <f>IFERROR(tbl_HojasCB[[#This Row],[REFRESCADO_FIN]]-tbl_HojasCB[[#This Row],[REFRESCADO_INI]],"")</f>
        <v>1.2152777781011537E-3</v>
      </c>
      <c r="R16" s="49">
        <f>IFERROR(INDEX(tbl_hojascb_estado_hoy[guardado],tbl_HojasCB[[#This Row],[Coincidir]]),"")</f>
        <v>43235.966087962966</v>
      </c>
      <c r="S16" s="51"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1">
        <f ca="1">IFERROR(COUNTA(INDIRECT("Alertas["&amp;tbl_HojasCB[[#This Row],[HOJAS]]&amp;"]")),0)</f>
        <v>5</v>
      </c>
      <c r="C17" s="46">
        <f>IFERROR(INDEX(tbl_hojascb_estado_hoy[costo_buffer],tbl_HojasCB[[#This Row],[Coincidir]]),"")</f>
        <v>887483.71</v>
      </c>
      <c r="D17" s="46">
        <f>IFERROR(INDEX(tbl_hojascb_estado_hoy[costo_fisico],tbl_HojasCB[[#This Row],[Coincidir]]),"")</f>
        <v>289590.53000000003</v>
      </c>
      <c r="E17" s="46">
        <f>IFERROR(INDEX(tbl_hojascb_estado_hoy[costo_transito],tbl_HojasCB[[#This Row],[Coincidir]]),"")</f>
        <v>209520.14</v>
      </c>
      <c r="F17" s="46">
        <f>IFERROR(INDEX(tbl_hojascb_estado_hoy[costo_comprometido],tbl_HojasCB[[#This Row],[Coincidir]]),"")</f>
        <v>0</v>
      </c>
      <c r="G17" s="46">
        <f>IFERROR(INDEX(tbl_hojascb_estado_hoy[costo_backorder],tbl_HojasCB[[#This Row],[Coincidir]]),"")</f>
        <v>1426.24</v>
      </c>
      <c r="H17" s="46">
        <f>IFERROR(INDEX(tbl_hojascb_estado_hoy[costo_proyectado],tbl_HojasCB[[#This Row],[Coincidir]]),"")</f>
        <v>500536.91</v>
      </c>
      <c r="I17" s="46">
        <f>IFERROR(INDEX(tbl_hojascb_estado_hoy[costo_total],tbl_HojasCB[[#This Row],[Coincidir]]),"")</f>
        <v>499110.67</v>
      </c>
      <c r="J17" s="47">
        <f>IFERROR(INDEX(tbl_hojascb_estado_hoy[sku_totales],tbl_HojasCB[[#This Row],[Coincidir]]),"")</f>
        <v>57</v>
      </c>
      <c r="K17" s="47">
        <f>IFERROR(INDEX(tbl_hojascb_estado_hoy[sku_buffer],tbl_HojasCB[[#This Row],[Coincidir]]),"")</f>
        <v>45</v>
      </c>
      <c r="L17" s="47">
        <f>IFERROR(INDEX(tbl_hojascb_estado_hoy[dias_periodo],tbl_HojasCB[[#This Row],[Coincidir]]),"")</f>
        <v>228</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43235.966423611113</v>
      </c>
      <c r="P17" s="49">
        <f>IFERROR(INDEX(tbl_hojascb_estado_hoy[fin_refrescado],tbl_HojasCB[[#This Row],[Coincidir]]),"")</f>
        <v>43235.967766203707</v>
      </c>
      <c r="Q17" s="50">
        <f>IFERROR(tbl_HojasCB[[#This Row],[REFRESCADO_FIN]]-tbl_HojasCB[[#This Row],[REFRESCADO_INI]],"")</f>
        <v>1.3425925935734995E-3</v>
      </c>
      <c r="R17" s="49">
        <f>IFERROR(INDEX(tbl_hojascb_estado_hoy[guardado],tbl_HojasCB[[#This Row],[Coincidir]]),"")</f>
        <v>43235.967870370368</v>
      </c>
      <c r="S17" s="51"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35" t="s">
        <v>300</v>
      </c>
      <c r="B18" s="61">
        <f ca="1">IFERROR(COUNTA(INDIRECT("Alertas["&amp;tbl_HojasCB[[#This Row],[HOJAS]]&amp;"]")),0)</f>
        <v>6</v>
      </c>
      <c r="C18" s="46">
        <f>IFERROR(INDEX(tbl_hojascb_estado_hoy[costo_buffer],tbl_HojasCB[[#This Row],[Coincidir]]),"")</f>
        <v>99809.44</v>
      </c>
      <c r="D18" s="46">
        <f>IFERROR(INDEX(tbl_hojascb_estado_hoy[costo_fisico],tbl_HojasCB[[#This Row],[Coincidir]]),"")</f>
        <v>120477.14</v>
      </c>
      <c r="E18" s="46">
        <f>IFERROR(INDEX(tbl_hojascb_estado_hoy[costo_transito],tbl_HojasCB[[#This Row],[Coincidir]]),"")</f>
        <v>49332.959999999999</v>
      </c>
      <c r="F18" s="46">
        <f>IFERROR(INDEX(tbl_hojascb_estado_hoy[costo_comprometido],tbl_HojasCB[[#This Row],[Coincidir]]),"")</f>
        <v>0</v>
      </c>
      <c r="G18" s="46">
        <f>IFERROR(INDEX(tbl_hojascb_estado_hoy[costo_backorder],tbl_HojasCB[[#This Row],[Coincidir]]),"")</f>
        <v>2008.49</v>
      </c>
      <c r="H18" s="46">
        <f>IFERROR(INDEX(tbl_hojascb_estado_hoy[costo_proyectado],tbl_HojasCB[[#This Row],[Coincidir]]),"")</f>
        <v>171818.59</v>
      </c>
      <c r="I18" s="46">
        <f>IFERROR(INDEX(tbl_hojascb_estado_hoy[costo_total],tbl_HojasCB[[#This Row],[Coincidir]]),"")</f>
        <v>169810.1</v>
      </c>
      <c r="J18" s="47">
        <f>IFERROR(INDEX(tbl_hojascb_estado_hoy[sku_totales],tbl_HojasCB[[#This Row],[Coincidir]]),"")</f>
        <v>1282</v>
      </c>
      <c r="K18" s="47">
        <f>IFERROR(INDEX(tbl_hojascb_estado_hoy[sku_buffer],tbl_HojasCB[[#This Row],[Coincidir]]),"")</f>
        <v>1171</v>
      </c>
      <c r="L18" s="47">
        <f>IFERROR(INDEX(tbl_hojascb_estado_hoy[dias_periodo],tbl_HojasCB[[#This Row],[Coincidir]]),"")</f>
        <v>190</v>
      </c>
      <c r="M18" s="47">
        <f>IFERROR(INDEX(tbl_hojascb_estado_hoy[duplicados],tbl_HojasCB[[#This Row],[Coincidir]]),"")</f>
        <v>0</v>
      </c>
      <c r="N18" s="48" t="str">
        <f>IFERROR(INDEX(tbl_hojascb_estado_hoy[refrescada],tbl_HojasCB[[#This Row],[Coincidir]]),"")&amp;" - "&amp;IFERROR(INDEX(tbl_hojascb_estado_hoy[base_datos],tbl_HojasCB[[#This Row],[Coincidir]]),"")</f>
        <v>1 - 1</v>
      </c>
      <c r="O18" s="49">
        <f>IFERROR(INDEX(tbl_hojascb_estado_hoy[inicio_refrescado],tbl_HojasCB[[#This Row],[Coincidir]]),"")</f>
        <v>43235.968240740738</v>
      </c>
      <c r="P18" s="49">
        <f>IFERROR(INDEX(tbl_hojascb_estado_hoy[fin_refrescado],tbl_HojasCB[[#This Row],[Coincidir]]),"")</f>
        <v>43235.97042824074</v>
      </c>
      <c r="Q18" s="50">
        <f>IFERROR(tbl_HojasCB[[#This Row],[REFRESCADO_FIN]]-tbl_HojasCB[[#This Row],[REFRESCADO_INI]],"")</f>
        <v>2.1875000020372681E-3</v>
      </c>
      <c r="R18" s="49">
        <f>IFERROR(INDEX(tbl_hojascb_estado_hoy[guardado],tbl_HojasCB[[#This Row],[Coincidir]]),"")</f>
        <v>43235.970671296294</v>
      </c>
      <c r="S18" s="51" t="str">
        <f>IF(IFERROR(INDEX(tbl_hojascb_estado_hoy[razon],tbl_HojasCB[[#This Row],[Coincidir]]),"")=0,"",IFERROR(INDEX(tbl_hojascb_estado_hoy[razon],tbl_HojasCB[[#This Row],[Coincidir]]),""))</f>
        <v/>
      </c>
      <c r="T18" s="48">
        <f>MATCH(EMP&amp;tbl_HojasCB[[#This Row],[HOJAS]],tbl_hojascb_estado_hoy[empresa_hoja],0)</f>
        <v>5</v>
      </c>
    </row>
    <row r="19" spans="1:20" ht="15" customHeight="1" x14ac:dyDescent="0.25">
      <c r="A19" s="52" t="str">
        <f>"Total Hojas:  "&amp;SUBTOTAL(103,tbl_HojasCB[HOJAS])</f>
        <v>Total Hojas:  3</v>
      </c>
      <c r="B19" s="52">
        <f ca="1">SUBTOTAL(109,tbl_HojasCB[ALERTAS])</f>
        <v>18</v>
      </c>
      <c r="C19" s="46">
        <f>SUBTOTAL(109,tbl_HojasCB[COSTO BUFFER])</f>
        <v>1095749.18</v>
      </c>
      <c r="D19" s="46">
        <f>SUBTOTAL(109,tbl_HojasCB[COSTO FÍSICO])</f>
        <v>453693.86000000004</v>
      </c>
      <c r="E19" s="46">
        <f>SUBTOTAL(109,tbl_HojasCB[COSTO TRÁNSITO])</f>
        <v>325055.31000000006</v>
      </c>
      <c r="F19" s="46">
        <f>SUBTOTAL(109,tbl_HojasCB[COSTO COMPROM])</f>
        <v>0</v>
      </c>
      <c r="G19" s="46">
        <f>SUBTOTAL(109,tbl_HojasCB[COSTO BACKORDER])</f>
        <v>35919.74</v>
      </c>
      <c r="H19" s="46">
        <f>SUBTOTAL(109,tbl_HojasCB[COSTO PROYECTADO])</f>
        <v>814668.90999999992</v>
      </c>
      <c r="I19" s="46">
        <f>SUBTOTAL(109,tbl_HojasCB[COSTO TOTAL])</f>
        <v>778749.16999999993</v>
      </c>
      <c r="J19" s="53">
        <f>SUBTOTAL(109,tbl_HojasCB[ÍTEMS TOTALES])</f>
        <v>1419</v>
      </c>
      <c r="K19" s="53">
        <f>SUBTOTAL(109,tbl_HojasCB[ÍTEMS CON BUFFER])</f>
        <v>1279</v>
      </c>
      <c r="L19" s="53">
        <f>SUBTOTAL(109,tbl_HojasCB[DÍAS PERÍODO])</f>
        <v>592</v>
      </c>
      <c r="M19" s="53">
        <f>SUBTOTAL(109,tbl_HojasCB[DUPLICADOS])</f>
        <v>0</v>
      </c>
      <c r="N19" s="52"/>
      <c r="O19" s="52"/>
      <c r="P19" s="52"/>
      <c r="Q19" s="50">
        <f>SUBTOTAL(109,tbl_HojasCB[DURACIÓN])</f>
        <v>4.7453703737119213E-3</v>
      </c>
      <c r="R19" s="52"/>
      <c r="T19" s="52"/>
    </row>
    <row r="20" spans="1:20" ht="15" customHeight="1" x14ac:dyDescent="0.25"/>
    <row r="21" spans="1:20" ht="15" customHeight="1" x14ac:dyDescent="0.25"/>
    <row r="22" spans="1:20" ht="15" customHeight="1" x14ac:dyDescent="0.25"/>
    <row r="23" spans="1:20" ht="15" customHeight="1" x14ac:dyDescent="0.25"/>
    <row r="128" spans="184:185" x14ac:dyDescent="0.25">
      <c r="GB128" s="54" t="s">
        <v>194</v>
      </c>
      <c r="GC128" s="33" t="s">
        <v>145</v>
      </c>
    </row>
  </sheetData>
  <sheetProtection algorithmName="SHA-512" hashValue="qYyE3gjTXdolQOhvXiTLFh1u5rztjcNq1tT8tPyCCZOSarJX4xd0CyfsOY+2Yp2GortRnuYiDG2vTvCfP4HxRQ==" saltValue="H3J32FzcybJdzdQ3D73BYg=="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8">
    <cfRule type="expression" dxfId="19" priority="1" stopIfTrue="1">
      <formula>OR(TRUNC($P16)&lt;TODAY(),$N16&lt;&gt;"1 - 1")</formula>
    </cfRule>
    <cfRule type="expression" dxfId="18" priority="3116" stopIfTrue="1">
      <formula>$M16&gt;0</formula>
    </cfRule>
  </conditionalFormatting>
  <conditionalFormatting sqref="B16:B18">
    <cfRule type="colorScale" priority="3117">
      <colorScale>
        <cfvo type="num" val="0"/>
        <cfvo type="percentile" val="50"/>
        <cfvo type="num" val="6"/>
        <color rgb="FF63BE7B"/>
        <color rgb="FFFFEB84"/>
        <color rgb="FFF8696B"/>
      </colorScale>
    </cfRule>
  </conditionalFormatting>
  <conditionalFormatting sqref="C16:C18">
    <cfRule type="dataBar" priority="3503">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8">
    <cfRule type="dataBar" priority="3504">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8">
    <cfRule type="dataBar" priority="3505">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8">
    <cfRule type="dataBar" priority="3506">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8">
    <cfRule type="dataBar" priority="3507">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8">
    <cfRule type="dataBar" priority="3508">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8">
    <cfRule type="dataBar" priority="3509">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8">
    <cfRule type="dataBar" priority="3510">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8">
    <cfRule type="dataBar" priority="3511">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9</xdr:row>
                <xdr:rowOff>9525</xdr:rowOff>
              </from>
              <to>
                <xdr:col>4</xdr:col>
                <xdr:colOff>819150</xdr:colOff>
                <xdr:row>9</xdr:row>
                <xdr:rowOff>180975</xdr:rowOff>
              </to>
            </anchor>
          </controlPr>
        </control>
      </mc:Choice>
      <mc:Fallback>
        <control shapeId="1061" r:id="rId6" name="cmd_Refrescar_Alertas"/>
      </mc:Fallback>
    </mc:AlternateContent>
    <mc:AlternateContent xmlns:mc="http://schemas.openxmlformats.org/markup-compatibility/2006">
      <mc:Choice Requires="x14">
        <control shapeId="1060" r:id="rId8" name="cmd_refresca_items">
          <controlPr defaultSize="0" autoLine="0" r:id="rId9">
            <anchor>
              <from>
                <xdr:col>3</xdr:col>
                <xdr:colOff>28575</xdr:colOff>
                <xdr:row>2</xdr:row>
                <xdr:rowOff>28575</xdr:rowOff>
              </from>
              <to>
                <xdr:col>3</xdr:col>
                <xdr:colOff>714375</xdr:colOff>
                <xdr:row>3</xdr:row>
                <xdr:rowOff>95250</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476250</xdr:colOff>
                <xdr:row>2</xdr:row>
                <xdr:rowOff>28575</xdr:rowOff>
              </from>
              <to>
                <xdr:col>5</xdr:col>
                <xdr:colOff>819150</xdr:colOff>
                <xdr:row>3</xdr:row>
                <xdr:rowOff>104775</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1314450</xdr:colOff>
                <xdr:row>4</xdr:row>
                <xdr:rowOff>19050</xdr:rowOff>
              </from>
              <to>
                <xdr:col>0</xdr:col>
                <xdr:colOff>2190750</xdr:colOff>
                <xdr:row>6</xdr:row>
                <xdr:rowOff>66675</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38100</xdr:rowOff>
              </from>
              <to>
                <xdr:col>0</xdr:col>
                <xdr:colOff>1266825</xdr:colOff>
                <xdr:row>5</xdr:row>
                <xdr:rowOff>95250</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2219325</xdr:colOff>
                <xdr:row>4</xdr:row>
                <xdr:rowOff>19050</xdr:rowOff>
              </from>
              <to>
                <xdr:col>2</xdr:col>
                <xdr:colOff>276225</xdr:colOff>
                <xdr:row>6</xdr:row>
                <xdr:rowOff>66675</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4</xdr:col>
                <xdr:colOff>190500</xdr:colOff>
                <xdr:row>9</xdr:row>
                <xdr:rowOff>9525</xdr:rowOff>
              </from>
              <to>
                <xdr:col>4</xdr:col>
                <xdr:colOff>533400</xdr:colOff>
                <xdr:row>9</xdr:row>
                <xdr:rowOff>180975</xdr:rowOff>
              </to>
            </anchor>
          </controlPr>
        </control>
      </mc:Choice>
      <mc:Fallback>
        <control shapeId="1062" r:id="rId18" name="cmd_Alertas_Actuales"/>
      </mc:Fallback>
    </mc:AlternateContent>
    <mc:AlternateContent xmlns:mc="http://schemas.openxmlformats.org/markup-compatibility/2006">
      <mc:Choice Requires="x14">
        <control shapeId="1517" r:id="rId20" name="cmdTraeFechasRefrescado">
          <controlPr defaultSize="0" disabled="1" autoLine="0" r:id="rId21">
            <anchor>
              <from>
                <xdr:col>2</xdr:col>
                <xdr:colOff>114300</xdr:colOff>
                <xdr:row>2</xdr:row>
                <xdr:rowOff>28575</xdr:rowOff>
              </from>
              <to>
                <xdr:col>2</xdr:col>
                <xdr:colOff>790575</xdr:colOff>
                <xdr:row>3</xdr:row>
                <xdr:rowOff>95250</xdr:rowOff>
              </to>
            </anchor>
          </controlPr>
        </control>
      </mc:Choice>
      <mc:Fallback>
        <control shapeId="1517" r:id="rId20" name="cmdTraeFechasRefrescado"/>
      </mc:Fallback>
    </mc:AlternateContent>
    <mc:AlternateContent xmlns:mc="http://schemas.openxmlformats.org/markup-compatibility/2006">
      <mc:Choice Requires="x14">
        <control shapeId="49451" r:id="rId22" name="cmd_Reportaje">
          <controlPr defaultSize="0" autoLine="0" r:id="rId23">
            <anchor>
              <from>
                <xdr:col>2</xdr:col>
                <xdr:colOff>638175</xdr:colOff>
                <xdr:row>4</xdr:row>
                <xdr:rowOff>19050</xdr:rowOff>
              </from>
              <to>
                <xdr:col>3</xdr:col>
                <xdr:colOff>752475</xdr:colOff>
                <xdr:row>6</xdr:row>
                <xdr:rowOff>66675</xdr:rowOff>
              </to>
            </anchor>
          </controlPr>
        </control>
      </mc:Choice>
      <mc:Fallback>
        <control shapeId="49451" r:id="rId22" name="cmd_Reportaje"/>
      </mc:Fallback>
    </mc:AlternateContent>
    <mc:AlternateContent xmlns:mc="http://schemas.openxmlformats.org/markup-compatibility/2006">
      <mc:Choice Requires="x14">
        <control shapeId="96465" r:id="rId24" name="cmdNuevaTransfer">
          <controlPr defaultSize="0" autoLine="0" r:id="rId25">
            <anchor>
              <from>
                <xdr:col>2</xdr:col>
                <xdr:colOff>276225</xdr:colOff>
                <xdr:row>4</xdr:row>
                <xdr:rowOff>19050</xdr:rowOff>
              </from>
              <to>
                <xdr:col>2</xdr:col>
                <xdr:colOff>628650</xdr:colOff>
                <xdr:row>5</xdr:row>
                <xdr:rowOff>114300</xdr:rowOff>
              </to>
            </anchor>
          </controlPr>
        </control>
      </mc:Choice>
      <mc:Fallback>
        <control shapeId="96465" r:id="rId24" name="cmdNuevaTransfer"/>
      </mc:Fallback>
    </mc:AlternateContent>
    <mc:AlternateContent xmlns:mc="http://schemas.openxmlformats.org/markup-compatibility/2006">
      <mc:Choice Requires="x14">
        <control shapeId="170289" r:id="rId26"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7"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8" name="cmd_Importa_Datos_ERP">
          <controlPr defaultSize="0" print="0" autoFill="0" autoPict="0" macro="[0]!Trae_Datos_del_ERP">
            <anchor>
              <from>
                <xdr:col>3</xdr:col>
                <xdr:colOff>828675</xdr:colOff>
                <xdr:row>4</xdr:row>
                <xdr:rowOff>19050</xdr:rowOff>
              </from>
              <to>
                <xdr:col>4</xdr:col>
                <xdr:colOff>800100</xdr:colOff>
                <xdr:row>6</xdr:row>
                <xdr:rowOff>104775</xdr:rowOff>
              </to>
            </anchor>
          </controlPr>
        </control>
      </mc:Choice>
    </mc:AlternateContent>
  </controls>
  <tableParts count="1">
    <tablePart r:id="rId29"/>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C16:C18</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D16:D18</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E16:E18</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G16:G18</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H16:H18</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I16:I18</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J16:J18</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K16:K18</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43235.964768518519</v>
      </c>
      <c r="F2" s="24">
        <v>43235.965983796297</v>
      </c>
      <c r="G2" s="24">
        <v>43235.966087962966</v>
      </c>
      <c r="I2">
        <v>174</v>
      </c>
      <c r="J2">
        <v>0</v>
      </c>
      <c r="K2">
        <v>80</v>
      </c>
      <c r="L2">
        <v>63</v>
      </c>
      <c r="M2">
        <v>108456.03</v>
      </c>
      <c r="N2">
        <v>43626.19</v>
      </c>
      <c r="O2">
        <v>66202.210000000006</v>
      </c>
      <c r="P2">
        <v>0</v>
      </c>
      <c r="Q2">
        <v>32485.01</v>
      </c>
      <c r="R2">
        <v>142313.41</v>
      </c>
      <c r="S2">
        <v>109828.4</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43233.899895833332</v>
      </c>
      <c r="F4" s="24">
        <v>43233.902037037034</v>
      </c>
      <c r="G4" s="24">
        <v>43234.377569444441</v>
      </c>
      <c r="I4">
        <v>223</v>
      </c>
      <c r="J4">
        <v>0</v>
      </c>
      <c r="K4">
        <v>57</v>
      </c>
      <c r="L4">
        <v>45</v>
      </c>
      <c r="M4">
        <v>887483.71</v>
      </c>
      <c r="N4">
        <v>287836.81</v>
      </c>
      <c r="O4">
        <v>209520.14</v>
      </c>
      <c r="P4">
        <v>0</v>
      </c>
      <c r="Q4">
        <v>1426.24</v>
      </c>
      <c r="R4">
        <v>498783.19</v>
      </c>
      <c r="S4">
        <v>497356.95</v>
      </c>
      <c r="T4" s="2" t="str">
        <f>tbl_hojascb_estado_hoy[[#This Row],[empresa]]&amp;tbl_hojascb_estado_hoy[[#This Row],[hoja_cb]]</f>
        <v>AGROTAControl Buffers.xlsm</v>
      </c>
    </row>
    <row r="5" spans="1:20" x14ac:dyDescent="0.25">
      <c r="A5" t="s">
        <v>0</v>
      </c>
      <c r="B5" t="s">
        <v>250</v>
      </c>
      <c r="C5">
        <v>1</v>
      </c>
      <c r="D5">
        <v>1</v>
      </c>
      <c r="E5" s="24">
        <v>43235.966423611113</v>
      </c>
      <c r="F5" s="24">
        <v>43235.967766203707</v>
      </c>
      <c r="G5" s="24">
        <v>43235.967870370368</v>
      </c>
      <c r="I5">
        <v>228</v>
      </c>
      <c r="J5">
        <v>0</v>
      </c>
      <c r="K5">
        <v>57</v>
      </c>
      <c r="L5">
        <v>45</v>
      </c>
      <c r="M5">
        <v>887483.71</v>
      </c>
      <c r="N5">
        <v>289590.53000000003</v>
      </c>
      <c r="O5">
        <v>209520.14</v>
      </c>
      <c r="P5">
        <v>0</v>
      </c>
      <c r="Q5">
        <v>1426.24</v>
      </c>
      <c r="R5">
        <v>500536.91</v>
      </c>
      <c r="S5">
        <v>499110.67</v>
      </c>
      <c r="T5" s="2" t="str">
        <f>tbl_hojascb_estado_hoy[[#This Row],[empresa]]&amp;tbl_hojascb_estado_hoy[[#This Row],[hoja_cb]]</f>
        <v>AGROTAMaquinas ECHO - SHINDAIWA.xlsm</v>
      </c>
    </row>
    <row r="6" spans="1:20" x14ac:dyDescent="0.25">
      <c r="A6" t="s">
        <v>0</v>
      </c>
      <c r="B6" t="s">
        <v>300</v>
      </c>
      <c r="C6">
        <v>1</v>
      </c>
      <c r="D6">
        <v>1</v>
      </c>
      <c r="E6" s="24">
        <v>43235.968240740738</v>
      </c>
      <c r="F6" s="24">
        <v>43235.97042824074</v>
      </c>
      <c r="G6" s="24">
        <v>43235.970671296294</v>
      </c>
      <c r="I6">
        <v>190</v>
      </c>
      <c r="J6">
        <v>0</v>
      </c>
      <c r="K6">
        <v>1282</v>
      </c>
      <c r="L6">
        <v>1171</v>
      </c>
      <c r="M6">
        <v>99809.44</v>
      </c>
      <c r="N6">
        <v>120477.14</v>
      </c>
      <c r="O6">
        <v>49332.959999999999</v>
      </c>
      <c r="P6">
        <v>0</v>
      </c>
      <c r="Q6">
        <v>2008.49</v>
      </c>
      <c r="R6">
        <v>171818.59</v>
      </c>
      <c r="S6">
        <v>169810.1</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467">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-1385</v>
      </c>
    </row>
    <row r="4" spans="1:3" x14ac:dyDescent="0.25">
      <c r="A4" s="1" t="s">
        <v>75</v>
      </c>
      <c r="B4" s="16">
        <v>41866</v>
      </c>
      <c r="C4" s="7">
        <f ca="1">Tabla_DIAS_RESTANTES[[#This Row],[FIN PERÍODO]]-TODAY()</f>
        <v>-1371</v>
      </c>
    </row>
    <row r="5" spans="1:3" x14ac:dyDescent="0.25">
      <c r="A5" s="1" t="s">
        <v>77</v>
      </c>
      <c r="B5" s="16">
        <v>41866</v>
      </c>
      <c r="C5" s="7">
        <f ca="1">Tabla_DIAS_RESTANTES[[#This Row],[FIN PERÍODO]]-TODAY()</f>
        <v>-1371</v>
      </c>
    </row>
    <row r="6" spans="1:3" x14ac:dyDescent="0.25">
      <c r="A6" s="1" t="s">
        <v>72</v>
      </c>
      <c r="B6" s="16">
        <v>41873</v>
      </c>
      <c r="C6" s="7">
        <f ca="1">Tabla_DIAS_RESTANTES[[#This Row],[FIN PERÍODO]]-TODAY()</f>
        <v>-1364</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row r="4" spans="1:18" x14ac:dyDescent="0.25">
      <c r="P4" t="s">
        <v>300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5"/>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302</v>
      </c>
    </row>
    <row r="3" spans="1:3" x14ac:dyDescent="0.25">
      <c r="A3" t="s">
        <v>0</v>
      </c>
      <c r="B3" t="s">
        <v>303</v>
      </c>
      <c r="C3" t="s">
        <v>304</v>
      </c>
    </row>
    <row r="4" spans="1:3" x14ac:dyDescent="0.25">
      <c r="A4" t="s">
        <v>0</v>
      </c>
      <c r="B4" t="s">
        <v>250</v>
      </c>
      <c r="C4" t="s">
        <v>251</v>
      </c>
    </row>
    <row r="5" spans="1:3" x14ac:dyDescent="0.25">
      <c r="A5" t="s">
        <v>0</v>
      </c>
      <c r="B5" t="s">
        <v>300</v>
      </c>
      <c r="C5"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6BA818-64D4-48D1-8215-B821E6FC40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2018-05-17T05:04:07Z</dcterms:modified>
</cp:coreProperties>
</file>