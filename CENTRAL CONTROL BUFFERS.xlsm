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veryHidden" r:id="rId4"/>
    <sheet name="Todas" sheetId="31" state="veryHidden" r:id="rId5"/>
    <sheet name="Fechas_Refrescado" sheetId="30" state="veryHidden" r:id="rId6"/>
    <sheet name="Directorios" sheetId="29" state="hidden" r:id="rId7"/>
    <sheet name="EMPRESA" sheetId="3" state="veryHidden" r:id="rId8"/>
    <sheet name="EMPRESABODEGA" sheetId="20" state="hidden" r:id="rId9"/>
    <sheet name="ARCHIVOSCB" sheetId="2" state="hidden" r:id="rId10"/>
    <sheet name="ARCHIVOSBODEGAS" sheetId="19" state="hidden" r:id="rId11"/>
    <sheet name="PERFIL" sheetId="21" state="hidden" r:id="rId12"/>
    <sheet name="PROVEEDORES" sheetId="18" state="veryHidden" r:id="rId13"/>
    <sheet name="DIAS_RESTANTES" sheetId="4" state="veryHidden" r:id="rId14"/>
    <sheet name="NUMERO_ITEMS" sheetId="5" state="veryHidden" r:id="rId15"/>
    <sheet name="TRANSFERENCIAS" sheetId="13" state="hidden" r:id="rId16"/>
    <sheet name="ITEMS_EMPRESA" sheetId="14" state="hidden" r:id="rId17"/>
    <sheet name="PATH" sheetId="15" state="hidden" r:id="rId18"/>
    <sheet name="AUX" sheetId="16" state="hidden" r:id="rId19"/>
    <sheet name="BorraTransfer" sheetId="17" state="veryHidden" r:id="rId20"/>
    <sheet name="ITEMS_SELECCIONADOS" sheetId="22" state="hidden" r:id="rId21"/>
    <sheet name="DURACION" sheetId="23" state="hidden" r:id="rId22"/>
    <sheet name="Parametros" sheetId="24" state="hidden" r:id="rId23"/>
    <sheet name="Alertas" sheetId="25" state="veryHidden" r:id="rId24"/>
    <sheet name="USER" sheetId="26" state="veryHidden" r:id="rId25"/>
    <sheet name="ArchivosPermitidos" sheetId="27" state="very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4" i="30" l="1"/>
  <c r="G4" i="30"/>
  <c r="H4" i="30"/>
  <c r="K4" i="30"/>
  <c r="L4" i="30"/>
  <c r="M4" i="30"/>
  <c r="N4" i="30"/>
  <c r="O4" i="30"/>
  <c r="P4" i="30"/>
  <c r="Q4" i="30"/>
  <c r="I2" i="30"/>
  <c r="I4" i="30" s="1"/>
  <c r="I3" i="30"/>
  <c r="C2" i="24" l="1"/>
  <c r="C3" i="24"/>
  <c r="C4" i="24"/>
  <c r="C5" i="24"/>
  <c r="C6" i="24"/>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<sst xmlns="http://schemas.openxmlformats.org/spreadsheetml/2006/main" count="524" uniqueCount="262">
  <si>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</si>
  <si>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</si>
  <si>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</si>
  <si>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</si>
  <si>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</si>
  <si>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</si>
  <si>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</si>
  <si>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</si>
  <si>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</si>
  <si>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</si>
  <si>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</si>
  <si>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</si>
  <si>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</si>
  <si>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</si>
  <si>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</si>
  <si>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</si>
  <si>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</si>
  <si>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</si>
  <si>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</si>
  <si>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</si>
  <si>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</si>
  <si>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</si>
  <si>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</si>
  <si>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</si>
  <si>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</si>
  <si>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</si>
  <si>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</si>
  <si>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</si>
  <si>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</si>
  <si>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</si>
  <si>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</si>
  <si>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</si>
  <si>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</si>
  <si>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</si>
  <si>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</si>
  <si>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</si>
  <si>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</si>
  <si>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</si>
  <si>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</si>
  <si>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</si>
  <si>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</si>
  <si>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</si>
  <si>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</si>
  <si>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</si>
  <si>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</si>
  <si>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</si>
  <si>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</si>
  <si>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</si>
  <si>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</si>
  <si>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</si>
  <si>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</si>
  <si>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</si>
  <si>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</si>
  <si>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</si>
  <si>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</si>
  <si>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</si>
  <si>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</si>
  <si>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</si>
  <si>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</si>
  <si>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</si>
  <si>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</si>
  <si>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</si>
  <si>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</si>
  <si>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</si>
  <si>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</si>
  <si>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</si>
  <si>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</si>
  <si>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</si>
  <si>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</si>
  <si>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</si>
  <si>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</si>
  <si>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</si>
  <si>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</si>
  <si>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</si>
  <si>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</si>
  <si>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</si>
  <si>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</si>
  <si>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</si>
  <si>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</si>
  <si>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</si>
  <si>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</si>
  <si>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</si>
  <si>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</si>
  <si>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</si>
  <si>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</si>
  <si>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</si>
  <si>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</si>
  <si>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</si>
  <si>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</si>
  <si>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</si>
  <si>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</si>
  <si>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</si>
  <si>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</si>
  <si>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</si>
  <si>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</si>
  <si>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</si>
  <si>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</si>
  <si>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</si>
  <si>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</si>
  <si>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</si>
  <si>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</si>
  <si>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</si>
  <si>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</si>
  <si>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</si>
  <si>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</si>
  <si>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</si>
  <si>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</si>
  <si>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</si>
  <si>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</si>
  <si>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</si>
  <si>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</si>
  <si>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</si>
  <si>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</si>
  <si>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</si>
  <si>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</si>
  <si>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</si>
  <si>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</si>
  <si>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</si>
  <si>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</si>
  <si>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</si>
  <si>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</si>
  <si>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</si>
  <si>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</si>
  <si>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</si>
  <si>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</si>
  <si>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</si>
  <si>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</si>
  <si>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</si>
  <si>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</si>
  <si>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</si>
  <si>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</si>
  <si>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</si>
  <si>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</si>
  <si>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</si>
  <si>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</si>
  <si>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</si>
  <si>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</si>
  <si>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</si>
  <si>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</si>
  <si>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</si>
  <si>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</si>
  <si>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</si>
  <si>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</si>
  <si>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</si>
  <si>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</si>
  <si>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</si>
  <si>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</si>
  <si>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</si>
  <si>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</si>
  <si>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</si>
  <si>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</si>
  <si>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</si>
  <si>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</si>
  <si>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</si>
  <si>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</si>
  <si>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</si>
  <si>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</si>
  <si>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</si>
  <si>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</si>
  <si>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</si>
  <si>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</si>
  <si>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</si>
  <si>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</si>
  <si>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</si>
  <si>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</si>
  <si>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</si>
  <si>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</si>
  <si>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</si>
  <si>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</si>
  <si>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</si>
  <si>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</si>
  <si>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</si>
  <si>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</si>
  <si>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</si>
  <si>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</si>
  <si>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</si>
  <si>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</si>
  <si>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</si>
  <si>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</si>
  <si>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</si>
  <si>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</si>
  <si>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</si>
  <si>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</si>
  <si>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</si>
  <si>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</si>
  <si>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</si>
  <si>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</si>
  <si>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</si>
  <si>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</si>
  <si>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</si>
  <si>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</si>
  <si>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</si>
  <si>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</si>
  <si>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</si>
  <si>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</si>
  <si>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</si>
  <si>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</si>
  <si>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</si>
  <si>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</si>
  <si>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</si>
  <si>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</si>
  <si>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</si>
  <si>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</si>
  <si>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</si>
  <si>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</si>
  <si>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</si>
  <si>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</si>
  <si>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</si>
  <si>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</si>
  <si>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</si>
  <si>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</si>
  <si>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</si>
  <si>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</si>
  <si>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</si>
  <si>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</si>
  <si>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</si>
  <si>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</si>
  <si>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</si>
  <si>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</si>
  <si>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</si>
  <si>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</si>
  <si>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</si>
  <si>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</si>
  <si>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</si>
  <si>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</si>
  <si>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</si>
  <si>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</si>
  <si>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</si>
  <si>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</si>
  <si>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</si>
  <si>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</si>
  <si>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</si>
  <si>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</si>
  <si>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</si>
  <si>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</si>
  <si>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</si>
  <si>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</si>
  <si>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</si>
  <si>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</si>
  <si>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</si>
  <si>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</si>
  <si>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</si>
  <si>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</si>
  <si>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</si>
  <si>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</si>
  <si>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</si>
  <si>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</si>
  <si>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</si>
  <si>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</si>
  <si>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</si>
  <si>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</si>
  <si>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</si>
  <si>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</si>
  <si>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</si>
  <si>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CAFE MATERIA PRIMA.xlsm</t>
  </si>
  <si>
    <t>O:\CAFE MATERIA PRIMA.xlsm</t>
  </si>
  <si>
    <t>Ítems sin reposición alguna</t>
  </si>
  <si>
    <t>Mal atendidos Cantidad</t>
  </si>
  <si>
    <t>Sugerencias GDB</t>
  </si>
  <si>
    <t>Comportamiento especial</t>
  </si>
  <si>
    <t>Mal atendido Frec Repos</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</si>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</sst>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6.emf"/><Relationship Id="rId18" Type="http://schemas.openxmlformats.org/officeDocument/2006/relationships/image" Target="../media/image8.emf"/><Relationship Id="rId26" Type="http://schemas.openxmlformats.org/officeDocument/2006/relationships/image" Target="../media/image18.emf"/><Relationship Id="rId3" Type="http://schemas.openxmlformats.org/officeDocument/2006/relationships/image" Target="../media/image17.emf"/><Relationship Id="rId21" Type="http://schemas.openxmlformats.org/officeDocument/2006/relationships/image" Target="../media/image5.emf"/><Relationship Id="rId7" Type="http://schemas.openxmlformats.org/officeDocument/2006/relationships/image" Target="../media/image16.emf"/><Relationship Id="rId12" Type="http://schemas.openxmlformats.org/officeDocument/2006/relationships/image" Target="../media/image25.emf"/><Relationship Id="rId17" Type="http://schemas.openxmlformats.org/officeDocument/2006/relationships/image" Target="../media/image9.emf"/><Relationship Id="rId25" Type="http://schemas.openxmlformats.org/officeDocument/2006/relationships/image" Target="../media/image1.emf"/><Relationship Id="rId2" Type="http://schemas.openxmlformats.org/officeDocument/2006/relationships/image" Target="../media/image20.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19.emf"/><Relationship Id="rId6" Type="http://schemas.openxmlformats.org/officeDocument/2006/relationships/image" Target="../media/image23.emf"/><Relationship Id="rId11" Type="http://schemas.openxmlformats.org/officeDocument/2006/relationships/image" Target="../media/image13.emf"/><Relationship Id="rId24" Type="http://schemas.openxmlformats.org/officeDocument/2006/relationships/image" Target="../media/image2.emf"/><Relationship Id="rId5" Type="http://schemas.openxmlformats.org/officeDocument/2006/relationships/image" Target="../media/image22.emf"/><Relationship Id="rId15" Type="http://schemas.openxmlformats.org/officeDocument/2006/relationships/image" Target="../media/image11.emf"/><Relationship Id="rId23" Type="http://schemas.openxmlformats.org/officeDocument/2006/relationships/image" Target="../media/image3.emf"/><Relationship Id="rId28" Type="http://schemas.openxmlformats.org/officeDocument/2006/relationships/image" Target="../media/image29.emf"/><Relationship Id="rId10" Type="http://schemas.openxmlformats.org/officeDocument/2006/relationships/image" Target="../media/image24.emf"/><Relationship Id="rId19" Type="http://schemas.openxmlformats.org/officeDocument/2006/relationships/image" Target="../media/image7.emf"/><Relationship Id="rId4" Type="http://schemas.openxmlformats.org/officeDocument/2006/relationships/image" Target="../media/image21.emf"/><Relationship Id="rId9" Type="http://schemas.openxmlformats.org/officeDocument/2006/relationships/image" Target="../media/image14.emf"/><Relationship Id="rId14" Type="http://schemas.openxmlformats.org/officeDocument/2006/relationships/image" Target="../media/image12.emf"/><Relationship Id="rId22" Type="http://schemas.openxmlformats.org/officeDocument/2006/relationships/image" Target="../media/image4.emf"/><Relationship Id="rId27" Type="http://schemas.openxmlformats.org/officeDocument/2006/relationships/image" Target="../media/image2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1</xdr:colOff>
          <xdr:row>4</xdr:row>
          <xdr:rowOff>9525</xdr:rowOff>
        </xdr:from>
        <xdr:to>
          <xdr:col>0</xdr:col>
          <xdr:colOff>1266826</xdr:colOff>
          <xdr:row>4</xdr:row>
          <xdr:rowOff>257175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170065"/>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999"/>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4" totalsRowCount="1" headerRowDxfId="80">
  <autoFilter ref="B1:Q3"/>
  <sortState ref="B2:Q3">
    <sortCondition descending="1" ref="H1:H3"/>
  </sortState>
  <tableColumns count="16">
    <tableColumn id="1" name="EMPRESA" totalsRowLabel="Total"/>
    <tableColumn id="2" name="HOJA CB" totalsRowFunction="count" totalsRowDxfId="31"/>
    <tableColumn id="3" name="REFRESCADO" dataDxfId="79" totalsRowDxfId="32"/>
    <tableColumn id="14" name="TIPO" dataDxfId="78" totalsRowDxfId="33"/>
    <tableColumn id="16" name="BASE DATOS" dataDxfId="5" totalsRowDxfId="34"/>
    <tableColumn id="4" name="INICIO" totalsRowFunction="min" dataDxfId="3" totalsRowDxfId="4"/>
    <tableColumn id="7" name="FIN" totalsRowFunction="max" dataDxfId="1" totalsRowDxfId="0"/>
    <tableColumn id="5" name="DURACIÓN" totalsRowFunction="sum" dataDxfId="2" totalsRowDxfId="35">
      <calculatedColumnFormula>tbl_Fechas_Refrescado[[#This Row],[FIN]]-tbl_Fechas_Refrescado[[#This Row],[INICIO]]</calculatedColumnFormula>
    </tableColumn>
    <tableColumn id="15" name="RAZÓN" dataDxfId="77" totalsRowDxfId="36"/>
    <tableColumn id="6" name="DIAS PERIODO" totalsRowFunction="max" dataDxfId="76" totalsRowDxfId="37"/>
    <tableColumn id="13" name="DUPLICADOS" totalsRowFunction="sum" dataDxfId="75" totalsRowDxfId="38"/>
    <tableColumn id="8" name="SKUs Totales" totalsRowFunction="sum" dataDxfId="74" totalsRowDxfId="39"/>
    <tableColumn id="9" name="SKUs Buffer" totalsRowFunction="sum" dataDxfId="73" totalsRowDxfId="40"/>
    <tableColumn id="10" name="COSTO BUFFER" totalsRowFunction="sum" dataDxfId="72" totalsRowDxfId="41"/>
    <tableColumn id="11" name="COSTO FISICO" totalsRowFunction="sum" dataDxfId="71" totalsRowDxfId="42"/>
    <tableColumn id="12" name="COSTO TRANSITO" totalsRowFunction="sum" dataDxfId="70" totalsRowDxfId="43"/>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69"/>
    <tableColumn id="5" name="EMPRESA"/>
    <tableColumn id="2" name="DIRECTORIO"/>
    <tableColumn id="3" name="ARCHIVO"/>
    <tableColumn id="4" name="PATH" dataDxfId="68">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7"/>
    <tableColumn id="5" name="EMPRESA"/>
    <tableColumn id="6" name="BODEGA"/>
    <tableColumn id="4" name="PATH" dataDxfId="66"/>
    <tableColumn id="2" name="ARCHIVO" dataDxfId="65">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64" dataDxfId="63">
  <autoFilter ref="B1:F2"/>
  <tableColumns count="5">
    <tableColumn id="5" name="PERFIL" dataDxfId="62"/>
    <tableColumn id="1" name="FREC REP" dataDxfId="61"/>
    <tableColumn id="2" name="TIEMP SUMINIS" dataDxfId="60"/>
    <tableColumn id="3" name="HORIZONTE" dataDxfId="59"/>
    <tableColumn id="4" name="T NIV SER (DIAS)" dataDxfId="58"/>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7"/>
    <tableColumn id="3" name="RESTAN" dataDxfId="56">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55">
  <autoFilter ref="A2:D3"/>
  <tableColumns count="4">
    <tableColumn id="2" name="HOJA CB" totalsRowLabel="TOTALES" totalsRowDxfId="54"/>
    <tableColumn id="3" name="TODOS ITEMS" totalsRowFunction="sum" dataDxfId="53" totalsRowDxfId="52"/>
    <tableColumn id="4" name="ITEMS CON BUFFER" totalsRowFunction="sum" dataDxfId="51" totalsRowDxfId="50"/>
    <tableColumn id="1" name="% ITEMS CON BUFFER" totalsRowFunction="average" dataDxfId="49" totalsRowDxfId="48">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7"/>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6"/>
    <tableColumn id="7" uniqueName="7" name="PATH" queryTableFieldId="7" dataDxfId="45"/>
    <tableColumn id="5" uniqueName="5" name="COMPLETO" queryTableFieldId="5" dataDxfId="44">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B6" totalsRowShown="0">
  <autoFilter ref="A1:B6"/>
  <tableColumns count="2">
    <tableColumn id="1" name="CAFE MATERIA PRIMA.xlsm"/>
    <tableColumn id="2" name="Maquinas ECHO - SHINDAIWA.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election activeCell="I14" sqref="I14"/>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167</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Completo</v>
      </c>
    </row>
    <row r="6" spans="1:15" ht="18" thickBot="1" x14ac:dyDescent="0.35">
      <c r="A6" s="39"/>
      <c r="B6" s="31"/>
      <c r="C6" s="31"/>
      <c r="D6" s="31"/>
      <c r="E6" s="31"/>
      <c r="F6" s="32"/>
      <c r="G6" s="40" t="s">
        <v>61</v>
      </c>
      <c r="H6" s="41"/>
      <c r="I6" s="57">
        <v>43209</v>
      </c>
    </row>
    <row r="7" spans="1:15" ht="15.75" thickBot="1" x14ac:dyDescent="0.3">
      <c r="A7" s="33"/>
      <c r="B7" s="34"/>
      <c r="C7" s="34"/>
      <c r="D7" s="34"/>
      <c r="E7" s="34"/>
      <c r="F7" s="34"/>
      <c r="G7" s="40" t="s">
        <v>67</v>
      </c>
      <c r="H7" s="41"/>
      <c r="I7" s="42">
        <f>DURACIONREFRESCADO</f>
        <v>1.9791666636592709E-3</v>
      </c>
    </row>
    <row r="8" spans="1:15" ht="15.75" thickBot="1" x14ac:dyDescent="0.3">
      <c r="A8" s="33"/>
      <c r="B8" s="34"/>
      <c r="C8" s="36"/>
      <c r="D8" s="36"/>
      <c r="E8" s="43"/>
      <c r="F8" s="36"/>
      <c r="G8" s="33" t="s">
        <v>62</v>
      </c>
      <c r="H8" s="35"/>
      <c r="I8" s="58">
        <v>43207</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43207</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43207</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109</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43206</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0" t="s">
        <v>68</v>
      </c>
      <c r="H13" s="41"/>
      <c r="I13" s="64">
        <v>0.20833333333333334</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0.99305555555555547</v>
      </c>
    </row>
    <row r="15" spans="1:15" ht="15" customHeight="1" thickBot="1" x14ac:dyDescent="0.3">
      <c r="A15" s="65"/>
      <c r="B15" s="34"/>
      <c r="C15" s="34"/>
      <c r="D15" s="34"/>
      <c r="E15" s="34"/>
      <c r="F15" s="34"/>
      <c r="G15" s="40" t="s">
        <v>146</v>
      </c>
      <c r="H15" s="41"/>
      <c r="I15" s="64">
        <v>0.16666666666666666</v>
      </c>
      <c r="J15" s="27" t="s">
        <v>113</v>
      </c>
    </row>
    <row r="16" spans="1:15" ht="15" customHeight="1" thickBot="1" x14ac:dyDescent="0.3">
      <c r="A16" s="33"/>
      <c r="B16" s="34"/>
      <c r="C16" s="34"/>
      <c r="D16" s="34"/>
      <c r="E16" s="34"/>
      <c r="F16" s="34"/>
      <c r="G16" s="40" t="s">
        <v>110</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196</v>
      </c>
      <c r="Q1048569" s="27" t="s">
        <v>147</v>
      </c>
    </row>
  </sheetData>
  <sheetProtection sort="0" autoFilter="0"/>
  <conditionalFormatting sqref="I8:I12">
    <cfRule type="expression" dxfId="30" priority="11">
      <formula>I8&lt;&gt;$I$6</formula>
    </cfRule>
  </conditionalFormatting>
  <conditionalFormatting sqref="I5">
    <cfRule type="expression" dxfId="29" priority="1" stopIfTrue="1">
      <formula>REFRESCADO="Completo"</formula>
    </cfRule>
    <cfRule type="expression" dxfId="28" priority="10">
      <formula>REFRESCADO="Incompleto"</formula>
    </cfRule>
  </conditionalFormatting>
  <conditionalFormatting sqref="D11:E11">
    <cfRule type="expression" dxfId="27" priority="6">
      <formula>$D11="NO HAY ALERTAS"</formula>
    </cfRule>
    <cfRule type="expression" dxfId="26" priority="7">
      <formula>$D11="HAY ALERTAS"</formula>
    </cfRule>
  </conditionalFormatting>
  <conditionalFormatting sqref="I6">
    <cfRule type="expression" dxfId="25" priority="2">
      <formula>I6&lt;&gt;TODAY()</formula>
    </cfRule>
  </conditionalFormatting>
  <conditionalFormatting sqref="A13:E14">
    <cfRule type="expression" dxfId="24"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246</xdr:col>
                <xdr:colOff>133350</xdr:colOff>
                <xdr:row>17990</xdr:row>
                <xdr:rowOff>19050</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257175</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447675</xdr:colOff>
                <xdr:row>4</xdr:row>
                <xdr:rowOff>19050</xdr:rowOff>
              </from>
              <to>
                <xdr:col>5</xdr:col>
                <xdr:colOff>733425</xdr:colOff>
                <xdr:row>4</xdr:row>
                <xdr:rowOff>285750</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mc:AlternateContent xmlns:mc="http://schemas.openxmlformats.org/markup-compatibility/2006">
      <mc:Choice Requires="x14">
        <control shapeId="97019" r:id="rId56" name="cmdTransferenciasActivas">
          <controlPr defaultSize="0" autoLine="0" r:id="rId57">
            <anchor>
              <from>
                <xdr:col>1</xdr:col>
                <xdr:colOff>28575</xdr:colOff>
                <xdr:row>6</xdr:row>
                <xdr:rowOff>85725</xdr:rowOff>
              </from>
              <to>
                <xdr:col>1</xdr:col>
                <xdr:colOff>381000</xdr:colOff>
                <xdr:row>7</xdr:row>
                <xdr:rowOff>171450</xdr:rowOff>
              </to>
            </anchor>
          </controlPr>
        </control>
      </mc:Choice>
      <mc:Fallback>
        <control shapeId="97019" r:id="rId56" name="cmdTransferenciasActiv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150</v>
      </c>
      <c r="B1" t="s">
        <v>148</v>
      </c>
      <c r="C1" t="s">
        <v>149</v>
      </c>
    </row>
    <row r="2" spans="1:3" x14ac:dyDescent="0.25">
      <c r="A2">
        <f>ROW()-ROW(Indicaciones[[#Headers],[ID]])</f>
        <v>1</v>
      </c>
      <c r="C2" t="s">
        <v>186</v>
      </c>
    </row>
    <row r="3" spans="1:3" x14ac:dyDescent="0.25">
      <c r="A3">
        <f>ROW()-ROW(Indicaciones[[#Headers],[ID]])</f>
        <v>2</v>
      </c>
      <c r="C3" t="s">
        <v>187</v>
      </c>
    </row>
    <row r="4" spans="1:3" x14ac:dyDescent="0.25">
      <c r="A4" s="2">
        <f>ROW()-ROW(Indicaciones[[#Headers],[ID]])</f>
        <v>3</v>
      </c>
      <c r="C4" t="s">
        <v>189</v>
      </c>
    </row>
    <row r="5" spans="1:3" x14ac:dyDescent="0.25">
      <c r="A5" s="2">
        <f>ROW()-ROW(Indicaciones[[#Headers],[ID]])</f>
        <v>4</v>
      </c>
      <c r="C5" t="s">
        <v>151</v>
      </c>
    </row>
    <row r="6" spans="1:3" x14ac:dyDescent="0.25">
      <c r="A6" s="2">
        <f>ROW()-ROW(Indicaciones[[#Headers],[ID]])</f>
        <v>5</v>
      </c>
      <c r="C6" t="s">
        <v>152</v>
      </c>
    </row>
    <row r="7" spans="1:3" x14ac:dyDescent="0.25">
      <c r="A7" s="2">
        <f>ROW()-ROW(Indicaciones[[#Headers],[ID]])</f>
        <v>6</v>
      </c>
      <c r="C7" t="s">
        <v>153</v>
      </c>
    </row>
    <row r="8" spans="1:3" x14ac:dyDescent="0.25">
      <c r="A8" s="2">
        <f>ROW()-ROW(Indicaciones[[#Headers],[ID]])</f>
        <v>7</v>
      </c>
      <c r="C8" t="s">
        <v>190</v>
      </c>
    </row>
    <row r="9" spans="1:3" x14ac:dyDescent="0.25">
      <c r="A9" s="2">
        <f>ROW()-ROW(Indicaciones[[#Headers],[ID]])</f>
        <v>8</v>
      </c>
      <c r="C9" t="s">
        <v>154</v>
      </c>
    </row>
    <row r="10" spans="1:3" x14ac:dyDescent="0.25">
      <c r="A10" s="2">
        <f>ROW()-ROW(Indicaciones[[#Headers],[ID]])</f>
        <v>9</v>
      </c>
      <c r="C10" t="s">
        <v>155</v>
      </c>
    </row>
    <row r="11" spans="1:3" x14ac:dyDescent="0.25">
      <c r="A11" s="2">
        <f>ROW()-ROW(Indicaciones[[#Headers],[ID]])</f>
        <v>10</v>
      </c>
      <c r="C11" t="s">
        <v>178</v>
      </c>
    </row>
    <row r="12" spans="1:3" x14ac:dyDescent="0.25">
      <c r="A12" s="2">
        <f>ROW()-ROW(Indicaciones[[#Headers],[ID]])</f>
        <v>11</v>
      </c>
      <c r="C12" t="s">
        <v>179</v>
      </c>
    </row>
    <row r="13" spans="1:3" x14ac:dyDescent="0.25">
      <c r="A13" s="2">
        <f>ROW()-ROW(Indicaciones[[#Headers],[ID]])</f>
        <v>12</v>
      </c>
      <c r="C13" t="s">
        <v>156</v>
      </c>
    </row>
    <row r="14" spans="1:3" x14ac:dyDescent="0.25">
      <c r="A14" s="2">
        <f>ROW()-ROW(Indicaciones[[#Headers],[ID]])</f>
        <v>13</v>
      </c>
      <c r="C14" t="s">
        <v>157</v>
      </c>
    </row>
    <row r="15" spans="1:3" x14ac:dyDescent="0.25">
      <c r="A15" s="2">
        <f>ROW()-ROW(Indicaciones[[#Headers],[ID]])</f>
        <v>14</v>
      </c>
      <c r="C15" t="s">
        <v>158</v>
      </c>
    </row>
    <row r="16" spans="1:3" x14ac:dyDescent="0.25">
      <c r="A16" s="2">
        <f>ROW()-ROW(Indicaciones[[#Headers],[ID]])</f>
        <v>15</v>
      </c>
      <c r="C16" t="s">
        <v>159</v>
      </c>
    </row>
    <row r="17" spans="1:3" x14ac:dyDescent="0.25">
      <c r="A17" s="2">
        <f>ROW()-ROW(Indicaciones[[#Headers],[ID]])</f>
        <v>16</v>
      </c>
      <c r="C17" t="s">
        <v>160</v>
      </c>
    </row>
    <row r="18" spans="1:3" x14ac:dyDescent="0.25">
      <c r="A18" s="2">
        <f>ROW()-ROW(Indicaciones[[#Headers],[ID]])</f>
        <v>17</v>
      </c>
      <c r="C18" t="s">
        <v>193</v>
      </c>
    </row>
    <row r="19" spans="1:3" x14ac:dyDescent="0.25">
      <c r="A19" s="2">
        <f>ROW()-ROW(Indicaciones[[#Headers],[ID]])</f>
        <v>18</v>
      </c>
      <c r="C19" t="s">
        <v>161</v>
      </c>
    </row>
    <row r="20" spans="1:3" x14ac:dyDescent="0.25">
      <c r="A20" s="2">
        <f>ROW()-ROW(Indicaciones[[#Headers],[ID]])</f>
        <v>19</v>
      </c>
      <c r="C20" t="s">
        <v>162</v>
      </c>
    </row>
    <row r="21" spans="1:3" x14ac:dyDescent="0.25">
      <c r="A21" s="2">
        <f>ROW()-ROW(Indicaciones[[#Headers],[ID]])</f>
        <v>20</v>
      </c>
      <c r="C21" t="s">
        <v>163</v>
      </c>
    </row>
    <row r="22" spans="1:3" x14ac:dyDescent="0.25">
      <c r="A22" s="2">
        <f>ROW()-ROW(Indicaciones[[#Headers],[ID]])</f>
        <v>21</v>
      </c>
      <c r="C22" t="s">
        <v>164</v>
      </c>
    </row>
    <row r="23" spans="1:3" x14ac:dyDescent="0.25">
      <c r="A23" s="2">
        <f>ROW()-ROW(Indicaciones[[#Headers],[ID]])</f>
        <v>22</v>
      </c>
      <c r="C23" t="s">
        <v>165</v>
      </c>
    </row>
    <row r="24" spans="1:3" x14ac:dyDescent="0.25">
      <c r="A24" s="2">
        <f>ROW()-ROW(Indicaciones[[#Headers],[ID]])</f>
        <v>23</v>
      </c>
      <c r="C24" t="s">
        <v>166</v>
      </c>
    </row>
    <row r="25" spans="1:3" x14ac:dyDescent="0.25">
      <c r="A25" s="2">
        <f>ROW()-ROW(Indicaciones[[#Headers],[ID]])</f>
        <v>24</v>
      </c>
      <c r="C25" t="s">
        <v>167</v>
      </c>
    </row>
    <row r="26" spans="1:3" x14ac:dyDescent="0.25">
      <c r="A26" s="2">
        <f>ROW()-ROW(Indicaciones[[#Headers],[ID]])</f>
        <v>25</v>
      </c>
      <c r="C26" t="s">
        <v>168</v>
      </c>
    </row>
    <row r="27" spans="1:3" x14ac:dyDescent="0.25">
      <c r="A27" s="2">
        <f>ROW()-ROW(Indicaciones[[#Headers],[ID]])</f>
        <v>26</v>
      </c>
      <c r="C27" t="s">
        <v>169</v>
      </c>
    </row>
    <row r="28" spans="1:3" x14ac:dyDescent="0.25">
      <c r="A28" s="2">
        <f>ROW()-ROW(Indicaciones[[#Headers],[ID]])</f>
        <v>27</v>
      </c>
      <c r="C28" t="s">
        <v>170</v>
      </c>
    </row>
    <row r="29" spans="1:3" x14ac:dyDescent="0.25">
      <c r="A29" s="2">
        <f>ROW()-ROW(Indicaciones[[#Headers],[ID]])</f>
        <v>28</v>
      </c>
      <c r="C29" t="s">
        <v>171</v>
      </c>
    </row>
    <row r="30" spans="1:3" x14ac:dyDescent="0.25">
      <c r="A30" s="2">
        <f>ROW()-ROW(Indicaciones[[#Headers],[ID]])</f>
        <v>29</v>
      </c>
      <c r="C30" t="s">
        <v>172</v>
      </c>
    </row>
    <row r="31" spans="1:3" x14ac:dyDescent="0.25">
      <c r="A31" s="2">
        <f>ROW()-ROW(Indicaciones[[#Headers],[ID]])</f>
        <v>30</v>
      </c>
      <c r="C31" t="s">
        <v>173</v>
      </c>
    </row>
    <row r="32" spans="1:3" x14ac:dyDescent="0.25">
      <c r="A32" s="2">
        <f>ROW()-ROW(Indicaciones[[#Headers],[ID]])</f>
        <v>31</v>
      </c>
      <c r="C32" t="s">
        <v>174</v>
      </c>
    </row>
    <row r="33" spans="1:3" x14ac:dyDescent="0.25">
      <c r="A33" s="2">
        <f>ROW()-ROW(Indicaciones[[#Headers],[ID]])</f>
        <v>32</v>
      </c>
      <c r="C33" t="s">
        <v>175</v>
      </c>
    </row>
    <row r="34" spans="1:3" x14ac:dyDescent="0.25">
      <c r="A34" s="2">
        <f>ROW()-ROW(Indicaciones[[#Headers],[ID]])</f>
        <v>33</v>
      </c>
      <c r="C34" t="s">
        <v>176</v>
      </c>
    </row>
    <row r="35" spans="1:3" x14ac:dyDescent="0.25">
      <c r="A35" s="2">
        <f>ROW()-ROW(Indicaciones[[#Headers],[ID]])</f>
        <v>34</v>
      </c>
      <c r="C35" t="s">
        <v>177</v>
      </c>
    </row>
    <row r="36" spans="1:3" x14ac:dyDescent="0.25">
      <c r="A36" s="2">
        <f>ROW()-ROW(Indicaciones[[#Headers],[ID]])</f>
        <v>35</v>
      </c>
      <c r="C36" t="s">
        <v>180</v>
      </c>
    </row>
    <row r="37" spans="1:3" x14ac:dyDescent="0.25">
      <c r="A37" s="2">
        <f>ROW()-ROW(Indicaciones[[#Headers],[ID]])</f>
        <v>36</v>
      </c>
      <c r="C37" t="s">
        <v>181</v>
      </c>
    </row>
    <row r="38" spans="1:3" x14ac:dyDescent="0.25">
      <c r="A38" s="2">
        <f>ROW()-ROW(Indicaciones[[#Headers],[ID]])</f>
        <v>37</v>
      </c>
      <c r="C38" t="s">
        <v>182</v>
      </c>
    </row>
    <row r="39" spans="1:3" x14ac:dyDescent="0.25">
      <c r="A39" s="2">
        <f>ROW()-ROW(Indicaciones[[#Headers],[ID]])</f>
        <v>38</v>
      </c>
      <c r="C39" t="s">
        <v>183</v>
      </c>
    </row>
    <row r="40" spans="1:3" x14ac:dyDescent="0.25">
      <c r="A40" s="2">
        <f>ROW()-ROW(Indicaciones[[#Headers],[ID]])</f>
        <v>39</v>
      </c>
      <c r="C40" t="s">
        <v>184</v>
      </c>
    </row>
    <row r="41" spans="1:3" x14ac:dyDescent="0.25">
      <c r="A41" s="2">
        <f>ROW()-ROW(Indicaciones[[#Headers],[ID]])</f>
        <v>40</v>
      </c>
      <c r="C41" t="s">
        <v>185</v>
      </c>
    </row>
    <row r="42" spans="1:3" x14ac:dyDescent="0.25">
      <c r="A42" s="2">
        <f>ROW()-ROW(Indicaciones[[#Headers],[ID]])</f>
        <v>41</v>
      </c>
      <c r="C42" t="s">
        <v>188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114</v>
      </c>
    </row>
    <row r="24" spans="3:4" x14ac:dyDescent="0.25">
      <c r="C24">
        <v>1</v>
      </c>
      <c r="D24" t="s">
        <v>115</v>
      </c>
    </row>
    <row r="25" spans="3:4" x14ac:dyDescent="0.25">
      <c r="C25">
        <v>2</v>
      </c>
      <c r="D25" t="s">
        <v>116</v>
      </c>
    </row>
    <row r="26" spans="3:4" x14ac:dyDescent="0.25">
      <c r="C26">
        <v>3</v>
      </c>
      <c r="D26" t="s">
        <v>126</v>
      </c>
    </row>
    <row r="27" spans="3:4" x14ac:dyDescent="0.25">
      <c r="C27">
        <v>4</v>
      </c>
      <c r="D27" t="s">
        <v>117</v>
      </c>
    </row>
    <row r="28" spans="3:4" x14ac:dyDescent="0.25">
      <c r="C28">
        <v>5</v>
      </c>
      <c r="D28" t="s">
        <v>118</v>
      </c>
    </row>
    <row r="29" spans="3:4" x14ac:dyDescent="0.25">
      <c r="C29">
        <v>6</v>
      </c>
      <c r="D29" t="s">
        <v>119</v>
      </c>
    </row>
    <row r="30" spans="3:4" x14ac:dyDescent="0.25">
      <c r="C30">
        <v>7</v>
      </c>
      <c r="D30" t="s">
        <v>120</v>
      </c>
    </row>
    <row r="31" spans="3:4" x14ac:dyDescent="0.25">
      <c r="C31">
        <v>8</v>
      </c>
      <c r="D31" t="s">
        <v>121</v>
      </c>
    </row>
    <row r="32" spans="3:4" x14ac:dyDescent="0.25">
      <c r="C32">
        <v>9</v>
      </c>
      <c r="D32" t="s">
        <v>122</v>
      </c>
    </row>
    <row r="33" spans="3:4" x14ac:dyDescent="0.25">
      <c r="C33">
        <v>10</v>
      </c>
      <c r="D33" t="s">
        <v>123</v>
      </c>
    </row>
    <row r="34" spans="3:4" x14ac:dyDescent="0.25">
      <c r="C34">
        <v>10.1</v>
      </c>
      <c r="D34" t="s">
        <v>145</v>
      </c>
    </row>
    <row r="35" spans="3:4" x14ac:dyDescent="0.25">
      <c r="C35">
        <v>10.199999999999999</v>
      </c>
      <c r="D35" t="s">
        <v>191</v>
      </c>
    </row>
    <row r="36" spans="3:4" x14ac:dyDescent="0.25">
      <c r="C36">
        <v>11</v>
      </c>
      <c r="D36" t="s">
        <v>124</v>
      </c>
    </row>
    <row r="37" spans="3:4" x14ac:dyDescent="0.25">
      <c r="C37">
        <v>12</v>
      </c>
      <c r="D37" t="s">
        <v>127</v>
      </c>
    </row>
    <row r="38" spans="3:4" x14ac:dyDescent="0.25">
      <c r="C38">
        <v>13</v>
      </c>
      <c r="D38" t="s">
        <v>128</v>
      </c>
    </row>
    <row r="39" spans="3:4" x14ac:dyDescent="0.25">
      <c r="C39">
        <v>14</v>
      </c>
      <c r="D39" t="s">
        <v>129</v>
      </c>
    </row>
    <row r="40" spans="3:4" x14ac:dyDescent="0.25">
      <c r="C40">
        <v>15</v>
      </c>
      <c r="D40" t="s">
        <v>130</v>
      </c>
    </row>
    <row r="41" spans="3:4" x14ac:dyDescent="0.25">
      <c r="C41">
        <v>16</v>
      </c>
      <c r="D41" t="s">
        <v>131</v>
      </c>
    </row>
    <row r="42" spans="3:4" x14ac:dyDescent="0.25">
      <c r="C42">
        <v>17</v>
      </c>
      <c r="D42" t="s">
        <v>132</v>
      </c>
    </row>
    <row r="43" spans="3:4" x14ac:dyDescent="0.25">
      <c r="C43">
        <v>18</v>
      </c>
      <c r="D43" t="s">
        <v>133</v>
      </c>
    </row>
    <row r="44" spans="3:4" x14ac:dyDescent="0.25">
      <c r="C44">
        <v>19</v>
      </c>
      <c r="D44" t="s">
        <v>134</v>
      </c>
    </row>
    <row r="45" spans="3:4" x14ac:dyDescent="0.25">
      <c r="C45">
        <v>20</v>
      </c>
      <c r="D45" t="s">
        <v>136</v>
      </c>
    </row>
    <row r="46" spans="3:4" x14ac:dyDescent="0.25">
      <c r="C46">
        <v>21</v>
      </c>
      <c r="D46" t="s">
        <v>135</v>
      </c>
    </row>
    <row r="47" spans="3:4" x14ac:dyDescent="0.25">
      <c r="C47">
        <v>22</v>
      </c>
      <c r="D47" t="s">
        <v>137</v>
      </c>
    </row>
    <row r="48" spans="3:4" x14ac:dyDescent="0.25">
      <c r="C48">
        <v>23</v>
      </c>
      <c r="D48" t="s">
        <v>138</v>
      </c>
    </row>
    <row r="49" spans="3:4" x14ac:dyDescent="0.25">
      <c r="C49">
        <v>24</v>
      </c>
      <c r="D49" t="s">
        <v>139</v>
      </c>
    </row>
    <row r="50" spans="3:4" x14ac:dyDescent="0.25">
      <c r="C50">
        <v>25</v>
      </c>
      <c r="D50" t="s">
        <v>140</v>
      </c>
    </row>
    <row r="51" spans="3:4" x14ac:dyDescent="0.25">
      <c r="C51">
        <v>26</v>
      </c>
      <c r="D51" t="s">
        <v>142</v>
      </c>
    </row>
    <row r="52" spans="3:4" x14ac:dyDescent="0.25">
      <c r="C52">
        <v>27</v>
      </c>
      <c r="D52" t="s">
        <v>143</v>
      </c>
    </row>
    <row r="53" spans="3:4" x14ac:dyDescent="0.25">
      <c r="C53">
        <v>28</v>
      </c>
      <c r="D53" t="s">
        <v>141</v>
      </c>
    </row>
    <row r="54" spans="3:4" x14ac:dyDescent="0.25">
      <c r="C54">
        <v>29</v>
      </c>
      <c r="D54" t="s">
        <v>192</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4"/>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194</v>
      </c>
      <c r="G1" s="21" t="s">
        <v>93</v>
      </c>
      <c r="H1" s="21" t="s">
        <v>94</v>
      </c>
      <c r="I1" s="21" t="s">
        <v>91</v>
      </c>
      <c r="J1" s="21" t="s">
        <v>112</v>
      </c>
      <c r="K1" s="21" t="s">
        <v>95</v>
      </c>
      <c r="L1" s="21" t="s">
        <v>101</v>
      </c>
      <c r="M1" s="21" t="s">
        <v>97</v>
      </c>
      <c r="N1" s="21" t="s">
        <v>96</v>
      </c>
      <c r="O1" s="21" t="s">
        <v>98</v>
      </c>
      <c r="P1" s="21" t="s">
        <v>99</v>
      </c>
      <c r="Q1" s="21" t="s">
        <v>100</v>
      </c>
    </row>
    <row r="2" spans="2:22" x14ac:dyDescent="0.25">
      <c r="B2" t="s">
        <v>0</v>
      </c>
      <c r="C2" t="s">
        <v>252</v>
      </c>
      <c r="D2" s="6">
        <v>1</v>
      </c>
      <c r="E2" s="6" t="s">
        <v>104</v>
      </c>
      <c r="F2" s="6">
        <v>1</v>
      </c>
      <c r="G2" s="26">
        <v>43209.755925925929</v>
      </c>
      <c r="H2" s="26">
        <v>43209.75675925926</v>
      </c>
      <c r="I2" s="25">
        <f>tbl_Fechas_Refrescado[[#This Row],[FIN]]-tbl_Fechas_Refrescado[[#This Row],[INICIO]]</f>
        <v>8.3333333168411627E-4</v>
      </c>
      <c r="J2" s="25"/>
      <c r="K2" s="22">
        <v>241</v>
      </c>
      <c r="L2" s="22">
        <v>0</v>
      </c>
      <c r="M2" s="22">
        <v>57</v>
      </c>
      <c r="N2" s="22">
        <v>45</v>
      </c>
      <c r="O2" s="23">
        <v>900375</v>
      </c>
      <c r="P2" s="23">
        <v>387802</v>
      </c>
      <c r="Q2" s="23">
        <v>214847</v>
      </c>
      <c r="V2" s="24"/>
    </row>
    <row r="3" spans="2:22" x14ac:dyDescent="0.25">
      <c r="B3" t="s">
        <v>0</v>
      </c>
      <c r="C3" t="s">
        <v>254</v>
      </c>
      <c r="D3" s="6">
        <v>1</v>
      </c>
      <c r="E3" s="6" t="s">
        <v>104</v>
      </c>
      <c r="F3" s="6">
        <v>1</v>
      </c>
      <c r="G3" s="26">
        <v>43209.755277777775</v>
      </c>
      <c r="H3" s="26">
        <v>43209.755624999998</v>
      </c>
      <c r="I3" s="25">
        <f>tbl_Fechas_Refrescado[[#This Row],[FIN]]-tbl_Fechas_Refrescado[[#This Row],[INICIO]]</f>
        <v>3.4722222335403785E-4</v>
      </c>
      <c r="J3" s="25"/>
      <c r="K3" s="22">
        <v>86</v>
      </c>
      <c r="L3" s="22">
        <v>0</v>
      </c>
      <c r="M3" s="22">
        <v>6</v>
      </c>
      <c r="N3" s="22">
        <v>6</v>
      </c>
      <c r="O3" s="23">
        <v>4276</v>
      </c>
      <c r="P3" s="23">
        <v>5256</v>
      </c>
      <c r="Q3" s="23">
        <v>0</v>
      </c>
    </row>
    <row r="4" spans="2:22" x14ac:dyDescent="0.25">
      <c r="B4" t="s">
        <v>105</v>
      </c>
      <c r="C4" s="6">
        <f>SUBTOTAL(103,tbl_Fechas_Refrescado[HOJA CB])</f>
        <v>2</v>
      </c>
      <c r="D4" s="6"/>
      <c r="E4" s="6"/>
      <c r="F4" s="6"/>
      <c r="G4" s="26">
        <f>SUBTOTAL(105,tbl_Fechas_Refrescado[INICIO])</f>
        <v>43209.755277777775</v>
      </c>
      <c r="H4" s="26">
        <f>SUBTOTAL(104,tbl_Fechas_Refrescado[FIN])</f>
        <v>43209.75675925926</v>
      </c>
      <c r="I4" s="25">
        <f>SUBTOTAL(109,tbl_Fechas_Refrescado[DURACIÓN])</f>
        <v>1.1805555550381541E-3</v>
      </c>
      <c r="J4" s="25"/>
      <c r="K4" s="6">
        <f>SUBTOTAL(104,tbl_Fechas_Refrescado[DIAS PERIODO])</f>
        <v>241</v>
      </c>
      <c r="L4" s="6">
        <f>SUBTOTAL(109,tbl_Fechas_Refrescado[DUPLICADOS])</f>
        <v>0</v>
      </c>
      <c r="M4" s="6">
        <f>SUBTOTAL(109,tbl_Fechas_Refrescado[SKUs Totales])</f>
        <v>63</v>
      </c>
      <c r="N4" s="6">
        <f>SUBTOTAL(109,tbl_Fechas_Refrescado[SKUs Buffer])</f>
        <v>51</v>
      </c>
      <c r="O4" s="23">
        <f>SUBTOTAL(109,tbl_Fechas_Refrescado[COSTO BUFFER])</f>
        <v>904651</v>
      </c>
      <c r="P4" s="23">
        <f>SUBTOTAL(109,tbl_Fechas_Refrescado[COSTO FISICO])</f>
        <v>393058</v>
      </c>
      <c r="Q4" s="23">
        <f>SUBTOTAL(109,tbl_Fechas_Refrescado[COSTO TRANSITO])</f>
        <v>214847</v>
      </c>
    </row>
  </sheetData>
  <sheetProtection sort="0" autoFilter="0"/>
  <conditionalFormatting sqref="B2:Q3">
    <cfRule type="expression" dxfId="23" priority="2">
      <formula>$L2&lt;&gt;0</formula>
    </cfRule>
    <cfRule type="expression" dxfId="22" priority="3">
      <formula>OR(AND($D2=1,(DATE(YEAR($H2),MONTH($H2),DAY($H2)))&lt;&gt;TODAY()),$D2=0,$F2=0)</formula>
    </cfRule>
  </conditionalFormatting>
  <conditionalFormatting sqref="E2:F3">
    <cfRule type="expression" dxfId="21"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20" priority="5">
      <formula>ISBLANK(A2)</formula>
    </cfRule>
  </conditionalFormatting>
  <conditionalFormatting sqref="A2">
    <cfRule type="expression" dxfId="19"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8" priority="1">
      <formula>ISBLANK(A2)</formula>
    </cfRule>
  </conditionalFormatting>
  <conditionalFormatting sqref="A2:A20">
    <cfRule type="duplicateValues" dxfId="17" priority="49"/>
    <cfRule type="duplicateValues" dxfId="16" priority="50"/>
    <cfRule type="duplicateValues" dxfId="15"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14" priority="2">
      <formula>ISBLANK(A2)</formula>
    </cfRule>
  </conditionalFormatting>
  <conditionalFormatting sqref="A2">
    <cfRule type="duplicateValues" dxfId="13" priority="101"/>
    <cfRule type="duplicateValues" dxfId="12" priority="102"/>
    <cfRule type="duplicateValues" dxfId="11" priority="103"/>
    <cfRule type="duplicateValues" dxfId="10" priority="104"/>
  </conditionalFormatting>
  <conditionalFormatting sqref="B2">
    <cfRule type="expression" dxfId="9"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8"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198</v>
      </c>
      <c r="C2" t="s">
        <v>199</v>
      </c>
      <c r="D2">
        <v>1</v>
      </c>
    </row>
    <row r="3" spans="1:4" x14ac:dyDescent="0.25">
      <c r="A3" t="s">
        <v>0</v>
      </c>
      <c r="B3" t="s">
        <v>200</v>
      </c>
      <c r="C3" t="s">
        <v>199</v>
      </c>
      <c r="D3">
        <v>1</v>
      </c>
    </row>
    <row r="4" spans="1:4" x14ac:dyDescent="0.25">
      <c r="A4" t="s">
        <v>0</v>
      </c>
      <c r="B4" t="s">
        <v>201</v>
      </c>
      <c r="C4" t="s">
        <v>199</v>
      </c>
      <c r="D4">
        <v>1</v>
      </c>
    </row>
    <row r="5" spans="1:4" x14ac:dyDescent="0.25">
      <c r="A5" t="s">
        <v>0</v>
      </c>
      <c r="B5" t="s">
        <v>201</v>
      </c>
      <c r="C5" t="s">
        <v>202</v>
      </c>
      <c r="D5">
        <v>2</v>
      </c>
    </row>
    <row r="6" spans="1:4" x14ac:dyDescent="0.25">
      <c r="A6" t="s">
        <v>0</v>
      </c>
      <c r="B6" t="s">
        <v>203</v>
      </c>
      <c r="C6" t="s">
        <v>199</v>
      </c>
      <c r="D6">
        <v>1</v>
      </c>
    </row>
    <row r="7" spans="1:4" x14ac:dyDescent="0.25">
      <c r="A7" t="s">
        <v>0</v>
      </c>
      <c r="B7" t="s">
        <v>203</v>
      </c>
      <c r="C7" t="s">
        <v>202</v>
      </c>
      <c r="D7">
        <v>2</v>
      </c>
    </row>
    <row r="8" spans="1:4" x14ac:dyDescent="0.25">
      <c r="A8" t="s">
        <v>0</v>
      </c>
      <c r="B8" t="s">
        <v>203</v>
      </c>
      <c r="C8" t="s">
        <v>204</v>
      </c>
      <c r="D8">
        <v>4</v>
      </c>
    </row>
    <row r="9" spans="1:4" x14ac:dyDescent="0.25">
      <c r="A9" t="s">
        <v>0</v>
      </c>
      <c r="B9" t="s">
        <v>205</v>
      </c>
      <c r="C9" t="s">
        <v>199</v>
      </c>
      <c r="D9">
        <v>1</v>
      </c>
    </row>
    <row r="10" spans="1:4" x14ac:dyDescent="0.25">
      <c r="A10" t="s">
        <v>0</v>
      </c>
      <c r="B10" t="s">
        <v>206</v>
      </c>
      <c r="C10" t="s">
        <v>199</v>
      </c>
      <c r="D10">
        <v>1</v>
      </c>
    </row>
    <row r="11" spans="1:4" x14ac:dyDescent="0.25">
      <c r="A11" t="s">
        <v>0</v>
      </c>
      <c r="B11" t="s">
        <v>207</v>
      </c>
      <c r="C11" t="s">
        <v>199</v>
      </c>
      <c r="D11">
        <v>1</v>
      </c>
    </row>
    <row r="12" spans="1:4" x14ac:dyDescent="0.25">
      <c r="A12" t="s">
        <v>0</v>
      </c>
      <c r="B12" t="s">
        <v>207</v>
      </c>
      <c r="C12" t="s">
        <v>204</v>
      </c>
      <c r="D12">
        <v>9</v>
      </c>
    </row>
    <row r="13" spans="1:4" x14ac:dyDescent="0.25">
      <c r="A13" t="s">
        <v>0</v>
      </c>
      <c r="B13" t="s">
        <v>208</v>
      </c>
      <c r="C13" t="s">
        <v>199</v>
      </c>
      <c r="D13">
        <v>1</v>
      </c>
    </row>
    <row r="14" spans="1:4" x14ac:dyDescent="0.25">
      <c r="A14" t="s">
        <v>0</v>
      </c>
      <c r="B14" t="s">
        <v>209</v>
      </c>
      <c r="C14" t="s">
        <v>199</v>
      </c>
      <c r="D14">
        <v>1</v>
      </c>
    </row>
    <row r="15" spans="1:4" x14ac:dyDescent="0.25">
      <c r="A15" t="s">
        <v>0</v>
      </c>
      <c r="B15" t="s">
        <v>210</v>
      </c>
      <c r="C15" t="s">
        <v>199</v>
      </c>
      <c r="D15">
        <v>1</v>
      </c>
    </row>
    <row r="16" spans="1:4" x14ac:dyDescent="0.25">
      <c r="A16" t="s">
        <v>0</v>
      </c>
      <c r="B16" t="s">
        <v>210</v>
      </c>
      <c r="C16" t="s">
        <v>204</v>
      </c>
      <c r="D16">
        <v>2</v>
      </c>
    </row>
    <row r="17" spans="1:4" x14ac:dyDescent="0.25">
      <c r="A17" t="s">
        <v>0</v>
      </c>
      <c r="B17" t="s">
        <v>204</v>
      </c>
      <c r="C17" t="s">
        <v>211</v>
      </c>
      <c r="D17">
        <v>1</v>
      </c>
    </row>
    <row r="18" spans="1:4" x14ac:dyDescent="0.25">
      <c r="A18" t="s">
        <v>0</v>
      </c>
      <c r="B18" t="s">
        <v>204</v>
      </c>
      <c r="C18" t="s">
        <v>212</v>
      </c>
      <c r="D18">
        <v>2</v>
      </c>
    </row>
    <row r="19" spans="1:4" x14ac:dyDescent="0.25">
      <c r="A19" t="s">
        <v>0</v>
      </c>
      <c r="B19" t="s">
        <v>204</v>
      </c>
      <c r="C19" t="s">
        <v>213</v>
      </c>
      <c r="D19">
        <v>3</v>
      </c>
    </row>
    <row r="20" spans="1:4" x14ac:dyDescent="0.25">
      <c r="A20" t="s">
        <v>0</v>
      </c>
      <c r="B20" t="s">
        <v>204</v>
      </c>
      <c r="C20" t="s">
        <v>214</v>
      </c>
      <c r="D20">
        <v>4</v>
      </c>
    </row>
    <row r="21" spans="1:4" x14ac:dyDescent="0.25">
      <c r="A21" t="s">
        <v>0</v>
      </c>
      <c r="B21" t="s">
        <v>204</v>
      </c>
      <c r="C21" t="s">
        <v>215</v>
      </c>
      <c r="D21">
        <v>5</v>
      </c>
    </row>
    <row r="22" spans="1:4" x14ac:dyDescent="0.25">
      <c r="A22" t="s">
        <v>0</v>
      </c>
      <c r="B22" t="s">
        <v>204</v>
      </c>
      <c r="C22" t="s">
        <v>216</v>
      </c>
      <c r="D22">
        <v>6</v>
      </c>
    </row>
    <row r="23" spans="1:4" x14ac:dyDescent="0.25">
      <c r="A23" t="s">
        <v>0</v>
      </c>
      <c r="B23" t="s">
        <v>204</v>
      </c>
      <c r="C23" t="s">
        <v>217</v>
      </c>
      <c r="D23">
        <v>7</v>
      </c>
    </row>
    <row r="24" spans="1:4" x14ac:dyDescent="0.25">
      <c r="A24" t="s">
        <v>0</v>
      </c>
      <c r="B24" t="s">
        <v>199</v>
      </c>
      <c r="C24" t="s">
        <v>211</v>
      </c>
      <c r="D24">
        <v>1</v>
      </c>
    </row>
    <row r="25" spans="1:4" x14ac:dyDescent="0.25">
      <c r="A25" t="s">
        <v>0</v>
      </c>
      <c r="B25" t="s">
        <v>199</v>
      </c>
      <c r="C25" t="s">
        <v>218</v>
      </c>
      <c r="D25">
        <v>2</v>
      </c>
    </row>
    <row r="26" spans="1:4" x14ac:dyDescent="0.25">
      <c r="A26" t="s">
        <v>0</v>
      </c>
      <c r="B26" t="s">
        <v>199</v>
      </c>
      <c r="C26" t="s">
        <v>212</v>
      </c>
      <c r="D26">
        <v>3</v>
      </c>
    </row>
    <row r="27" spans="1:4" x14ac:dyDescent="0.25">
      <c r="A27" t="s">
        <v>0</v>
      </c>
      <c r="B27" t="s">
        <v>199</v>
      </c>
      <c r="C27" t="s">
        <v>213</v>
      </c>
      <c r="D27">
        <v>4</v>
      </c>
    </row>
    <row r="28" spans="1:4" x14ac:dyDescent="0.25">
      <c r="A28" t="s">
        <v>0</v>
      </c>
      <c r="B28" t="s">
        <v>199</v>
      </c>
      <c r="C28" t="s">
        <v>216</v>
      </c>
      <c r="D28">
        <v>5</v>
      </c>
    </row>
    <row r="29" spans="1:4" x14ac:dyDescent="0.25">
      <c r="A29" t="s">
        <v>0</v>
      </c>
      <c r="B29" t="s">
        <v>199</v>
      </c>
      <c r="C29" t="s">
        <v>215</v>
      </c>
      <c r="D29">
        <v>6</v>
      </c>
    </row>
    <row r="30" spans="1:4" x14ac:dyDescent="0.25">
      <c r="A30" t="s">
        <v>0</v>
      </c>
      <c r="B30" t="s">
        <v>199</v>
      </c>
      <c r="C30" t="s">
        <v>214</v>
      </c>
      <c r="D30">
        <v>7</v>
      </c>
    </row>
    <row r="31" spans="1:4" x14ac:dyDescent="0.25">
      <c r="A31" t="s">
        <v>0</v>
      </c>
      <c r="B31" t="s">
        <v>199</v>
      </c>
      <c r="C31" t="s">
        <v>217</v>
      </c>
      <c r="D31">
        <v>8</v>
      </c>
    </row>
    <row r="32" spans="1:4" x14ac:dyDescent="0.25">
      <c r="A32" t="s">
        <v>0</v>
      </c>
      <c r="B32" t="s">
        <v>199</v>
      </c>
      <c r="C32" t="s">
        <v>219</v>
      </c>
      <c r="D32">
        <v>9</v>
      </c>
    </row>
    <row r="33" spans="1:4" x14ac:dyDescent="0.25">
      <c r="A33" t="s">
        <v>0</v>
      </c>
      <c r="B33" t="s">
        <v>199</v>
      </c>
      <c r="C33" t="s">
        <v>220</v>
      </c>
      <c r="D33">
        <v>10</v>
      </c>
    </row>
    <row r="34" spans="1:4" x14ac:dyDescent="0.25">
      <c r="A34" t="s">
        <v>0</v>
      </c>
      <c r="B34" t="s">
        <v>199</v>
      </c>
      <c r="C34" t="s">
        <v>221</v>
      </c>
      <c r="D34">
        <v>11</v>
      </c>
    </row>
    <row r="35" spans="1:4" x14ac:dyDescent="0.25">
      <c r="A35" t="s">
        <v>0</v>
      </c>
      <c r="B35" t="s">
        <v>199</v>
      </c>
      <c r="C35" t="s">
        <v>222</v>
      </c>
      <c r="D35">
        <v>12</v>
      </c>
    </row>
    <row r="36" spans="1:4" x14ac:dyDescent="0.25">
      <c r="A36" t="s">
        <v>0</v>
      </c>
      <c r="B36" t="s">
        <v>199</v>
      </c>
      <c r="C36" t="s">
        <v>223</v>
      </c>
      <c r="D36">
        <v>13</v>
      </c>
    </row>
    <row r="37" spans="1:4" x14ac:dyDescent="0.25">
      <c r="A37" t="s">
        <v>0</v>
      </c>
      <c r="B37" t="s">
        <v>199</v>
      </c>
      <c r="C37" t="s">
        <v>224</v>
      </c>
      <c r="D37">
        <v>14</v>
      </c>
    </row>
    <row r="38" spans="1:4" x14ac:dyDescent="0.25">
      <c r="A38" t="s">
        <v>0</v>
      </c>
      <c r="B38" t="s">
        <v>199</v>
      </c>
      <c r="C38" t="s">
        <v>225</v>
      </c>
      <c r="D38">
        <v>15</v>
      </c>
    </row>
    <row r="39" spans="1:4" x14ac:dyDescent="0.25">
      <c r="A39" t="s">
        <v>0</v>
      </c>
      <c r="B39" t="s">
        <v>199</v>
      </c>
      <c r="C39" t="s">
        <v>226</v>
      </c>
      <c r="D39">
        <v>16</v>
      </c>
    </row>
    <row r="40" spans="1:4" x14ac:dyDescent="0.25">
      <c r="A40" t="s">
        <v>0</v>
      </c>
      <c r="B40" t="s">
        <v>199</v>
      </c>
      <c r="C40" t="s">
        <v>227</v>
      </c>
      <c r="D40">
        <v>18</v>
      </c>
    </row>
    <row r="41" spans="1:4" x14ac:dyDescent="0.25">
      <c r="A41" t="s">
        <v>0</v>
      </c>
      <c r="B41" t="s">
        <v>199</v>
      </c>
      <c r="C41" t="s">
        <v>228</v>
      </c>
      <c r="D41">
        <v>19</v>
      </c>
    </row>
    <row r="42" spans="1:4" x14ac:dyDescent="0.25">
      <c r="A42" t="s">
        <v>0</v>
      </c>
      <c r="B42" t="s">
        <v>202</v>
      </c>
      <c r="C42" t="s">
        <v>211</v>
      </c>
      <c r="D42">
        <v>1</v>
      </c>
    </row>
    <row r="43" spans="1:4" x14ac:dyDescent="0.25">
      <c r="A43" t="s">
        <v>0</v>
      </c>
      <c r="B43" t="s">
        <v>202</v>
      </c>
      <c r="C43" t="s">
        <v>212</v>
      </c>
      <c r="D43">
        <v>2</v>
      </c>
    </row>
    <row r="44" spans="1:4" x14ac:dyDescent="0.25">
      <c r="A44" t="s">
        <v>0</v>
      </c>
      <c r="B44" t="s">
        <v>202</v>
      </c>
      <c r="C44" t="s">
        <v>214</v>
      </c>
      <c r="D44">
        <v>3</v>
      </c>
    </row>
    <row r="45" spans="1:4" x14ac:dyDescent="0.25">
      <c r="A45" t="s">
        <v>0</v>
      </c>
      <c r="B45" t="s">
        <v>202</v>
      </c>
      <c r="C45" t="s">
        <v>213</v>
      </c>
      <c r="D45">
        <v>4</v>
      </c>
    </row>
    <row r="46" spans="1:4" x14ac:dyDescent="0.25">
      <c r="A46" t="s">
        <v>0</v>
      </c>
      <c r="B46" t="s">
        <v>202</v>
      </c>
      <c r="C46" t="s">
        <v>215</v>
      </c>
      <c r="D46">
        <v>5</v>
      </c>
    </row>
    <row r="47" spans="1:4" x14ac:dyDescent="0.25">
      <c r="A47" t="s">
        <v>0</v>
      </c>
      <c r="B47" t="s">
        <v>202</v>
      </c>
      <c r="C47" t="s">
        <v>216</v>
      </c>
      <c r="D47">
        <v>6</v>
      </c>
    </row>
    <row r="48" spans="1:4" x14ac:dyDescent="0.25">
      <c r="A48" t="s">
        <v>0</v>
      </c>
      <c r="B48" t="s">
        <v>202</v>
      </c>
      <c r="C48" t="s">
        <v>229</v>
      </c>
      <c r="D48">
        <v>7</v>
      </c>
    </row>
    <row r="49" spans="1:4" x14ac:dyDescent="0.25">
      <c r="A49" t="s">
        <v>0</v>
      </c>
      <c r="B49" t="s">
        <v>202</v>
      </c>
      <c r="C49" t="s">
        <v>230</v>
      </c>
      <c r="D49">
        <v>8</v>
      </c>
    </row>
    <row r="50" spans="1:4" x14ac:dyDescent="0.25">
      <c r="A50" t="s">
        <v>0</v>
      </c>
      <c r="B50" t="s">
        <v>202</v>
      </c>
      <c r="C50" t="s">
        <v>231</v>
      </c>
      <c r="D50">
        <v>9</v>
      </c>
    </row>
    <row r="51" spans="1:4" x14ac:dyDescent="0.25">
      <c r="A51" t="s">
        <v>0</v>
      </c>
      <c r="B51" t="s">
        <v>223</v>
      </c>
      <c r="C51" t="s">
        <v>230</v>
      </c>
      <c r="D51">
        <v>1</v>
      </c>
    </row>
    <row r="52" spans="1:4" x14ac:dyDescent="0.25">
      <c r="A52" t="s">
        <v>0</v>
      </c>
      <c r="B52" t="s">
        <v>232</v>
      </c>
      <c r="C52" t="s">
        <v>199</v>
      </c>
      <c r="D52">
        <v>4</v>
      </c>
    </row>
    <row r="53" spans="1:4" x14ac:dyDescent="0.25">
      <c r="A53" t="s">
        <v>0</v>
      </c>
      <c r="B53" t="s">
        <v>233</v>
      </c>
      <c r="C53" t="s">
        <v>199</v>
      </c>
      <c r="D53">
        <v>4</v>
      </c>
    </row>
    <row r="54" spans="1:4" x14ac:dyDescent="0.25">
      <c r="A54" t="s">
        <v>0</v>
      </c>
      <c r="B54" t="s">
        <v>234</v>
      </c>
      <c r="C54" t="s">
        <v>199</v>
      </c>
      <c r="D54">
        <v>4</v>
      </c>
    </row>
    <row r="55" spans="1:4" x14ac:dyDescent="0.25">
      <c r="A55" t="s">
        <v>0</v>
      </c>
      <c r="B55" t="s">
        <v>235</v>
      </c>
      <c r="C55" t="s">
        <v>231</v>
      </c>
      <c r="D55">
        <v>2</v>
      </c>
    </row>
    <row r="56" spans="1:4" x14ac:dyDescent="0.25">
      <c r="A56" t="s">
        <v>0</v>
      </c>
      <c r="B56" t="s">
        <v>235</v>
      </c>
      <c r="C56" t="s">
        <v>230</v>
      </c>
      <c r="D56">
        <v>5</v>
      </c>
    </row>
    <row r="57" spans="1:4" x14ac:dyDescent="0.25">
      <c r="A57" t="s">
        <v>0</v>
      </c>
      <c r="B57" t="s">
        <v>235</v>
      </c>
      <c r="C57" t="s">
        <v>223</v>
      </c>
      <c r="D57">
        <v>7</v>
      </c>
    </row>
    <row r="58" spans="1:4" x14ac:dyDescent="0.25">
      <c r="A58" t="s">
        <v>0</v>
      </c>
      <c r="B58" t="s">
        <v>236</v>
      </c>
      <c r="C58" t="s">
        <v>199</v>
      </c>
      <c r="D58">
        <v>1</v>
      </c>
    </row>
    <row r="59" spans="1:4" x14ac:dyDescent="0.25">
      <c r="A59" t="s">
        <v>0</v>
      </c>
      <c r="B59" t="s">
        <v>237</v>
      </c>
      <c r="C59" t="s">
        <v>199</v>
      </c>
      <c r="D59">
        <v>4</v>
      </c>
    </row>
    <row r="60" spans="1:4" x14ac:dyDescent="0.25">
      <c r="A60" t="s">
        <v>0</v>
      </c>
      <c r="B60" t="s">
        <v>238</v>
      </c>
      <c r="C60" t="s">
        <v>199</v>
      </c>
      <c r="D60">
        <v>1</v>
      </c>
    </row>
    <row r="61" spans="1:4" x14ac:dyDescent="0.25">
      <c r="A61" t="s">
        <v>0</v>
      </c>
      <c r="B61" t="s">
        <v>239</v>
      </c>
      <c r="C61" t="s">
        <v>199</v>
      </c>
      <c r="D61">
        <v>1</v>
      </c>
    </row>
    <row r="62" spans="1:4" x14ac:dyDescent="0.25">
      <c r="A62" t="s">
        <v>0</v>
      </c>
      <c r="B62" t="s">
        <v>240</v>
      </c>
      <c r="C62" t="s">
        <v>199</v>
      </c>
      <c r="D62">
        <v>1</v>
      </c>
    </row>
    <row r="63" spans="1:4" x14ac:dyDescent="0.25">
      <c r="A63" t="s">
        <v>0</v>
      </c>
      <c r="B63" t="s">
        <v>241</v>
      </c>
      <c r="C63" t="s">
        <v>199</v>
      </c>
      <c r="D63">
        <v>2</v>
      </c>
    </row>
    <row r="64" spans="1:4" x14ac:dyDescent="0.25">
      <c r="A64" t="s">
        <v>0</v>
      </c>
      <c r="B64" t="s">
        <v>242</v>
      </c>
      <c r="C64" t="s">
        <v>199</v>
      </c>
      <c r="D64">
        <v>1</v>
      </c>
    </row>
    <row r="65" spans="1:4" x14ac:dyDescent="0.25">
      <c r="A65" t="s">
        <v>0</v>
      </c>
      <c r="B65" t="s">
        <v>231</v>
      </c>
      <c r="C65" t="s">
        <v>230</v>
      </c>
      <c r="D65">
        <v>1</v>
      </c>
    </row>
    <row r="66" spans="1:4" x14ac:dyDescent="0.25">
      <c r="A66" t="s">
        <v>0</v>
      </c>
      <c r="B66" t="s">
        <v>231</v>
      </c>
      <c r="C66" t="s">
        <v>218</v>
      </c>
      <c r="D66">
        <v>2</v>
      </c>
    </row>
    <row r="67" spans="1:4" x14ac:dyDescent="0.25">
      <c r="A67" t="s">
        <v>0</v>
      </c>
      <c r="B67" t="s">
        <v>231</v>
      </c>
      <c r="C67" t="s">
        <v>229</v>
      </c>
      <c r="D67">
        <v>3</v>
      </c>
    </row>
    <row r="68" spans="1:4" x14ac:dyDescent="0.25">
      <c r="A68" t="s">
        <v>0</v>
      </c>
      <c r="B68" t="s">
        <v>231</v>
      </c>
      <c r="C68" t="s">
        <v>243</v>
      </c>
      <c r="D68">
        <v>4</v>
      </c>
    </row>
    <row r="69" spans="1:4" x14ac:dyDescent="0.25">
      <c r="A69" t="s">
        <v>0</v>
      </c>
      <c r="B69" t="s">
        <v>231</v>
      </c>
      <c r="C69" t="s">
        <v>244</v>
      </c>
      <c r="D69">
        <v>5</v>
      </c>
    </row>
    <row r="70" spans="1:4" x14ac:dyDescent="0.25">
      <c r="A70" t="s">
        <v>0</v>
      </c>
      <c r="B70" t="s">
        <v>231</v>
      </c>
      <c r="C70" t="s">
        <v>245</v>
      </c>
      <c r="D70">
        <v>6</v>
      </c>
    </row>
    <row r="71" spans="1:4" x14ac:dyDescent="0.25">
      <c r="A71" t="s">
        <v>0</v>
      </c>
      <c r="B71" t="s">
        <v>231</v>
      </c>
      <c r="C71" t="s">
        <v>246</v>
      </c>
      <c r="D71">
        <v>7</v>
      </c>
    </row>
    <row r="72" spans="1:4" x14ac:dyDescent="0.25">
      <c r="A72" t="s">
        <v>0</v>
      </c>
      <c r="B72" t="s">
        <v>231</v>
      </c>
      <c r="C72" t="s">
        <v>223</v>
      </c>
      <c r="D72">
        <v>8</v>
      </c>
    </row>
    <row r="73" spans="1:4" x14ac:dyDescent="0.25">
      <c r="A73" t="s">
        <v>0</v>
      </c>
      <c r="B73" t="s">
        <v>231</v>
      </c>
      <c r="C73" t="s">
        <v>235</v>
      </c>
      <c r="D73">
        <v>11</v>
      </c>
    </row>
    <row r="74" spans="1:4" x14ac:dyDescent="0.25">
      <c r="A74" t="s">
        <v>0</v>
      </c>
      <c r="B74" t="s">
        <v>247</v>
      </c>
      <c r="C74" t="s">
        <v>231</v>
      </c>
      <c r="D74">
        <v>1</v>
      </c>
    </row>
    <row r="75" spans="1:4" x14ac:dyDescent="0.25">
      <c r="A75" t="s">
        <v>0</v>
      </c>
      <c r="B75" t="s">
        <v>247</v>
      </c>
      <c r="C75" t="s">
        <v>248</v>
      </c>
      <c r="D75">
        <v>3</v>
      </c>
    </row>
    <row r="76" spans="1:4" x14ac:dyDescent="0.25">
      <c r="A76" t="s">
        <v>0</v>
      </c>
      <c r="B76" t="s">
        <v>247</v>
      </c>
      <c r="C76" t="s">
        <v>249</v>
      </c>
      <c r="D76">
        <v>4</v>
      </c>
    </row>
    <row r="77" spans="1:4" x14ac:dyDescent="0.25">
      <c r="A77" t="s">
        <v>0</v>
      </c>
      <c r="B77" t="s">
        <v>247</v>
      </c>
      <c r="C77" t="s">
        <v>245</v>
      </c>
      <c r="D77">
        <v>5</v>
      </c>
    </row>
    <row r="78" spans="1:4" x14ac:dyDescent="0.25">
      <c r="A78" t="s">
        <v>0</v>
      </c>
      <c r="B78" t="s">
        <v>247</v>
      </c>
      <c r="C78" t="s">
        <v>202</v>
      </c>
      <c r="D78">
        <v>6</v>
      </c>
    </row>
    <row r="79" spans="1:4" x14ac:dyDescent="0.25">
      <c r="A79" t="s">
        <v>0</v>
      </c>
      <c r="B79" t="s">
        <v>247</v>
      </c>
      <c r="C79" t="s">
        <v>214</v>
      </c>
      <c r="D79">
        <v>9</v>
      </c>
    </row>
    <row r="80" spans="1:4" x14ac:dyDescent="0.25">
      <c r="A80" t="s">
        <v>0</v>
      </c>
      <c r="B80" t="s">
        <v>247</v>
      </c>
      <c r="C80" t="s">
        <v>250</v>
      </c>
      <c r="D80">
        <v>15</v>
      </c>
    </row>
    <row r="81" spans="1:4" x14ac:dyDescent="0.25">
      <c r="A81" t="s">
        <v>28</v>
      </c>
      <c r="B81" t="s">
        <v>251</v>
      </c>
      <c r="C81" t="s">
        <v>199</v>
      </c>
      <c r="D81">
        <v>1</v>
      </c>
    </row>
  </sheetData>
  <conditionalFormatting sqref="A2:D81">
    <cfRule type="expression" dxfId="7" priority="2">
      <formula>ISBLANK(A2)</formula>
    </cfRule>
  </conditionalFormatting>
  <conditionalFormatting sqref="A2:A81">
    <cfRule type="expression" dxfId="6" priority="2616">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-1357</v>
      </c>
    </row>
    <row r="4" spans="1:3" x14ac:dyDescent="0.25">
      <c r="A4" s="1" t="s">
        <v>75</v>
      </c>
      <c r="B4" s="16">
        <v>41866</v>
      </c>
      <c r="C4" s="7">
        <f ca="1">Tabla_DIAS_RESTANTES[[#This Row],[FIN PERÍODO]]-TODAY()</f>
        <v>-1343</v>
      </c>
    </row>
    <row r="5" spans="1:3" x14ac:dyDescent="0.25">
      <c r="A5" s="1" t="s">
        <v>77</v>
      </c>
      <c r="B5" s="16">
        <v>41866</v>
      </c>
      <c r="C5" s="7">
        <f ca="1">Tabla_DIAS_RESTANTES[[#This Row],[FIN PERÍODO]]-TODAY()</f>
        <v>-1343</v>
      </c>
    </row>
    <row r="6" spans="1:3" x14ac:dyDescent="0.25">
      <c r="A6" s="1" t="s">
        <v>72</v>
      </c>
      <c r="B6" s="16">
        <v>41873</v>
      </c>
      <c r="C6" s="7">
        <f ca="1">Tabla_DIAS_RESTANTES[[#This Row],[FIN PERÍODO]]-TODAY()</f>
        <v>-1336</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111</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43209.754895833335</v>
      </c>
    </row>
    <row r="2" spans="1:2" x14ac:dyDescent="0.25">
      <c r="A2" t="s">
        <v>66</v>
      </c>
      <c r="B2" s="17">
        <v>43209.756874999999</v>
      </c>
    </row>
    <row r="4" spans="1:2" x14ac:dyDescent="0.25">
      <c r="A4" t="s">
        <v>67</v>
      </c>
      <c r="B4" s="18">
        <f>IF((FINREFRESCADO-INICIOREFRESCADO)&gt;0,FINREFRESCADO-INICIOREFRESCADO,"")</f>
        <v>1.9791666636592709E-3</v>
      </c>
    </row>
    <row r="6" spans="1:2" x14ac:dyDescent="0.25">
      <c r="A6" t="s">
        <v>125</v>
      </c>
      <c r="B6" t="s">
        <v>261</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195</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6"/>
  <sheetViews>
    <sheetView showGridLines="0" workbookViewId="0">
      <selection activeCell="C1" sqref="C1"/>
    </sheetView>
  </sheetViews>
  <sheetFormatPr baseColWidth="10" defaultColWidth="11.42578125" defaultRowHeight="15" x14ac:dyDescent="0.25"/>
  <cols>
    <col min="1" max="1" width="27.7109375" bestFit="1" customWidth="1"/>
    <col min="2" max="2" width="34.85546875" bestFit="1" customWidth="1"/>
  </cols>
  <sheetData>
    <row r="1" spans="1:2" ht="38.25" customHeight="1" x14ac:dyDescent="0.25">
      <c r="A1" t="s">
        <v>254</v>
      </c>
      <c r="B1" t="s">
        <v>252</v>
      </c>
    </row>
    <row r="2" spans="1:2" x14ac:dyDescent="0.25">
      <c r="A2" t="s">
        <v>256</v>
      </c>
      <c r="B2" t="s">
        <v>258</v>
      </c>
    </row>
    <row r="3" spans="1:2" x14ac:dyDescent="0.25">
      <c r="A3" t="s">
        <v>257</v>
      </c>
      <c r="B3" t="s">
        <v>259</v>
      </c>
    </row>
    <row r="4" spans="1:2" x14ac:dyDescent="0.25">
      <c r="B4" t="s">
        <v>256</v>
      </c>
    </row>
    <row r="5" spans="1:2" x14ac:dyDescent="0.25">
      <c r="B5" t="s">
        <v>257</v>
      </c>
    </row>
    <row r="6" spans="1:2" x14ac:dyDescent="0.25">
      <c r="B6" t="s">
        <v>260</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197</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254</v>
      </c>
      <c r="C2" t="s">
        <v>255</v>
      </c>
    </row>
    <row r="3" spans="1:3" x14ac:dyDescent="0.25">
      <c r="A3" t="s">
        <v>0</v>
      </c>
      <c r="B3" t="s">
        <v>252</v>
      </c>
      <c r="C3" t="s">
        <v>253</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62C35A-9EDA-48AD-A8F6-C9B82D223D1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32</vt:i4>
      </vt:variant>
    </vt:vector>
  </HeadingPairs>
  <TitlesOfParts>
    <vt:vector size="47" baseType="lpstr">
      <vt:lpstr>CENTROCONTROL</vt:lpstr>
      <vt:lpstr>Control_Buffers</vt:lpstr>
      <vt:lpstr>Login</vt:lpstr>
      <vt:lpstr>Directorios</vt:lpstr>
      <vt:lpstr>EMPRESABODEGA</vt:lpstr>
      <vt:lpstr>ARCHIVOSCB</vt:lpstr>
      <vt:lpstr>ARCHIVOSBODEGAS</vt:lpstr>
      <vt:lpstr>PERFIL</vt:lpstr>
      <vt:lpstr>TRANSFERENCIAS</vt:lpstr>
      <vt:lpstr>ITEMS_EMPRESA</vt:lpstr>
      <vt:lpstr>PATH</vt:lpstr>
      <vt:lpstr>AUX</vt:lpstr>
      <vt:lpstr>ITEMS_SELECCIONADOS</vt:lpstr>
      <vt:lpstr>DURACION</vt:lpstr>
      <vt:lpstr>Parametros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2018-04-19T23:33:08Z</dcterms:modified>
</cp:coreProperties>
</file>