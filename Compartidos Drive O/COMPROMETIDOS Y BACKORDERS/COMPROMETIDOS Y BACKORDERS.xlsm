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amcas1\DriveO\COMPROMETIDOS Y BACKORDERS\"/>
    </mc:Choice>
  </mc:AlternateContent>
  <bookViews>
    <workbookView xWindow="240" yWindow="0" windowWidth="15480" windowHeight="8355" activeTab="1"/>
  </bookViews>
  <sheets>
    <sheet name="Comprometidos" sheetId="3" r:id="rId1"/>
    <sheet name="Backorders" sheetId="2" r:id="rId2"/>
    <sheet name="Datos" sheetId="5" state="hidden" r:id="rId3"/>
    <sheet name="Cliente" sheetId="4" r:id="rId4"/>
  </sheets>
  <definedNames>
    <definedName name="Consulta_desde_ODBC_RAMCAS1" localSheetId="2" hidden="1">Datos!$A$1:$B$3</definedName>
    <definedName name="Consulta_desde_ODBC_RAMCAS1_1" localSheetId="1" hidden="1">Backorders!$A$972074:$E$972182</definedName>
    <definedName name="Consulta_desde_ODBC_RAMCAS1_1" localSheetId="0" hidden="1">Comprometidos!$A$999797:$E$999905</definedName>
    <definedName name="Consulta_desde_ODBC_RAMCAS1_2" localSheetId="2" hidden="1">Datos!$D$1:$E$33</definedName>
    <definedName name="Lista_Backorder">Backorders!$A$1:$J$2</definedName>
    <definedName name="Lista_Proveedores">Proveedores[pro_nombre]</definedName>
    <definedName name="ListaBodegasDinamicas">OFFSET(Backorders!$C$972074,MATCH(Backorders!XFD76406,Backorders!$A$972075:$A$972182,0),0,COUNTIF(Backorders!$A$972075:$A$972182,"="&amp;Backorders!XFD76406),1)</definedName>
    <definedName name="ListaClientes">Clientes[Cliente]</definedName>
    <definedName name="ListaComprometido">Comprometidos!$A$1:$I$2</definedName>
    <definedName name="ListaEmpresas">Empresa_Backorder[emp_nombre]</definedName>
  </definedNames>
  <calcPr calcId="152511"/>
</workbook>
</file>

<file path=xl/calcChain.xml><?xml version="1.0" encoding="utf-8"?>
<calcChain xmlns="http://schemas.openxmlformats.org/spreadsheetml/2006/main">
  <c r="J2" i="3" l="1"/>
  <c r="L2" i="3" s="1"/>
  <c r="E2" i="3"/>
  <c r="D2" i="3"/>
</calcChain>
</file>

<file path=xl/connections.xml><?xml version="1.0" encoding="utf-8"?>
<connections xmlns="http://schemas.openxmlformats.org/spreadsheetml/2006/main">
  <connection id="1" name="Consulta desde ODBC RAMCAS1" type="1" refreshedVersion="5" refreshOnLoad="1" saveData="1">
    <dbPr connection="DSN=ODBC RAMCAS1;" command="SELECT_x000d__x000a_e.emp_nombre , e.emp_codigo from empresa e WHERE e.emp_activa = 1_x000d__x000a_ORDER BY _x000d__x000a_e.emp_nombre"/>
  </connection>
  <connection id="2" name="Consulta desde ODBC RAMCAS11" type="1" refreshedVersion="5" refreshOnLoad="1" saveData="1">
    <dbPr connection="DSN=ODBC RAMCAS1;" command="SELECT_x000d__x000a__x0009_empresa.emp_nombre,_x000d__x000a__x0009_bodega.bod_nombre,_x000d__x000a__x0009_CONCAT( empresa.emp_nombre, bodega.bod_nombre ) AS empresa_bodega,_x000d__x000a__x0009_empresa.emp_codigo,_x000d__x000a__x0009_bodega.bod_codigo _x000d__x000a_FROM_x000d__x000a__x0009_bodega_x000d__x000a__x0009_INNER JOIN empresa ON bodega.bod_empresa_id = empresa.empresa_id _x000d__x000a_WHERE_x000d__x000a__x0009_empresa.emp_activa = 1 _x000d__x000a__x0009_AND bodega.bod_activa = 1 _x000d__x000a_ORDER BY_x000d__x000a__x0009_empresa.emp_nombre,_x000d__x000a__x0009_bodega.bod_nombre"/>
  </connection>
  <connection id="3" name="Consulta desde ODBC RAMCAS111" type="1" refreshedVersion="5" refreshOnLoad="1" saveData="1">
    <dbPr connection="DSN=ODBC RAMCAS1;" command="SELECT_x000d__x000a__x0009_empresa.emp_nombre,_x000d__x000a__x0009_bodega.bod_nombre,_x000d__x000a__x0009_CONCAT( empresa.emp_nombre, bodega.bod_nombre ) AS empresa_bodega,_x000d__x000a__x0009_empresa.emp_codigo,_x000d__x000a__x0009_bodega.bod_codigo _x000d__x000a_FROM_x000d__x000a__x0009_bodega_x000d__x000a__x0009_INNER JOIN empresa ON bodega.bod_empresa_id = empresa.empresa_id _x000d__x000a_WHERE_x000d__x000a__x0009_empresa.emp_activa = 1 _x000d__x000a__x0009_AND bodega.bod_activa = 1 _x000d__x000a_ORDER BY_x000d__x000a__x0009_empresa.emp_nombre,_x000d__x000a__x0009_bodega.bod_nombre"/>
  </connection>
  <connection id="4" name="Consulta desde ODBC RAMCAS13" type="1" refreshedVersion="5" refreshOnLoad="1" saveData="1">
    <dbPr connection="DSN=ODBC RAMCAS1;" command="SELECT_x000d__x000a_e.emp_nombre from empresa e WHERE e.emp_activa = 1_x000d__x000a_ORDER BY _x000d__x000a_e.emp_nombre"/>
  </connection>
  <connection id="5" name="Consulta desde ODBC RAMCAS14" type="1" refreshedVersion="5" refreshOnLoad="1" saveData="1">
    <dbPr connection="DSN=ODBC RAMCAS1;" command="SELECT proveedor_id as pro_codigo, pro_nombre FROM proveedor WHERE pro_activa = 1 ORDER BY pro_nombre"/>
  </connection>
</connections>
</file>

<file path=xl/sharedStrings.xml><?xml version="1.0" encoding="utf-8"?>
<sst xmlns="http://schemas.openxmlformats.org/spreadsheetml/2006/main" count="1161" uniqueCount="379">
  <si>
    <t>DESCRIPCION</t>
  </si>
  <si>
    <t>CANTIDAD</t>
  </si>
  <si>
    <t>BODEGA</t>
  </si>
  <si>
    <t>EMPRESA</t>
  </si>
  <si>
    <t>bod_nombre</t>
  </si>
  <si>
    <t>emp_nombre</t>
  </si>
  <si>
    <t>CLIENTE</t>
  </si>
  <si>
    <t>Cliente</t>
  </si>
  <si>
    <t>CODIGO ALTERNO</t>
  </si>
  <si>
    <t>CODIGO PRINCIPAL</t>
  </si>
  <si>
    <t>IESS HCAM</t>
  </si>
  <si>
    <t>MILITAR</t>
  </si>
  <si>
    <t>IESS SAN FCO</t>
  </si>
  <si>
    <t>FECHA ORIGEN</t>
  </si>
  <si>
    <t>CADUCIDAD SEMANAS</t>
  </si>
  <si>
    <t>CADUCADA</t>
  </si>
  <si>
    <t>AGROTA</t>
  </si>
  <si>
    <t>Bodega Central Agrota</t>
  </si>
  <si>
    <t>emp_codigo</t>
  </si>
  <si>
    <t>bod_codigo</t>
  </si>
  <si>
    <t>pro_codigo</t>
  </si>
  <si>
    <t>pro_nombre</t>
  </si>
  <si>
    <t>COD_EMPRESA</t>
  </si>
  <si>
    <t>COD_BODEGA</t>
  </si>
  <si>
    <t>empresa_bodega</t>
  </si>
  <si>
    <t>PROVEEDOR</t>
  </si>
  <si>
    <t>COD_PROVEEDOR</t>
  </si>
  <si>
    <t>BODEGA CENTRAL MAQUINAS</t>
  </si>
  <si>
    <t>BODEGA CENTRAL MATERIA PRIMA</t>
  </si>
  <si>
    <t>MATERIA PRIMA</t>
  </si>
  <si>
    <t>SUKAMPO</t>
  </si>
  <si>
    <t>Agroenzimas</t>
  </si>
  <si>
    <t>Agroprocesos</t>
  </si>
  <si>
    <t>Agrosad</t>
  </si>
  <si>
    <t>ARS</t>
  </si>
  <si>
    <t>BCS</t>
  </si>
  <si>
    <t>BODEGA CENTRAL</t>
  </si>
  <si>
    <t>130206666653994</t>
  </si>
  <si>
    <t>BORALSAN</t>
  </si>
  <si>
    <t>Borrar</t>
  </si>
  <si>
    <t>Chatani</t>
  </si>
  <si>
    <t>COMERCIAL KYWI</t>
  </si>
  <si>
    <t>Compra Local Maquinas</t>
  </si>
  <si>
    <t>Compra Local Quimicos</t>
  </si>
  <si>
    <t>Duaja</t>
  </si>
  <si>
    <t>Echo</t>
  </si>
  <si>
    <t>EUROLATTE</t>
  </si>
  <si>
    <t>FORD</t>
  </si>
  <si>
    <t>Ikra</t>
  </si>
  <si>
    <t>INCOMAGRI</t>
  </si>
  <si>
    <t>Jf</t>
  </si>
  <si>
    <t>JM ESTRADA</t>
  </si>
  <si>
    <t>120927162604298</t>
  </si>
  <si>
    <t>Mercalimsa</t>
  </si>
  <si>
    <t>MFW</t>
  </si>
  <si>
    <t xml:space="preserve">MIO CHEMICAL </t>
  </si>
  <si>
    <t>MIRAL</t>
  </si>
  <si>
    <t>Patriot</t>
  </si>
  <si>
    <t>SHARDA</t>
  </si>
  <si>
    <t>Sinochem</t>
  </si>
  <si>
    <t>Sirfran</t>
  </si>
  <si>
    <t>1</t>
  </si>
  <si>
    <t>110427120444117</t>
  </si>
  <si>
    <t>Activos Agrota Feria Libre</t>
  </si>
  <si>
    <t>Activos Agrota Matriz</t>
  </si>
  <si>
    <t>AGROTA BODEGA  YAMABIKO</t>
  </si>
  <si>
    <t>AGROTA BODEGA FALTANTES DE IMPORTACION Y COMPRAS</t>
  </si>
  <si>
    <t>AGROTA BODEGA GARANTIAS AGROPECUARIA</t>
  </si>
  <si>
    <t>AGROTA BODEGA IPS Jose Mora</t>
  </si>
  <si>
    <t>AGROTA BODEGA LICITACIONES</t>
  </si>
  <si>
    <t>AGROTA BODEGA MAQUINAS ARMADAS</t>
  </si>
  <si>
    <t>AGROTA MAQUINAS PARA PRUEBA</t>
  </si>
  <si>
    <t>AGROTA PRODUCCION EUROLATTE</t>
  </si>
  <si>
    <t>AGROTA SUKAMPO FERIA LIBRE</t>
  </si>
  <si>
    <t>AGROTA SUKAMPO GUAYAQUIL</t>
  </si>
  <si>
    <t>AGROTA SUKAMPO MILAGRO</t>
  </si>
  <si>
    <t>AGROTA SUKAMPO UNIDAD NACIONAL</t>
  </si>
  <si>
    <t>AGROTA TALLER SUKAMPO FERIA LIBRE</t>
  </si>
  <si>
    <t>AGROTA TALLER SUKAMPO MILAGRO</t>
  </si>
  <si>
    <t>AGROTA TALLER SUKAMPO QUEVEDO</t>
  </si>
  <si>
    <t>AGROTA TALLER SUKAMPO SUCRE</t>
  </si>
  <si>
    <t>AGROTA TALLER SUKAMPO UNIDAD NACIONAL</t>
  </si>
  <si>
    <t>BODEGA AGROPROCESOS</t>
  </si>
  <si>
    <t>BODEGA AGROSAD</t>
  </si>
  <si>
    <t>Bodega Almacen (Su Campo)</t>
  </si>
  <si>
    <t>BODEGA DUPOCSA ARENAL</t>
  </si>
  <si>
    <t>BODEGA DUPOCSA CONCORDIA</t>
  </si>
  <si>
    <t>BODEGA DUPOCSA QUEVEDO</t>
  </si>
  <si>
    <t>BODEGA MAQUINAS PERDIDAS TRANSPORTE</t>
  </si>
  <si>
    <t>BODEGA MERCALIMSA</t>
  </si>
  <si>
    <t>BODEGA SATELITE AGROINSUMOS RIERA</t>
  </si>
  <si>
    <t>BODEGA SATELITE COMERCIAL COCA</t>
  </si>
  <si>
    <t>BODEGA SUKAMPO</t>
  </si>
  <si>
    <t>BODEGA TALLER SUKAMPO</t>
  </si>
  <si>
    <t>CONSIGNACION AGROINSUMOS</t>
  </si>
  <si>
    <t>Consignacion agrota</t>
  </si>
  <si>
    <t>El Molino</t>
  </si>
  <si>
    <t>FACTUTARACION IP</t>
  </si>
  <si>
    <t>FALTANTES REPUESTOS</t>
  </si>
  <si>
    <t>Feria Libre</t>
  </si>
  <si>
    <t>GUAYAQUIL SUKAMPO</t>
  </si>
  <si>
    <t>HACIENDA CHUQUIPATA</t>
  </si>
  <si>
    <t>JAHER REGIONAL CDR BABAHOYO</t>
  </si>
  <si>
    <t>JAHER REGIONAL CDR. CUENCA</t>
  </si>
  <si>
    <t>Loja</t>
  </si>
  <si>
    <t>Maquinas desarmadas</t>
  </si>
  <si>
    <t>MAQUINAS DESARMADAS FAUSTO</t>
  </si>
  <si>
    <t>MAQUINAS USADAS SUKAMPO</t>
  </si>
  <si>
    <t>MARCIMEX REGIONAL CUENCA</t>
  </si>
  <si>
    <t>MARCIMEX TIENDA  El EMPALME</t>
  </si>
  <si>
    <t>MARCIMEX TIENDA  EL GUABO</t>
  </si>
  <si>
    <t>MARCIMEX TIENDA  EL TRIUNFO</t>
  </si>
  <si>
    <t>MARCIMEX TIENDA  MILAGRO 1</t>
  </si>
  <si>
    <t>MARCIMEX TIENDA  NARANJAL</t>
  </si>
  <si>
    <t>MARCIMEX TIENDA  NARANJITO</t>
  </si>
  <si>
    <t>MARCIMEX TIENDA  PONCE  ENRIQUEZ</t>
  </si>
  <si>
    <t>MARCIMEX TIENDA  STA. ROSA</t>
  </si>
  <si>
    <t>MARCIMEX TIENDA BABAHOYO</t>
  </si>
  <si>
    <t>MARCIMEX TIENDA BUENA FE</t>
  </si>
  <si>
    <t>MARCIMEX TIENDA EL CARMEN</t>
  </si>
  <si>
    <t>MARCIMEX TIENDA LA CONCORDIA</t>
  </si>
  <si>
    <t>MARCIMEX TIENDA LA MANA</t>
  </si>
  <si>
    <t>MARCIMEX TIENDA LA TRONCAL</t>
  </si>
  <si>
    <t>MARCIMEX TIENDA LAS GOLONDRINAS</t>
  </si>
  <si>
    <t>MARCIMEX TIENDA MACHALA  ROCAFURETE</t>
  </si>
  <si>
    <t>MARCIMEX TIENDA PATRICIA PILAR</t>
  </si>
  <si>
    <t>MARCIMEX TIENDA PELILEO</t>
  </si>
  <si>
    <t>MARCIMEX TIENDA QUEVEDO 7 DE OCTUBRE</t>
  </si>
  <si>
    <t>MARCIMEX TIENDA QUEVEDO CALLE PRIMERA</t>
  </si>
  <si>
    <t xml:space="preserve">MARCIMEX TIENDA QUEVEDO SAN CAMILO </t>
  </si>
  <si>
    <t>MARCIMEX TIENDA QUININDE</t>
  </si>
  <si>
    <t>MARCIMEX TIENDA STO DOMINGO 29 DE MAYO</t>
  </si>
  <si>
    <t>MARCIMEX TIENDA STO. DOMINGO  CALLE QUITO</t>
  </si>
  <si>
    <t>MARCIMEX TIENDA VENTANAS</t>
  </si>
  <si>
    <t>MEGACENTRO EL CHACO</t>
  </si>
  <si>
    <t>MEGACENTRO LATACUNGA</t>
  </si>
  <si>
    <t>MEGACENTRO MACHACHI</t>
  </si>
  <si>
    <t>MEGACENTRO NANEGALITO</t>
  </si>
  <si>
    <t>MEGACENTRO PEDRO VICENTE MALDONADO</t>
  </si>
  <si>
    <t>Pendientes</t>
  </si>
  <si>
    <t>Plaza Carbon(Byron)</t>
  </si>
  <si>
    <t>Problemas Agrota</t>
  </si>
  <si>
    <t>PROBLEMAS MAQ. PRUEBA</t>
  </si>
  <si>
    <t>PRODUCCION</t>
  </si>
  <si>
    <t>PRODUCTO TERMINADO</t>
  </si>
  <si>
    <t>REPUESTOS PARA MAQUINAS SIN IP</t>
  </si>
  <si>
    <t>Activos Sukampo Feria Libre</t>
  </si>
  <si>
    <t>Activos Sukampo Sucre</t>
  </si>
  <si>
    <t>AGROTA BODEGA INCOP</t>
  </si>
  <si>
    <t>BODEGA CONSIGNACION FERIA LIBRE</t>
  </si>
  <si>
    <t>BODEGA CONSIGNACION REPUESTOS FERIA LIBRE</t>
  </si>
  <si>
    <t>BODEGA CONSIGNACIÓN SUCRE no usar</t>
  </si>
  <si>
    <t>BODEGA HERRAMIENTAS SUKAMPO</t>
  </si>
  <si>
    <t>Bodega Naranjal</t>
  </si>
  <si>
    <t>BODEGA REPUESTOS FERIA LIBRE</t>
  </si>
  <si>
    <t>Bodega Sukampo el molino</t>
  </si>
  <si>
    <t>FALTANTES SUKAMPO</t>
  </si>
  <si>
    <t>FALTANTES SUKAMPO SUCRE</t>
  </si>
  <si>
    <t>FERIA LIBRE SUKAMPO</t>
  </si>
  <si>
    <t>Loja Sukampo</t>
  </si>
  <si>
    <t>Sucre Sukampo</t>
  </si>
  <si>
    <t>SUKAMPO BODEGA REPUESTOS SUCRE</t>
  </si>
  <si>
    <t>SUKAMPO BODEGA TALLER SUCRE</t>
  </si>
  <si>
    <t>SUKAMPO BODEGAS MAQUINAS USADAS</t>
  </si>
  <si>
    <t>SUKAMPO FALTANTE COMPRAS LOCALES</t>
  </si>
  <si>
    <t>Taller Feria Libre</t>
  </si>
  <si>
    <t>AGROTAActivos Agrota Feria Libre</t>
  </si>
  <si>
    <t>110630161133822</t>
  </si>
  <si>
    <t>AGROTAActivos Agrota Matriz</t>
  </si>
  <si>
    <t>110630160959520</t>
  </si>
  <si>
    <t>AGROTAAGROTA BODEGA  YAMABIKO</t>
  </si>
  <si>
    <t>120215162424790</t>
  </si>
  <si>
    <t>AGROTAAGROTA BODEGA FALTANTES DE IMPORTACION Y COMPRAS</t>
  </si>
  <si>
    <t>110802090120553</t>
  </si>
  <si>
    <t>AGROTAAGROTA BODEGA GARANTIAS AGROPECUARIA</t>
  </si>
  <si>
    <t>120710154409593</t>
  </si>
  <si>
    <t>AGROTAAGROTA BODEGA IPS Jose Mora</t>
  </si>
  <si>
    <t>130201194453994</t>
  </si>
  <si>
    <t>AGROTAAGROTA BODEGA LICITACIONES</t>
  </si>
  <si>
    <t>130201114453002</t>
  </si>
  <si>
    <t>AGROTAAGROTA BODEGA MAQUINAS ARMADAS</t>
  </si>
  <si>
    <t>130206622253994</t>
  </si>
  <si>
    <t>AGROTAAGROTA MAQUINAS PARA PRUEBA</t>
  </si>
  <si>
    <t>110419145525304</t>
  </si>
  <si>
    <t>AGROTAAGROTA PRODUCCION EUROLATTE</t>
  </si>
  <si>
    <t>130201114453194</t>
  </si>
  <si>
    <t>AGROTAAGROTA SUKAMPO FERIA LIBRE</t>
  </si>
  <si>
    <t>150309000000214</t>
  </si>
  <si>
    <t>AGROTAAGROTA SUKAMPO GUAYAQUIL</t>
  </si>
  <si>
    <t>160121103434904</t>
  </si>
  <si>
    <t>AGROTAAGROTA SUKAMPO MILAGRO</t>
  </si>
  <si>
    <t>170519131011096</t>
  </si>
  <si>
    <t>AGROTAAGROTA SUKAMPO UNIDAD NACIONAL</t>
  </si>
  <si>
    <t>160830093721889</t>
  </si>
  <si>
    <t>AGROTAAGROTA TALLER SUKAMPO FERIA LIBRE</t>
  </si>
  <si>
    <t>150226234105125</t>
  </si>
  <si>
    <t>AGROTAAGROTA TALLER SUKAMPO MILAGRO</t>
  </si>
  <si>
    <t>170628150112413</t>
  </si>
  <si>
    <t>AGROTAAGROTA TALLER SUKAMPO QUEVEDO</t>
  </si>
  <si>
    <t>170922164353992</t>
  </si>
  <si>
    <t>AGROTAAGROTA TALLER SUKAMPO SUCRE</t>
  </si>
  <si>
    <t>150113234715214</t>
  </si>
  <si>
    <t>AGROTAAGROTA TALLER SUKAMPO UNIDAD NACIONAL</t>
  </si>
  <si>
    <t>170103125302978</t>
  </si>
  <si>
    <t>AGROTABODEGA AGROPROCESOS</t>
  </si>
  <si>
    <t>130201114453991</t>
  </si>
  <si>
    <t>AGROTABODEGA AGROSAD</t>
  </si>
  <si>
    <t>13020111445399</t>
  </si>
  <si>
    <t>AGROTABodega Almacen (Su Campo)</t>
  </si>
  <si>
    <t>110420124120329</t>
  </si>
  <si>
    <t>AGROTABodega Central Agrota</t>
  </si>
  <si>
    <t>AGROTABODEGA CENTRAL MAQUINAS</t>
  </si>
  <si>
    <t>AGROTABODEGA CENTRAL MATERIA PRIMA</t>
  </si>
  <si>
    <t>AGROTABODEGA DUPOCSA ARENAL</t>
  </si>
  <si>
    <t>160408121526198</t>
  </si>
  <si>
    <t>AGROTABODEGA DUPOCSA CONCORDIA</t>
  </si>
  <si>
    <t>160408121656687</t>
  </si>
  <si>
    <t>AGROTABODEGA DUPOCSA QUEVEDO</t>
  </si>
  <si>
    <t>160408121615846</t>
  </si>
  <si>
    <t>AGROTABODEGA MAQUINAS PERDIDAS TRANSPORTE</t>
  </si>
  <si>
    <t>120614113332586</t>
  </si>
  <si>
    <t>AGROTABODEGA MERCALIMSA</t>
  </si>
  <si>
    <t>150321233312345</t>
  </si>
  <si>
    <t>AGROTABODEGA SATELITE AGROINSUMOS RIERA</t>
  </si>
  <si>
    <t>151111093145058</t>
  </si>
  <si>
    <t>AGROTABODEGA SATELITE COMERCIAL COCA</t>
  </si>
  <si>
    <t>160617124200534</t>
  </si>
  <si>
    <t>AGROTABODEGA SUKAMPO</t>
  </si>
  <si>
    <t>120502085602702</t>
  </si>
  <si>
    <t>AGROTABODEGA TALLER SUKAMPO</t>
  </si>
  <si>
    <t>120405151906890</t>
  </si>
  <si>
    <t>AGROTACONSIGNACION AGROINSUMOS</t>
  </si>
  <si>
    <t>120927154926712</t>
  </si>
  <si>
    <t>AGROTAConsignacion agrota</t>
  </si>
  <si>
    <t>110103160524050</t>
  </si>
  <si>
    <t>AGROTAEl Molino</t>
  </si>
  <si>
    <t>110103160152138</t>
  </si>
  <si>
    <t>AGROTAFACTUTARACION IP</t>
  </si>
  <si>
    <t>130201114453993</t>
  </si>
  <si>
    <t>AGROTAFALTANTES REPUESTOS</t>
  </si>
  <si>
    <t>121114085319812</t>
  </si>
  <si>
    <t>AGROTAFeria Libre</t>
  </si>
  <si>
    <t>110103160114604</t>
  </si>
  <si>
    <t>AGROTAGUAYAQUIL SUKAMPO</t>
  </si>
  <si>
    <t>110427120444133</t>
  </si>
  <si>
    <t>AGROTAHACIENDA CHUQUIPATA</t>
  </si>
  <si>
    <t>121101103935784</t>
  </si>
  <si>
    <t>AGROTAJAHER REGIONAL CDR BABAHOYO</t>
  </si>
  <si>
    <t>160531163356260</t>
  </si>
  <si>
    <t>AGROTAJAHER REGIONAL CDR. CUENCA</t>
  </si>
  <si>
    <t>160531164706206</t>
  </si>
  <si>
    <t>AGROTALoja</t>
  </si>
  <si>
    <t>110103155817356</t>
  </si>
  <si>
    <t>AGROTAMaquinas desarmadas</t>
  </si>
  <si>
    <t>110511130644653</t>
  </si>
  <si>
    <t>AGROTAMAQUINAS DESARMADAS FAUSTO</t>
  </si>
  <si>
    <t>120620163212574</t>
  </si>
  <si>
    <t>AGROTAMAQUINAS USADAS SUKAMPO</t>
  </si>
  <si>
    <t>120827112828673</t>
  </si>
  <si>
    <t>AGROTAMARCIMEX REGIONAL CUENCA</t>
  </si>
  <si>
    <t>160115094035068</t>
  </si>
  <si>
    <t>AGROTAMARCIMEX TIENDA  El EMPALME</t>
  </si>
  <si>
    <t>130201114453001</t>
  </si>
  <si>
    <t>AGROTAMARCIMEX TIENDA  EL GUABO</t>
  </si>
  <si>
    <t>14072502349876</t>
  </si>
  <si>
    <t>AGROTAMARCIMEX TIENDA  EL TRIUNFO</t>
  </si>
  <si>
    <t>140714011009000</t>
  </si>
  <si>
    <t>AGROTAMARCIMEX TIENDA  MILAGRO 1</t>
  </si>
  <si>
    <t>1407121257123</t>
  </si>
  <si>
    <t>AGROTAMARCIMEX TIENDA  NARANJAL</t>
  </si>
  <si>
    <t>140729023496666</t>
  </si>
  <si>
    <t>AGROTAMARCIMEX TIENDA  NARANJITO</t>
  </si>
  <si>
    <t>1407121600987</t>
  </si>
  <si>
    <t>AGROTAMARCIMEX TIENDA  PONCE  ENRIQUEZ</t>
  </si>
  <si>
    <t>14072902349876</t>
  </si>
  <si>
    <t>AGROTAMARCIMEX TIENDA  STA. ROSA</t>
  </si>
  <si>
    <t>14071911529988</t>
  </si>
  <si>
    <t>AGROTAMARCIMEX TIENDA BABAHOYO</t>
  </si>
  <si>
    <t>141130222930145</t>
  </si>
  <si>
    <t>AGROTAMARCIMEX TIENDA BUENA FE</t>
  </si>
  <si>
    <t>130201114453000</t>
  </si>
  <si>
    <t>AGROTAMARCIMEX TIENDA EL CARMEN</t>
  </si>
  <si>
    <t>130201114453015</t>
  </si>
  <si>
    <t>AGROTAMARCIMEX TIENDA LA CONCORDIA</t>
  </si>
  <si>
    <t>130201114453014</t>
  </si>
  <si>
    <t>AGROTAMARCIMEX TIENDA LA MANA</t>
  </si>
  <si>
    <t>130201114452299</t>
  </si>
  <si>
    <t>AGROTAMARCIMEX TIENDA LA TRONCAL</t>
  </si>
  <si>
    <t>1407121234556</t>
  </si>
  <si>
    <t>AGROTAMARCIMEX TIENDA LAS GOLONDRINAS</t>
  </si>
  <si>
    <t>130201114453111</t>
  </si>
  <si>
    <t>AGROTAMARCIMEX TIENDA MACHALA  ROCAFURETE</t>
  </si>
  <si>
    <t>140716041188976</t>
  </si>
  <si>
    <t>AGROTAMARCIMEX TIENDA PATRICIA PILAR</t>
  </si>
  <si>
    <t>130201114453992</t>
  </si>
  <si>
    <t>AGROTAMARCIMEX TIENDA PELILEO</t>
  </si>
  <si>
    <t>110420124887319</t>
  </si>
  <si>
    <t>AGROTAMARCIMEX TIENDA QUEVEDO 7 DE OCTUBRE</t>
  </si>
  <si>
    <t>130201114452275</t>
  </si>
  <si>
    <t>AGROTAMARCIMEX TIENDA QUEVEDO CALLE PRIMERA</t>
  </si>
  <si>
    <t>130201114452276</t>
  </si>
  <si>
    <t xml:space="preserve">AGROTAMARCIMEX TIENDA QUEVEDO SAN CAMILO </t>
  </si>
  <si>
    <t>130201114452291</t>
  </si>
  <si>
    <t>AGROTAMARCIMEX TIENDA QUININDE</t>
  </si>
  <si>
    <t>130201114453016</t>
  </si>
  <si>
    <t>AGROTAMARCIMEX TIENDA STO DOMINGO 29 DE MAYO</t>
  </si>
  <si>
    <t>130201114453012</t>
  </si>
  <si>
    <t>AGROTAMARCIMEX TIENDA STO. DOMINGO  CALLE QUITO</t>
  </si>
  <si>
    <t>130201114453013</t>
  </si>
  <si>
    <t>AGROTAMARCIMEX TIENDA VENTANAS</t>
  </si>
  <si>
    <t>130201114453994</t>
  </si>
  <si>
    <t>AGROTAMATERIA PRIMA</t>
  </si>
  <si>
    <t>AGROTAMEGACENTRO EL CHACO</t>
  </si>
  <si>
    <t>140817220213235</t>
  </si>
  <si>
    <t>AGROTAMEGACENTRO LATACUNGA</t>
  </si>
  <si>
    <t>140816212715222</t>
  </si>
  <si>
    <t>AGROTAMEGACENTRO MACHACHI</t>
  </si>
  <si>
    <t>140816134133524</t>
  </si>
  <si>
    <t>AGROTAMEGACENTRO NANEGALITO</t>
  </si>
  <si>
    <t>140817113245009</t>
  </si>
  <si>
    <t>AGROTAMEGACENTRO PEDRO VICENTE MALDONADO</t>
  </si>
  <si>
    <t>140817083730987</t>
  </si>
  <si>
    <t>AGROTAPendientes</t>
  </si>
  <si>
    <t>110124154825020</t>
  </si>
  <si>
    <t>AGROTAPlaza Carbon(Byron)</t>
  </si>
  <si>
    <t>110103160219891</t>
  </si>
  <si>
    <t>AGROTAProblemas Agrota</t>
  </si>
  <si>
    <t>110103160504831</t>
  </si>
  <si>
    <t>AGROTAPROBLEMAS MAQ. PRUEBA</t>
  </si>
  <si>
    <t>120712110847655</t>
  </si>
  <si>
    <t>AGROTAPRODUCCION</t>
  </si>
  <si>
    <t>120927162820440</t>
  </si>
  <si>
    <t>AGROTAPRODUCTO TERMINADO</t>
  </si>
  <si>
    <t>120927162925851</t>
  </si>
  <si>
    <t>AGROTAREPUESTOS PARA MAQUINAS SIN IP</t>
  </si>
  <si>
    <t>120608084159153</t>
  </si>
  <si>
    <t>SUKAMPOActivos Sukampo Feria Libre</t>
  </si>
  <si>
    <t>110630161314895</t>
  </si>
  <si>
    <t>SUKAMPOActivos Sukampo Sucre</t>
  </si>
  <si>
    <t>110630161245754</t>
  </si>
  <si>
    <t>SUKAMPOAGROTA BODEGA INCOP</t>
  </si>
  <si>
    <t>130201114301983</t>
  </si>
  <si>
    <t>SUKAMPOBODEGA CONSIGNACION FERIA LIBRE</t>
  </si>
  <si>
    <t>130201114403572</t>
  </si>
  <si>
    <t>SUKAMPOBODEGA CONSIGNACION REPUESTOS FERIA LIBRE</t>
  </si>
  <si>
    <t>130201114421044</t>
  </si>
  <si>
    <t>SUKAMPOBODEGA CONSIGNACIÓN SUCRE no usar</t>
  </si>
  <si>
    <t>130201114452285</t>
  </si>
  <si>
    <t>SUKAMPOBODEGA HERRAMIENTAS SUKAMPO</t>
  </si>
  <si>
    <t>120806132412293</t>
  </si>
  <si>
    <t>SUKAMPOBodega Naranjal</t>
  </si>
  <si>
    <t>111118090030052</t>
  </si>
  <si>
    <t>SUKAMPOBODEGA REPUESTOS FERIA LIBRE</t>
  </si>
  <si>
    <t>130201114437065</t>
  </si>
  <si>
    <t>SUKAMPOBodega Sukampo el molino</t>
  </si>
  <si>
    <t>110630161507497</t>
  </si>
  <si>
    <t>SUKAMPOFALTANTES SUKAMPO</t>
  </si>
  <si>
    <t>130107115756854</t>
  </si>
  <si>
    <t>SUKAMPOFALTANTES SUKAMPO SUCRE</t>
  </si>
  <si>
    <t>130110153207969</t>
  </si>
  <si>
    <t>SUKAMPOFERIA LIBRE SUKAMPO</t>
  </si>
  <si>
    <t>110512100647953</t>
  </si>
  <si>
    <t>SUKAMPOLoja Sukampo</t>
  </si>
  <si>
    <t>110512090751682</t>
  </si>
  <si>
    <t>SUKAMPOSucre Sukampo</t>
  </si>
  <si>
    <t>110509163623189</t>
  </si>
  <si>
    <t>SUKAMPOSUKAMPO BODEGA REPUESTOS SUCRE</t>
  </si>
  <si>
    <t>120927101638615</t>
  </si>
  <si>
    <t>SUKAMPOSUKAMPO BODEGA TALLER SUCRE</t>
  </si>
  <si>
    <t>120927101601970</t>
  </si>
  <si>
    <t>SUKAMPOSUKAMPO BODEGAS MAQUINAS USADAS</t>
  </si>
  <si>
    <t>120822131033697</t>
  </si>
  <si>
    <t>SUKAMPOSUKAMPO FALTANTE COMPRAS LOCALES</t>
  </si>
  <si>
    <t>120821114325480</t>
  </si>
  <si>
    <t>SUKAMPOTaller Feria Libre</t>
  </si>
  <si>
    <t>120113155312810</t>
  </si>
  <si>
    <t>AGROTA ALIMENTOS</t>
  </si>
  <si>
    <t>AGROTAAGROTA ALIMENTOS</t>
  </si>
  <si>
    <t>180613171246387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</si>
</sst>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6">
    <xf numFmtId="0" fontId="0" fillId="0" borderId="0" xfId="0"/>
    <xf numFmtId="0" fontId="0" fillId="0" borderId="0" xfId="0"/>
    <xf numFmtId="49" fontId="0" fillId="0" borderId="0" xfId="0" applyNumberFormat="1"/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0" applyFont="1"/>
    <xf numFmtId="0" fontId="0" fillId="0" borderId="0" xfId="0" applyNumberFormat="1"/>
    <xf numFmtId="0" fontId="0" fillId="0" borderId="0" xfId="0" applyProtection="1"/>
    <xf numFmtId="0" fontId="17" fillId="33" borderId="0" xfId="0" applyFont="1" applyFill="1" applyProtection="1"/>
    <xf numFmtId="0" fontId="0" fillId="0" borderId="0" xfId="0" applyAlignment="1" applyProtection="1">
      <alignment horizontal="center"/>
    </xf>
    <xf numFmtId="2" fontId="0" fillId="0" borderId="0" xfId="0" applyNumberForma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49" fontId="0" fillId="0" borderId="0" xfId="0" applyNumberFormat="1" applyProtection="1"/>
    <xf numFmtId="0" fontId="0" fillId="0" borderId="0" xfId="0" applyFont="1" applyProtection="1"/>
    <xf numFmtId="14" fontId="0" fillId="0" borderId="0" xfId="0" applyNumberFormat="1" applyProtection="1"/>
    <xf numFmtId="0" fontId="0" fillId="0" borderId="0" xfId="0" applyNumberFormat="1" applyAlignment="1" applyProtection="1">
      <alignment horizontal="center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30"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numFmt numFmtId="19" formatCode="dd/mm/yyyy"/>
      <protection locked="1" hidden="0"/>
    </dxf>
    <dxf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protection locked="1" hidden="0"/>
    </dxf>
    <dxf>
      <numFmt numFmtId="0" formatCode="General"/>
      <protection locked="1" hidden="0"/>
    </dxf>
    <dxf>
      <numFmt numFmtId="30" formatCode="@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numFmt numFmtId="0" formatCode="General"/>
      <alignment horizontal="center" vertical="bottom" textRotation="0" wrapText="0" indent="0" justifyLastLine="0" shrinkToFit="0" readingOrder="0"/>
      <protection locked="1" hidden="0"/>
    </dxf>
    <dxf>
      <numFmt numFmtId="2" formatCode="0.00"/>
      <alignment horizontal="center" vertical="bottom" textRotation="0" wrapText="0" indent="0" justifyLastLine="0" shrinkToFit="0" readingOrder="0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ill>
        <patternFill>
          <bgColor theme="1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fill>
        <patternFill>
          <bgColor theme="1"/>
        </patternFill>
      </fill>
    </dxf>
  </dxfs>
  <tableStyles count="0" defaultTableStyle="TableStyleMedium9" defaultPivotStyle="PivotStyleLight16"/>
  <colors>
    <mruColors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Consulta desde ODBC RAMCAS1_1" backgroundRefresh="0" refreshOnLoad="1" adjustColumnWidth="0" connectionId="3" autoFormatId="16" applyNumberFormats="0" applyBorderFormats="0" applyFontFormats="0" applyPatternFormats="0" applyAlignmentFormats="0" applyWidthHeightFormats="0">
  <queryTableRefresh nextId="9">
    <queryTableFields count="5">
      <queryTableField id="3" name="emp_nombre" tableColumnId="1"/>
      <queryTableField id="2" name="bod_nombre" tableColumnId="2"/>
      <queryTableField id="6" name="empresa_bodega" tableColumnId="3"/>
      <queryTableField id="7" name="emp_codigo" tableColumnId="4"/>
      <queryTableField id="8" name="bod_codigo" tableColumnId="5"/>
    </queryTableFields>
  </queryTableRefresh>
</queryTable>
</file>

<file path=xl/queryTables/queryTable2.xml><?xml version="1.0" encoding="utf-8"?>
<queryTable xmlns="http://schemas.openxmlformats.org/spreadsheetml/2006/main" name="Consulta desde ODBC RAMCAS1_1" backgroundRefresh="0" refreshOnLoad="1" adjustColumnWidth="0" connectionId="2" autoFormatId="16" applyNumberFormats="0" applyBorderFormats="0" applyFontFormats="0" applyPatternFormats="0" applyAlignmentFormats="0" applyWidthHeightFormats="0">
  <queryTableRefresh nextId="18">
    <queryTableFields count="5">
      <queryTableField id="3" name="emp_nombre" tableColumnId="1"/>
      <queryTableField id="9" name="emp_codigo" tableColumnId="6"/>
      <queryTableField id="15" name="bod_nombre" tableColumnId="2"/>
      <queryTableField id="16" name="empresa_bodega" tableColumnId="3"/>
      <queryTableField id="17" name="bod_codigo" tableColumnId="4"/>
    </queryTableFields>
  </queryTableRefresh>
</queryTable>
</file>

<file path=xl/queryTables/queryTable3.xml><?xml version="1.0" encoding="utf-8"?>
<queryTable xmlns="http://schemas.openxmlformats.org/spreadsheetml/2006/main" name="Consulta desde ODBC RAMCAS1" backgroundRefresh="0" refreshOnLoad="1" connectionId="1" autoFormatId="16" applyNumberFormats="0" applyBorderFormats="0" applyFontFormats="0" applyPatternFormats="0" applyAlignmentFormats="0" applyWidthHeightFormats="0">
  <queryTableRefresh nextId="7">
    <queryTableFields count="2">
      <queryTableField id="3" name="emp_nombre" tableColumnId="1"/>
      <queryTableField id="6" name="emp_codigo" tableColumnId="2"/>
    </queryTableFields>
  </queryTableRefresh>
</queryTable>
</file>

<file path=xl/queryTables/queryTable4.xml><?xml version="1.0" encoding="utf-8"?>
<queryTable xmlns="http://schemas.openxmlformats.org/spreadsheetml/2006/main" name="Consulta desde ODBC RAMCAS1_2" backgroundRefresh="0" refreshOnLoad="1" connectionId="5" autoFormatId="16" applyNumberFormats="0" applyBorderFormats="0" applyFontFormats="0" applyPatternFormats="0" applyAlignmentFormats="0" applyWidthHeightFormats="0">
  <queryTableRefresh nextId="9">
    <queryTableFields count="2">
      <queryTableField id="7" name="pro_codigo" tableColumnId="3"/>
      <queryTableField id="8" name="pro_nombre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COMPROMETIDO" displayName="COMPROMETIDO" ref="A1:L2" totalsRowShown="0">
  <autoFilter ref="A1:L2"/>
  <tableColumns count="12">
    <tableColumn id="5" name="EMPRESA"/>
    <tableColumn id="3" name="BODEGA"/>
    <tableColumn id="6" name="CLIENTE"/>
    <tableColumn id="11" name="COD_EMPRESA">
      <calculatedColumnFormula>INDEX(Empresa_Backorder[emp_codigo],MATCH(COMPROMETIDO[[#This Row],[EMPRESA]],Empresa_Backorder[emp_nombre],0))</calculatedColumnFormula>
    </tableColumn>
    <tableColumn id="15" name="COD_BODEGA">
      <calculatedColumnFormula>INDEX(Bodega_Comprometido[bod_codigo],MATCH(COMPROMETIDO[EMPRESA]&amp;COMPROMETIDO[BODEGA],Bodega_Comprometido[empresa_bodega],0))</calculatedColumnFormula>
    </tableColumn>
    <tableColumn id="1" name="CODIGO PRINCIPAL" dataDxfId="28"/>
    <tableColumn id="7" name="CODIGO ALTERNO" dataDxfId="27"/>
    <tableColumn id="2" name="DESCRIPCION" dataDxfId="26"/>
    <tableColumn id="4" name="CANTIDAD"/>
    <tableColumn id="8" name="FECHA ORIGEN" dataDxfId="25">
      <calculatedColumnFormula>TODAY()</calculatedColumnFormula>
    </tableColumn>
    <tableColumn id="9" name="CADUCIDAD SEMANAS" dataDxfId="24"/>
    <tableColumn id="10" name="CADUCADA" dataDxfId="23">
      <calculatedColumnFormula>IF(COMPROMETIDO[[#This Row],[FECHA ORIGEN]]+(COMPROMETIDO[[#This Row],[CADUCIDAD SEMANAS]]*7)&gt;TODAY(),1,0)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6" name="Bodega_Comprometido" displayName="Bodega_Comprometido" ref="A999797:E999905" tableType="queryTable" totalsRowShown="0">
  <autoFilter ref="A999797:E999905"/>
  <tableColumns count="5">
    <tableColumn id="1" uniqueName="1" name="emp_nombre" queryTableFieldId="3"/>
    <tableColumn id="2" uniqueName="2" name="bod_nombre" queryTableFieldId="2"/>
    <tableColumn id="3" uniqueName="3" name="empresa_bodega" queryTableFieldId="6"/>
    <tableColumn id="4" uniqueName="4" name="emp_codigo" queryTableFieldId="7"/>
    <tableColumn id="5" uniqueName="5" name="bod_codigo" queryTableFieldId="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BACKORDER" displayName="BACKORDER" ref="A1:M2" insertRow="1" totalsRowShown="0" headerRowDxfId="21" dataDxfId="20">
  <autoFilter ref="A1:M2"/>
  <tableColumns count="13">
    <tableColumn id="5" name="EMPRESA" dataDxfId="19"/>
    <tableColumn id="3" name="BODEGA" dataDxfId="18"/>
    <tableColumn id="24" name="PROVEEDOR" dataDxfId="17"/>
    <tableColumn id="12" name="COD_EMPRESA" dataDxfId="16">
      <calculatedColumnFormula>INDEX(Empresa_Backorder[emp_codigo],MATCH(BACKORDER[[#This Row],[EMPRESA]],Empresa_Backorder[emp_nombre],0))</calculatedColumnFormula>
    </tableColumn>
    <tableColumn id="10" name="COD_BODEGA" dataDxfId="15">
      <calculatedColumnFormula>INDEX(Bodega_Backorder[bod_codigo],MATCH(BACKORDER[[#This Row],[EMPRESA]]&amp;BACKORDER[[#This Row],[BODEGA]],Bodega_Backorder[empresa_bodega],0))</calculatedColumnFormula>
    </tableColumn>
    <tableColumn id="25" name="COD_PROVEEDOR" dataDxfId="14">
      <calculatedColumnFormula>INDEX(Proveedores[pro_codigo],MATCH(BACKORDER[[#This Row],[PROVEEDOR]],Proveedores[pro_nombre],0))</calculatedColumnFormula>
    </tableColumn>
    <tableColumn id="1" name="CODIGO PRINCIPAL" dataDxfId="13"/>
    <tableColumn id="6" name="CODIGO ALTERNO" dataDxfId="12"/>
    <tableColumn id="2" name="DESCRIPCION" dataDxfId="11"/>
    <tableColumn id="4" name="CANTIDAD" dataDxfId="10"/>
    <tableColumn id="7" name="FECHA ORIGEN" dataDxfId="9">
      <calculatedColumnFormula>TODAY()</calculatedColumnFormula>
    </tableColumn>
    <tableColumn id="8" name="CADUCIDAD SEMANAS" dataDxfId="8"/>
    <tableColumn id="9" name="CADUCADA" dataDxfId="7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3" name="Bodega_Backorder" displayName="Bodega_Backorder" ref="A972074:E972182" tableType="queryTable" totalsRowShown="0" headerRowDxfId="6" dataDxfId="5">
  <autoFilter ref="A972074:E972182"/>
  <tableColumns count="5">
    <tableColumn id="1" uniqueName="1" name="emp_nombre" queryTableFieldId="3" dataDxfId="4"/>
    <tableColumn id="6" uniqueName="6" name="emp_codigo" queryTableFieldId="9" dataDxfId="3"/>
    <tableColumn id="2" uniqueName="2" name="bod_nombre" queryTableFieldId="15" dataDxfId="2"/>
    <tableColumn id="3" uniqueName="3" name="empresa_bodega" queryTableFieldId="16" dataDxfId="1"/>
    <tableColumn id="4" uniqueName="4" name="bod_codigo" queryTableFieldId="17" dataDxfId="0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" name="Empresa_Backorder" displayName="Empresa_Backorder" ref="A1:B3" tableType="queryTable" totalsRowShown="0">
  <autoFilter ref="A1:B3"/>
  <tableColumns count="2">
    <tableColumn id="1" uniqueName="1" name="emp_nombre" queryTableFieldId="3"/>
    <tableColumn id="2" uniqueName="2" name="emp_codigo" queryTableField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8" name="Proveedores" displayName="Proveedores" ref="D1:E33" tableType="queryTable" totalsRowShown="0">
  <autoFilter ref="D1:E33"/>
  <tableColumns count="2">
    <tableColumn id="3" uniqueName="3" name="pro_codigo" queryTableFieldId="7"/>
    <tableColumn id="4" uniqueName="4" name="pro_nombre" queryTableField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Clientes" displayName="Clientes" ref="A1:A4" totalsRowShown="0">
  <autoFilter ref="A1:A4"/>
  <tableColumns count="1">
    <tableColumn id="1" name="Cliente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N999905"/>
  <sheetViews>
    <sheetView showGridLines="0" workbookViewId="0">
      <selection activeCell="F2" sqref="F2"/>
    </sheetView>
  </sheetViews>
  <sheetFormatPr baseColWidth="10" defaultRowHeight="15" x14ac:dyDescent="0.25"/>
  <cols>
    <col min="1" max="1" width="17.5703125" style="1" customWidth="1"/>
    <col min="2" max="2" width="27.85546875" style="1" customWidth="1"/>
    <col min="3" max="3" width="28.5703125" style="1" customWidth="1"/>
    <col min="4" max="4" width="28.28515625" style="1" customWidth="1"/>
    <col min="5" max="5" width="34.42578125" style="1" customWidth="1"/>
    <col min="6" max="6" width="21" style="1" customWidth="1"/>
    <col min="7" max="7" width="21.42578125" style="1" customWidth="1"/>
    <col min="8" max="8" width="34" style="1" customWidth="1"/>
    <col min="9" max="9" width="22.85546875" style="1" customWidth="1"/>
    <col min="10" max="10" width="16.140625" style="1" customWidth="1"/>
    <col min="11" max="11" width="19.28515625" style="1" customWidth="1"/>
    <col min="12" max="12" width="23.140625" style="1" bestFit="1" customWidth="1"/>
    <col min="13" max="14" width="11.42578125" style="1"/>
    <col min="15" max="15" width="15.28515625" style="1" customWidth="1"/>
    <col min="16" max="16" width="11.42578125" style="1" customWidth="1"/>
    <col min="17" max="17" width="15.28515625" style="1" customWidth="1"/>
    <col min="18" max="18" width="54.5703125" style="1" customWidth="1"/>
    <col min="19" max="16384" width="11.42578125" style="1"/>
  </cols>
  <sheetData>
    <row r="1" spans="1:14" x14ac:dyDescent="0.25">
      <c r="A1" s="1" t="s">
        <v>3</v>
      </c>
      <c r="B1" s="1" t="s">
        <v>2</v>
      </c>
      <c r="C1" s="1" t="s">
        <v>6</v>
      </c>
      <c r="D1" s="8" t="s">
        <v>22</v>
      </c>
      <c r="E1" s="8" t="s">
        <v>23</v>
      </c>
      <c r="F1" s="8" t="s">
        <v>9</v>
      </c>
      <c r="G1" s="1" t="s">
        <v>8</v>
      </c>
      <c r="H1" s="1" t="s">
        <v>0</v>
      </c>
      <c r="I1" s="8" t="s">
        <v>1</v>
      </c>
      <c r="J1" s="8" t="s">
        <v>13</v>
      </c>
      <c r="K1" s="8" t="s">
        <v>14</v>
      </c>
      <c r="L1" s="1" t="s">
        <v>15</v>
      </c>
    </row>
    <row r="2" spans="1:14" x14ac:dyDescent="0.25">
      <c r="A2" s="1" t="s">
        <v>16</v>
      </c>
      <c r="B2" s="1" t="s">
        <v>17</v>
      </c>
      <c r="D2" s="1" t="str">
        <f>INDEX(Empresa_Backorder[emp_codigo],MATCH(COMPROMETIDO[[#This Row],[EMPRESA]],Empresa_Backorder[emp_nombre],0))</f>
        <v>1</v>
      </c>
      <c r="E2" s="1" t="str">
        <f>INDEX(Bodega_Comprometido[bod_codigo],MATCH(COMPROMETIDO[EMPRESA]&amp;COMPROMETIDO[BODEGA],Bodega_Comprometido[empresa_bodega],0))</f>
        <v>Bodega Central Agrota</v>
      </c>
      <c r="F2" s="2"/>
      <c r="G2" s="2"/>
      <c r="H2" s="5"/>
      <c r="J2" s="3">
        <f ca="1">TODAY()</f>
        <v>43297</v>
      </c>
      <c r="K2" s="4"/>
      <c r="L2" s="6">
        <f ca="1">IF(COMPROMETIDO[[#This Row],[FECHA ORIGEN]]+(COMPROMETIDO[[#This Row],[CADUCIDAD SEMANAS]]*7)&gt;TODAY(),1,0)</f>
        <v>0</v>
      </c>
      <c r="M2" s="6"/>
    </row>
    <row r="3" spans="1:14" x14ac:dyDescent="0.25">
      <c r="N3" s="6"/>
    </row>
    <row r="4" spans="1:14" x14ac:dyDescent="0.25">
      <c r="N4" s="6"/>
    </row>
    <row r="5" spans="1:14" x14ac:dyDescent="0.25">
      <c r="N5" s="6"/>
    </row>
    <row r="6" spans="1:14" x14ac:dyDescent="0.25">
      <c r="N6" s="6"/>
    </row>
    <row r="7" spans="1:14" x14ac:dyDescent="0.25">
      <c r="N7" s="6"/>
    </row>
    <row r="8" spans="1:14" x14ac:dyDescent="0.25">
      <c r="N8" s="6"/>
    </row>
    <row r="9" spans="1:14" x14ac:dyDescent="0.25">
      <c r="N9" s="6"/>
    </row>
    <row r="10" spans="1:14" x14ac:dyDescent="0.25">
      <c r="N10" s="6"/>
    </row>
    <row r="11" spans="1:14" x14ac:dyDescent="0.25">
      <c r="N11" s="6"/>
    </row>
    <row r="12" spans="1:14" x14ac:dyDescent="0.25">
      <c r="N12" s="6"/>
    </row>
    <row r="13" spans="1:14" x14ac:dyDescent="0.25">
      <c r="N13" s="6"/>
    </row>
    <row r="14" spans="1:14" x14ac:dyDescent="0.25">
      <c r="N14" s="6"/>
    </row>
    <row r="15" spans="1:14" x14ac:dyDescent="0.25">
      <c r="N15" s="6"/>
    </row>
    <row r="16" spans="1:14" x14ac:dyDescent="0.25">
      <c r="N16" s="6"/>
    </row>
    <row r="17" spans="14:14" x14ac:dyDescent="0.25">
      <c r="N17" s="6"/>
    </row>
    <row r="18" spans="14:14" x14ac:dyDescent="0.25">
      <c r="N18" s="6"/>
    </row>
    <row r="19" spans="14:14" x14ac:dyDescent="0.25">
      <c r="N19" s="6"/>
    </row>
    <row r="20" spans="14:14" x14ac:dyDescent="0.25">
      <c r="N20" s="6"/>
    </row>
    <row r="21" spans="14:14" x14ac:dyDescent="0.25">
      <c r="N21" s="6"/>
    </row>
    <row r="22" spans="14:14" x14ac:dyDescent="0.25">
      <c r="N22" s="6"/>
    </row>
    <row r="23" spans="14:14" x14ac:dyDescent="0.25">
      <c r="N23" s="6"/>
    </row>
    <row r="24" spans="14:14" x14ac:dyDescent="0.25">
      <c r="N24" s="6"/>
    </row>
    <row r="25" spans="14:14" x14ac:dyDescent="0.25">
      <c r="N25" s="6"/>
    </row>
    <row r="26" spans="14:14" x14ac:dyDescent="0.25">
      <c r="N26" s="6"/>
    </row>
    <row r="27" spans="14:14" x14ac:dyDescent="0.25">
      <c r="N27" s="6"/>
    </row>
    <row r="28" spans="14:14" x14ac:dyDescent="0.25">
      <c r="N28" s="6"/>
    </row>
    <row r="29" spans="14:14" x14ac:dyDescent="0.25">
      <c r="N29" s="6"/>
    </row>
    <row r="30" spans="14:14" x14ac:dyDescent="0.25">
      <c r="N30" s="6"/>
    </row>
    <row r="31" spans="14:14" x14ac:dyDescent="0.25">
      <c r="N31" s="6"/>
    </row>
    <row r="32" spans="14:14" x14ac:dyDescent="0.25">
      <c r="N32" s="6"/>
    </row>
    <row r="33" spans="14:14" x14ac:dyDescent="0.25">
      <c r="N33" s="6"/>
    </row>
    <row r="34" spans="14:14" x14ac:dyDescent="0.25">
      <c r="N34" s="6"/>
    </row>
    <row r="35" spans="14:14" x14ac:dyDescent="0.25">
      <c r="N35" s="6"/>
    </row>
    <row r="36" spans="14:14" x14ac:dyDescent="0.25">
      <c r="N36" s="6"/>
    </row>
    <row r="37" spans="14:14" x14ac:dyDescent="0.25">
      <c r="N37" s="6"/>
    </row>
    <row r="38" spans="14:14" x14ac:dyDescent="0.25">
      <c r="N38" s="6"/>
    </row>
    <row r="39" spans="14:14" x14ac:dyDescent="0.25">
      <c r="N39" s="6"/>
    </row>
    <row r="40" spans="14:14" x14ac:dyDescent="0.25">
      <c r="N40" s="6"/>
    </row>
    <row r="41" spans="14:14" x14ac:dyDescent="0.25">
      <c r="N41" s="6"/>
    </row>
    <row r="42" spans="14:14" x14ac:dyDescent="0.25">
      <c r="N42" s="6"/>
    </row>
    <row r="43" spans="14:14" x14ac:dyDescent="0.25">
      <c r="N43" s="6"/>
    </row>
    <row r="44" spans="14:14" x14ac:dyDescent="0.25">
      <c r="N44" s="6"/>
    </row>
    <row r="45" spans="14:14" x14ac:dyDescent="0.25">
      <c r="N45" s="6"/>
    </row>
    <row r="46" spans="14:14" x14ac:dyDescent="0.25">
      <c r="N46" s="6"/>
    </row>
    <row r="47" spans="14:14" x14ac:dyDescent="0.25">
      <c r="N47" s="6"/>
    </row>
    <row r="48" spans="14:14" x14ac:dyDescent="0.25">
      <c r="N48" s="6"/>
    </row>
    <row r="49" spans="14:14" x14ac:dyDescent="0.25">
      <c r="N49" s="6"/>
    </row>
    <row r="999797" spans="1:5" x14ac:dyDescent="0.25">
      <c r="A999797" s="1" t="s">
        <v>5</v>
      </c>
      <c r="B999797" s="1" t="s">
        <v>4</v>
      </c>
      <c r="C999797" s="1" t="s">
        <v>24</v>
      </c>
      <c r="D999797" s="1" t="s">
        <v>18</v>
      </c>
      <c r="E999797" s="1" t="s">
        <v>19</v>
      </c>
    </row>
    <row r="999798" spans="1:5" x14ac:dyDescent="0.25">
      <c r="A999798" s="1" t="s">
        <v>16</v>
      </c>
      <c r="B999798" s="1" t="s">
        <v>63</v>
      </c>
      <c r="C999798" s="1" t="s">
        <v>166</v>
      </c>
      <c r="D999798" s="1" t="s">
        <v>61</v>
      </c>
      <c r="E999798" s="1" t="s">
        <v>167</v>
      </c>
    </row>
    <row r="999799" spans="1:5" x14ac:dyDescent="0.25">
      <c r="A999799" s="1" t="s">
        <v>16</v>
      </c>
      <c r="B999799" s="1" t="s">
        <v>64</v>
      </c>
      <c r="C999799" s="1" t="s">
        <v>168</v>
      </c>
      <c r="D999799" s="1" t="s">
        <v>61</v>
      </c>
      <c r="E999799" s="1" t="s">
        <v>169</v>
      </c>
    </row>
    <row r="999800" spans="1:5" x14ac:dyDescent="0.25">
      <c r="A999800" s="1" t="s">
        <v>16</v>
      </c>
      <c r="B999800" s="1" t="s">
        <v>376</v>
      </c>
      <c r="C999800" s="1" t="s">
        <v>377</v>
      </c>
      <c r="D999800" s="1" t="s">
        <v>61</v>
      </c>
      <c r="E999800" s="1" t="s">
        <v>378</v>
      </c>
    </row>
    <row r="999801" spans="1:5" x14ac:dyDescent="0.25">
      <c r="A999801" s="1" t="s">
        <v>16</v>
      </c>
      <c r="B999801" s="1" t="s">
        <v>65</v>
      </c>
      <c r="C999801" s="1" t="s">
        <v>170</v>
      </c>
      <c r="D999801" s="1" t="s">
        <v>61</v>
      </c>
      <c r="E999801" s="1" t="s">
        <v>171</v>
      </c>
    </row>
    <row r="999802" spans="1:5" x14ac:dyDescent="0.25">
      <c r="A999802" s="1" t="s">
        <v>16</v>
      </c>
      <c r="B999802" s="1" t="s">
        <v>66</v>
      </c>
      <c r="C999802" s="1" t="s">
        <v>172</v>
      </c>
      <c r="D999802" s="1" t="s">
        <v>61</v>
      </c>
      <c r="E999802" s="1" t="s">
        <v>173</v>
      </c>
    </row>
    <row r="999803" spans="1:5" x14ac:dyDescent="0.25">
      <c r="A999803" s="1" t="s">
        <v>16</v>
      </c>
      <c r="B999803" s="1" t="s">
        <v>67</v>
      </c>
      <c r="C999803" s="1" t="s">
        <v>174</v>
      </c>
      <c r="D999803" s="1" t="s">
        <v>61</v>
      </c>
      <c r="E999803" s="1" t="s">
        <v>175</v>
      </c>
    </row>
    <row r="999804" spans="1:5" x14ac:dyDescent="0.25">
      <c r="A999804" s="1" t="s">
        <v>16</v>
      </c>
      <c r="B999804" s="1" t="s">
        <v>68</v>
      </c>
      <c r="C999804" s="1" t="s">
        <v>176</v>
      </c>
      <c r="D999804" s="1" t="s">
        <v>61</v>
      </c>
      <c r="E999804" s="1" t="s">
        <v>177</v>
      </c>
    </row>
    <row r="999805" spans="1:5" x14ac:dyDescent="0.25">
      <c r="A999805" s="1" t="s">
        <v>16</v>
      </c>
      <c r="B999805" s="1" t="s">
        <v>69</v>
      </c>
      <c r="C999805" s="1" t="s">
        <v>178</v>
      </c>
      <c r="D999805" s="1" t="s">
        <v>61</v>
      </c>
      <c r="E999805" s="1" t="s">
        <v>179</v>
      </c>
    </row>
    <row r="999806" spans="1:5" x14ac:dyDescent="0.25">
      <c r="A999806" s="1" t="s">
        <v>16</v>
      </c>
      <c r="B999806" s="1" t="s">
        <v>70</v>
      </c>
      <c r="C999806" s="1" t="s">
        <v>180</v>
      </c>
      <c r="D999806" s="1" t="s">
        <v>61</v>
      </c>
      <c r="E999806" s="1" t="s">
        <v>181</v>
      </c>
    </row>
    <row r="999807" spans="1:5" x14ac:dyDescent="0.25">
      <c r="A999807" s="1" t="s">
        <v>16</v>
      </c>
      <c r="B999807" s="1" t="s">
        <v>71</v>
      </c>
      <c r="C999807" s="1" t="s">
        <v>182</v>
      </c>
      <c r="D999807" s="1" t="s">
        <v>61</v>
      </c>
      <c r="E999807" s="1" t="s">
        <v>183</v>
      </c>
    </row>
    <row r="999808" spans="1:5" x14ac:dyDescent="0.25">
      <c r="A999808" s="1" t="s">
        <v>16</v>
      </c>
      <c r="B999808" s="1" t="s">
        <v>72</v>
      </c>
      <c r="C999808" s="1" t="s">
        <v>184</v>
      </c>
      <c r="D999808" s="1" t="s">
        <v>61</v>
      </c>
      <c r="E999808" s="1" t="s">
        <v>185</v>
      </c>
    </row>
    <row r="999809" spans="1:5" x14ac:dyDescent="0.25">
      <c r="A999809" s="1" t="s">
        <v>16</v>
      </c>
      <c r="B999809" s="1" t="s">
        <v>73</v>
      </c>
      <c r="C999809" s="1" t="s">
        <v>186</v>
      </c>
      <c r="D999809" s="1" t="s">
        <v>61</v>
      </c>
      <c r="E999809" s="1" t="s">
        <v>187</v>
      </c>
    </row>
    <row r="999810" spans="1:5" x14ac:dyDescent="0.25">
      <c r="A999810" s="1" t="s">
        <v>16</v>
      </c>
      <c r="B999810" s="1" t="s">
        <v>74</v>
      </c>
      <c r="C999810" s="1" t="s">
        <v>188</v>
      </c>
      <c r="D999810" s="1" t="s">
        <v>61</v>
      </c>
      <c r="E999810" s="1" t="s">
        <v>189</v>
      </c>
    </row>
    <row r="999811" spans="1:5" x14ac:dyDescent="0.25">
      <c r="A999811" s="1" t="s">
        <v>16</v>
      </c>
      <c r="B999811" s="1" t="s">
        <v>75</v>
      </c>
      <c r="C999811" s="1" t="s">
        <v>190</v>
      </c>
      <c r="D999811" s="1" t="s">
        <v>61</v>
      </c>
      <c r="E999811" s="1" t="s">
        <v>191</v>
      </c>
    </row>
    <row r="999812" spans="1:5" x14ac:dyDescent="0.25">
      <c r="A999812" s="1" t="s">
        <v>16</v>
      </c>
      <c r="B999812" s="1" t="s">
        <v>76</v>
      </c>
      <c r="C999812" s="1" t="s">
        <v>192</v>
      </c>
      <c r="D999812" s="1" t="s">
        <v>61</v>
      </c>
      <c r="E999812" s="1" t="s">
        <v>193</v>
      </c>
    </row>
    <row r="999813" spans="1:5" x14ac:dyDescent="0.25">
      <c r="A999813" s="1" t="s">
        <v>16</v>
      </c>
      <c r="B999813" s="1" t="s">
        <v>77</v>
      </c>
      <c r="C999813" s="1" t="s">
        <v>194</v>
      </c>
      <c r="D999813" s="1" t="s">
        <v>61</v>
      </c>
      <c r="E999813" s="1" t="s">
        <v>195</v>
      </c>
    </row>
    <row r="999814" spans="1:5" x14ac:dyDescent="0.25">
      <c r="A999814" s="1" t="s">
        <v>16</v>
      </c>
      <c r="B999814" s="1" t="s">
        <v>78</v>
      </c>
      <c r="C999814" s="1" t="s">
        <v>196</v>
      </c>
      <c r="D999814" s="1" t="s">
        <v>61</v>
      </c>
      <c r="E999814" s="1" t="s">
        <v>197</v>
      </c>
    </row>
    <row r="999815" spans="1:5" x14ac:dyDescent="0.25">
      <c r="A999815" s="1" t="s">
        <v>16</v>
      </c>
      <c r="B999815" s="1" t="s">
        <v>79</v>
      </c>
      <c r="C999815" s="1" t="s">
        <v>198</v>
      </c>
      <c r="D999815" s="1" t="s">
        <v>61</v>
      </c>
      <c r="E999815" s="1" t="s">
        <v>199</v>
      </c>
    </row>
    <row r="999816" spans="1:5" x14ac:dyDescent="0.25">
      <c r="A999816" s="1" t="s">
        <v>16</v>
      </c>
      <c r="B999816" s="1" t="s">
        <v>80</v>
      </c>
      <c r="C999816" s="1" t="s">
        <v>200</v>
      </c>
      <c r="D999816" s="1" t="s">
        <v>61</v>
      </c>
      <c r="E999816" s="1" t="s">
        <v>201</v>
      </c>
    </row>
    <row r="999817" spans="1:5" x14ac:dyDescent="0.25">
      <c r="A999817" s="1" t="s">
        <v>16</v>
      </c>
      <c r="B999817" s="1" t="s">
        <v>81</v>
      </c>
      <c r="C999817" s="1" t="s">
        <v>202</v>
      </c>
      <c r="D999817" s="1" t="s">
        <v>61</v>
      </c>
      <c r="E999817" s="1" t="s">
        <v>203</v>
      </c>
    </row>
    <row r="999818" spans="1:5" x14ac:dyDescent="0.25">
      <c r="A999818" s="1" t="s">
        <v>16</v>
      </c>
      <c r="B999818" s="1" t="s">
        <v>82</v>
      </c>
      <c r="C999818" s="1" t="s">
        <v>204</v>
      </c>
      <c r="D999818" s="1" t="s">
        <v>61</v>
      </c>
      <c r="E999818" s="1" t="s">
        <v>205</v>
      </c>
    </row>
    <row r="999819" spans="1:5" x14ac:dyDescent="0.25">
      <c r="A999819" s="1" t="s">
        <v>16</v>
      </c>
      <c r="B999819" s="1" t="s">
        <v>83</v>
      </c>
      <c r="C999819" s="1" t="s">
        <v>206</v>
      </c>
      <c r="D999819" s="1" t="s">
        <v>61</v>
      </c>
      <c r="E999819" s="1" t="s">
        <v>207</v>
      </c>
    </row>
    <row r="999820" spans="1:5" x14ac:dyDescent="0.25">
      <c r="A999820" s="1" t="s">
        <v>16</v>
      </c>
      <c r="B999820" s="1" t="s">
        <v>84</v>
      </c>
      <c r="C999820" s="1" t="s">
        <v>208</v>
      </c>
      <c r="D999820" s="1" t="s">
        <v>61</v>
      </c>
      <c r="E999820" s="1" t="s">
        <v>209</v>
      </c>
    </row>
    <row r="999821" spans="1:5" x14ac:dyDescent="0.25">
      <c r="A999821" s="1" t="s">
        <v>16</v>
      </c>
      <c r="B999821" s="1" t="s">
        <v>17</v>
      </c>
      <c r="C999821" s="1" t="s">
        <v>210</v>
      </c>
      <c r="D999821" s="1" t="s">
        <v>61</v>
      </c>
      <c r="E999821" s="1" t="s">
        <v>17</v>
      </c>
    </row>
    <row r="999822" spans="1:5" x14ac:dyDescent="0.25">
      <c r="A999822" s="1" t="s">
        <v>16</v>
      </c>
      <c r="B999822" s="1" t="s">
        <v>27</v>
      </c>
      <c r="C999822" s="1" t="s">
        <v>211</v>
      </c>
      <c r="D999822" s="1" t="s">
        <v>61</v>
      </c>
      <c r="E999822" s="1" t="s">
        <v>37</v>
      </c>
    </row>
    <row r="999823" spans="1:5" x14ac:dyDescent="0.25">
      <c r="A999823" s="1" t="s">
        <v>16</v>
      </c>
      <c r="B999823" s="1" t="s">
        <v>28</v>
      </c>
      <c r="C999823" s="1" t="s">
        <v>212</v>
      </c>
      <c r="D999823" s="1" t="s">
        <v>61</v>
      </c>
      <c r="E999823" s="1" t="s">
        <v>28</v>
      </c>
    </row>
    <row r="999824" spans="1:5" x14ac:dyDescent="0.25">
      <c r="A999824" s="1" t="s">
        <v>16</v>
      </c>
      <c r="B999824" s="1" t="s">
        <v>85</v>
      </c>
      <c r="C999824" s="1" t="s">
        <v>213</v>
      </c>
      <c r="D999824" s="1" t="s">
        <v>61</v>
      </c>
      <c r="E999824" s="1" t="s">
        <v>214</v>
      </c>
    </row>
    <row r="999825" spans="1:5" x14ac:dyDescent="0.25">
      <c r="A999825" s="1" t="s">
        <v>16</v>
      </c>
      <c r="B999825" s="1" t="s">
        <v>86</v>
      </c>
      <c r="C999825" s="1" t="s">
        <v>215</v>
      </c>
      <c r="D999825" s="1" t="s">
        <v>61</v>
      </c>
      <c r="E999825" s="1" t="s">
        <v>216</v>
      </c>
    </row>
    <row r="999826" spans="1:5" x14ac:dyDescent="0.25">
      <c r="A999826" s="1" t="s">
        <v>16</v>
      </c>
      <c r="B999826" s="1" t="s">
        <v>87</v>
      </c>
      <c r="C999826" s="1" t="s">
        <v>217</v>
      </c>
      <c r="D999826" s="1" t="s">
        <v>61</v>
      </c>
      <c r="E999826" s="1" t="s">
        <v>218</v>
      </c>
    </row>
    <row r="999827" spans="1:5" x14ac:dyDescent="0.25">
      <c r="A999827" s="1" t="s">
        <v>16</v>
      </c>
      <c r="B999827" s="1" t="s">
        <v>88</v>
      </c>
      <c r="C999827" s="1" t="s">
        <v>219</v>
      </c>
      <c r="D999827" s="1" t="s">
        <v>61</v>
      </c>
      <c r="E999827" s="1" t="s">
        <v>220</v>
      </c>
    </row>
    <row r="999828" spans="1:5" x14ac:dyDescent="0.25">
      <c r="A999828" s="1" t="s">
        <v>16</v>
      </c>
      <c r="B999828" s="1" t="s">
        <v>89</v>
      </c>
      <c r="C999828" s="1" t="s">
        <v>221</v>
      </c>
      <c r="D999828" s="1" t="s">
        <v>61</v>
      </c>
      <c r="E999828" s="1" t="s">
        <v>222</v>
      </c>
    </row>
    <row r="999829" spans="1:5" x14ac:dyDescent="0.25">
      <c r="A999829" s="1" t="s">
        <v>16</v>
      </c>
      <c r="B999829" s="1" t="s">
        <v>90</v>
      </c>
      <c r="C999829" s="1" t="s">
        <v>223</v>
      </c>
      <c r="D999829" s="1" t="s">
        <v>61</v>
      </c>
      <c r="E999829" s="1" t="s">
        <v>224</v>
      </c>
    </row>
    <row r="999830" spans="1:5" x14ac:dyDescent="0.25">
      <c r="A999830" s="1" t="s">
        <v>16</v>
      </c>
      <c r="B999830" s="1" t="s">
        <v>91</v>
      </c>
      <c r="C999830" s="1" t="s">
        <v>225</v>
      </c>
      <c r="D999830" s="1" t="s">
        <v>61</v>
      </c>
      <c r="E999830" s="1" t="s">
        <v>226</v>
      </c>
    </row>
    <row r="999831" spans="1:5" x14ac:dyDescent="0.25">
      <c r="A999831" s="1" t="s">
        <v>16</v>
      </c>
      <c r="B999831" s="1" t="s">
        <v>92</v>
      </c>
      <c r="C999831" s="1" t="s">
        <v>227</v>
      </c>
      <c r="D999831" s="1" t="s">
        <v>61</v>
      </c>
      <c r="E999831" s="1" t="s">
        <v>228</v>
      </c>
    </row>
    <row r="999832" spans="1:5" x14ac:dyDescent="0.25">
      <c r="A999832" s="1" t="s">
        <v>16</v>
      </c>
      <c r="B999832" s="1" t="s">
        <v>93</v>
      </c>
      <c r="C999832" s="1" t="s">
        <v>229</v>
      </c>
      <c r="D999832" s="1" t="s">
        <v>61</v>
      </c>
      <c r="E999832" s="1" t="s">
        <v>230</v>
      </c>
    </row>
    <row r="999833" spans="1:5" x14ac:dyDescent="0.25">
      <c r="A999833" s="1" t="s">
        <v>16</v>
      </c>
      <c r="B999833" s="1" t="s">
        <v>94</v>
      </c>
      <c r="C999833" s="1" t="s">
        <v>231</v>
      </c>
      <c r="D999833" s="1" t="s">
        <v>61</v>
      </c>
      <c r="E999833" s="1" t="s">
        <v>232</v>
      </c>
    </row>
    <row r="999834" spans="1:5" x14ac:dyDescent="0.25">
      <c r="A999834" s="1" t="s">
        <v>16</v>
      </c>
      <c r="B999834" s="1" t="s">
        <v>95</v>
      </c>
      <c r="C999834" s="1" t="s">
        <v>233</v>
      </c>
      <c r="D999834" s="1" t="s">
        <v>61</v>
      </c>
      <c r="E999834" s="1" t="s">
        <v>234</v>
      </c>
    </row>
    <row r="999835" spans="1:5" x14ac:dyDescent="0.25">
      <c r="A999835" s="1" t="s">
        <v>16</v>
      </c>
      <c r="B999835" s="1" t="s">
        <v>96</v>
      </c>
      <c r="C999835" s="1" t="s">
        <v>235</v>
      </c>
      <c r="D999835" s="1" t="s">
        <v>61</v>
      </c>
      <c r="E999835" s="1" t="s">
        <v>236</v>
      </c>
    </row>
    <row r="999836" spans="1:5" x14ac:dyDescent="0.25">
      <c r="A999836" s="1" t="s">
        <v>16</v>
      </c>
      <c r="B999836" s="1" t="s">
        <v>97</v>
      </c>
      <c r="C999836" s="1" t="s">
        <v>237</v>
      </c>
      <c r="D999836" s="1" t="s">
        <v>61</v>
      </c>
      <c r="E999836" s="1" t="s">
        <v>238</v>
      </c>
    </row>
    <row r="999837" spans="1:5" x14ac:dyDescent="0.25">
      <c r="A999837" s="1" t="s">
        <v>16</v>
      </c>
      <c r="B999837" s="1" t="s">
        <v>98</v>
      </c>
      <c r="C999837" s="1" t="s">
        <v>239</v>
      </c>
      <c r="D999837" s="1" t="s">
        <v>61</v>
      </c>
      <c r="E999837" s="1" t="s">
        <v>240</v>
      </c>
    </row>
    <row r="999838" spans="1:5" x14ac:dyDescent="0.25">
      <c r="A999838" s="1" t="s">
        <v>16</v>
      </c>
      <c r="B999838" s="1" t="s">
        <v>99</v>
      </c>
      <c r="C999838" s="1" t="s">
        <v>241</v>
      </c>
      <c r="D999838" s="1" t="s">
        <v>61</v>
      </c>
      <c r="E999838" s="1" t="s">
        <v>242</v>
      </c>
    </row>
    <row r="999839" spans="1:5" x14ac:dyDescent="0.25">
      <c r="A999839" s="1" t="s">
        <v>16</v>
      </c>
      <c r="B999839" s="1" t="s">
        <v>100</v>
      </c>
      <c r="C999839" s="1" t="s">
        <v>243</v>
      </c>
      <c r="D999839" s="1" t="s">
        <v>61</v>
      </c>
      <c r="E999839" s="1" t="s">
        <v>244</v>
      </c>
    </row>
    <row r="999840" spans="1:5" x14ac:dyDescent="0.25">
      <c r="A999840" s="1" t="s">
        <v>16</v>
      </c>
      <c r="B999840" s="1" t="s">
        <v>101</v>
      </c>
      <c r="C999840" s="1" t="s">
        <v>245</v>
      </c>
      <c r="D999840" s="1" t="s">
        <v>61</v>
      </c>
      <c r="E999840" s="1" t="s">
        <v>246</v>
      </c>
    </row>
    <row r="999841" spans="1:5" x14ac:dyDescent="0.25">
      <c r="A999841" s="1" t="s">
        <v>16</v>
      </c>
      <c r="B999841" s="1" t="s">
        <v>102</v>
      </c>
      <c r="C999841" s="1" t="s">
        <v>247</v>
      </c>
      <c r="D999841" s="1" t="s">
        <v>61</v>
      </c>
      <c r="E999841" s="1" t="s">
        <v>248</v>
      </c>
    </row>
    <row r="999842" spans="1:5" x14ac:dyDescent="0.25">
      <c r="A999842" s="1" t="s">
        <v>16</v>
      </c>
      <c r="B999842" s="1" t="s">
        <v>103</v>
      </c>
      <c r="C999842" s="1" t="s">
        <v>249</v>
      </c>
      <c r="D999842" s="1" t="s">
        <v>61</v>
      </c>
      <c r="E999842" s="1" t="s">
        <v>250</v>
      </c>
    </row>
    <row r="999843" spans="1:5" x14ac:dyDescent="0.25">
      <c r="A999843" s="1" t="s">
        <v>16</v>
      </c>
      <c r="B999843" s="1" t="s">
        <v>104</v>
      </c>
      <c r="C999843" s="1" t="s">
        <v>251</v>
      </c>
      <c r="D999843" s="1" t="s">
        <v>61</v>
      </c>
      <c r="E999843" s="1" t="s">
        <v>252</v>
      </c>
    </row>
    <row r="999844" spans="1:5" x14ac:dyDescent="0.25">
      <c r="A999844" s="1" t="s">
        <v>16</v>
      </c>
      <c r="B999844" s="1" t="s">
        <v>105</v>
      </c>
      <c r="C999844" s="1" t="s">
        <v>253</v>
      </c>
      <c r="D999844" s="1" t="s">
        <v>61</v>
      </c>
      <c r="E999844" s="1" t="s">
        <v>254</v>
      </c>
    </row>
    <row r="999845" spans="1:5" x14ac:dyDescent="0.25">
      <c r="A999845" s="1" t="s">
        <v>16</v>
      </c>
      <c r="B999845" s="1" t="s">
        <v>106</v>
      </c>
      <c r="C999845" s="1" t="s">
        <v>255</v>
      </c>
      <c r="D999845" s="1" t="s">
        <v>61</v>
      </c>
      <c r="E999845" s="1" t="s">
        <v>256</v>
      </c>
    </row>
    <row r="999846" spans="1:5" x14ac:dyDescent="0.25">
      <c r="A999846" s="1" t="s">
        <v>16</v>
      </c>
      <c r="B999846" s="1" t="s">
        <v>107</v>
      </c>
      <c r="C999846" s="1" t="s">
        <v>257</v>
      </c>
      <c r="D999846" s="1" t="s">
        <v>61</v>
      </c>
      <c r="E999846" s="1" t="s">
        <v>258</v>
      </c>
    </row>
    <row r="999847" spans="1:5" x14ac:dyDescent="0.25">
      <c r="A999847" s="1" t="s">
        <v>16</v>
      </c>
      <c r="B999847" s="1" t="s">
        <v>108</v>
      </c>
      <c r="C999847" s="1" t="s">
        <v>259</v>
      </c>
      <c r="D999847" s="1" t="s">
        <v>61</v>
      </c>
      <c r="E999847" s="1" t="s">
        <v>260</v>
      </c>
    </row>
    <row r="999848" spans="1:5" x14ac:dyDescent="0.25">
      <c r="A999848" s="1" t="s">
        <v>16</v>
      </c>
      <c r="B999848" s="1" t="s">
        <v>109</v>
      </c>
      <c r="C999848" s="1" t="s">
        <v>261</v>
      </c>
      <c r="D999848" s="1" t="s">
        <v>61</v>
      </c>
      <c r="E999848" s="1" t="s">
        <v>262</v>
      </c>
    </row>
    <row r="999849" spans="1:5" x14ac:dyDescent="0.25">
      <c r="A999849" s="1" t="s">
        <v>16</v>
      </c>
      <c r="B999849" s="1" t="s">
        <v>110</v>
      </c>
      <c r="C999849" s="1" t="s">
        <v>263</v>
      </c>
      <c r="D999849" s="1" t="s">
        <v>61</v>
      </c>
      <c r="E999849" s="1" t="s">
        <v>264</v>
      </c>
    </row>
    <row r="999850" spans="1:5" x14ac:dyDescent="0.25">
      <c r="A999850" s="1" t="s">
        <v>16</v>
      </c>
      <c r="B999850" s="1" t="s">
        <v>111</v>
      </c>
      <c r="C999850" s="1" t="s">
        <v>265</v>
      </c>
      <c r="D999850" s="1" t="s">
        <v>61</v>
      </c>
      <c r="E999850" s="1" t="s">
        <v>266</v>
      </c>
    </row>
    <row r="999851" spans="1:5" x14ac:dyDescent="0.25">
      <c r="A999851" s="1" t="s">
        <v>16</v>
      </c>
      <c r="B999851" s="1" t="s">
        <v>112</v>
      </c>
      <c r="C999851" s="1" t="s">
        <v>267</v>
      </c>
      <c r="D999851" s="1" t="s">
        <v>61</v>
      </c>
      <c r="E999851" s="1" t="s">
        <v>268</v>
      </c>
    </row>
    <row r="999852" spans="1:5" x14ac:dyDescent="0.25">
      <c r="A999852" s="1" t="s">
        <v>16</v>
      </c>
      <c r="B999852" s="1" t="s">
        <v>113</v>
      </c>
      <c r="C999852" s="1" t="s">
        <v>269</v>
      </c>
      <c r="D999852" s="1" t="s">
        <v>61</v>
      </c>
      <c r="E999852" s="1" t="s">
        <v>270</v>
      </c>
    </row>
    <row r="999853" spans="1:5" x14ac:dyDescent="0.25">
      <c r="A999853" s="1" t="s">
        <v>16</v>
      </c>
      <c r="B999853" s="1" t="s">
        <v>114</v>
      </c>
      <c r="C999853" s="1" t="s">
        <v>271</v>
      </c>
      <c r="D999853" s="1" t="s">
        <v>61</v>
      </c>
      <c r="E999853" s="1" t="s">
        <v>272</v>
      </c>
    </row>
    <row r="999854" spans="1:5" x14ac:dyDescent="0.25">
      <c r="A999854" s="1" t="s">
        <v>16</v>
      </c>
      <c r="B999854" s="1" t="s">
        <v>115</v>
      </c>
      <c r="C999854" s="1" t="s">
        <v>273</v>
      </c>
      <c r="D999854" s="1" t="s">
        <v>61</v>
      </c>
      <c r="E999854" s="1" t="s">
        <v>274</v>
      </c>
    </row>
    <row r="999855" spans="1:5" x14ac:dyDescent="0.25">
      <c r="A999855" s="1" t="s">
        <v>16</v>
      </c>
      <c r="B999855" s="1" t="s">
        <v>116</v>
      </c>
      <c r="C999855" s="1" t="s">
        <v>275</v>
      </c>
      <c r="D999855" s="1" t="s">
        <v>61</v>
      </c>
      <c r="E999855" s="1" t="s">
        <v>276</v>
      </c>
    </row>
    <row r="999856" spans="1:5" x14ac:dyDescent="0.25">
      <c r="A999856" s="1" t="s">
        <v>16</v>
      </c>
      <c r="B999856" s="1" t="s">
        <v>117</v>
      </c>
      <c r="C999856" s="1" t="s">
        <v>277</v>
      </c>
      <c r="D999856" s="1" t="s">
        <v>61</v>
      </c>
      <c r="E999856" s="1" t="s">
        <v>278</v>
      </c>
    </row>
    <row r="999857" spans="1:5" x14ac:dyDescent="0.25">
      <c r="A999857" s="1" t="s">
        <v>16</v>
      </c>
      <c r="B999857" s="1" t="s">
        <v>118</v>
      </c>
      <c r="C999857" s="1" t="s">
        <v>279</v>
      </c>
      <c r="D999857" s="1" t="s">
        <v>61</v>
      </c>
      <c r="E999857" s="1" t="s">
        <v>280</v>
      </c>
    </row>
    <row r="999858" spans="1:5" x14ac:dyDescent="0.25">
      <c r="A999858" s="1" t="s">
        <v>16</v>
      </c>
      <c r="B999858" s="1" t="s">
        <v>119</v>
      </c>
      <c r="C999858" s="1" t="s">
        <v>281</v>
      </c>
      <c r="D999858" s="1" t="s">
        <v>61</v>
      </c>
      <c r="E999858" s="1" t="s">
        <v>282</v>
      </c>
    </row>
    <row r="999859" spans="1:5" x14ac:dyDescent="0.25">
      <c r="A999859" s="1" t="s">
        <v>16</v>
      </c>
      <c r="B999859" s="1" t="s">
        <v>120</v>
      </c>
      <c r="C999859" s="1" t="s">
        <v>283</v>
      </c>
      <c r="D999859" s="1" t="s">
        <v>61</v>
      </c>
      <c r="E999859" s="1" t="s">
        <v>284</v>
      </c>
    </row>
    <row r="999860" spans="1:5" x14ac:dyDescent="0.25">
      <c r="A999860" s="1" t="s">
        <v>16</v>
      </c>
      <c r="B999860" s="1" t="s">
        <v>121</v>
      </c>
      <c r="C999860" s="1" t="s">
        <v>285</v>
      </c>
      <c r="D999860" s="1" t="s">
        <v>61</v>
      </c>
      <c r="E999860" s="1" t="s">
        <v>286</v>
      </c>
    </row>
    <row r="999861" spans="1:5" x14ac:dyDescent="0.25">
      <c r="A999861" s="1" t="s">
        <v>16</v>
      </c>
      <c r="B999861" s="1" t="s">
        <v>122</v>
      </c>
      <c r="C999861" s="1" t="s">
        <v>287</v>
      </c>
      <c r="D999861" s="1" t="s">
        <v>61</v>
      </c>
      <c r="E999861" s="1" t="s">
        <v>288</v>
      </c>
    </row>
    <row r="999862" spans="1:5" x14ac:dyDescent="0.25">
      <c r="A999862" s="1" t="s">
        <v>16</v>
      </c>
      <c r="B999862" s="1" t="s">
        <v>123</v>
      </c>
      <c r="C999862" s="1" t="s">
        <v>289</v>
      </c>
      <c r="D999862" s="1" t="s">
        <v>61</v>
      </c>
      <c r="E999862" s="1" t="s">
        <v>290</v>
      </c>
    </row>
    <row r="999863" spans="1:5" x14ac:dyDescent="0.25">
      <c r="A999863" s="1" t="s">
        <v>16</v>
      </c>
      <c r="B999863" s="1" t="s">
        <v>124</v>
      </c>
      <c r="C999863" s="1" t="s">
        <v>291</v>
      </c>
      <c r="D999863" s="1" t="s">
        <v>61</v>
      </c>
      <c r="E999863" s="1" t="s">
        <v>292</v>
      </c>
    </row>
    <row r="999864" spans="1:5" x14ac:dyDescent="0.25">
      <c r="A999864" s="1" t="s">
        <v>16</v>
      </c>
      <c r="B999864" s="1" t="s">
        <v>125</v>
      </c>
      <c r="C999864" s="1" t="s">
        <v>293</v>
      </c>
      <c r="D999864" s="1" t="s">
        <v>61</v>
      </c>
      <c r="E999864" s="1" t="s">
        <v>294</v>
      </c>
    </row>
    <row r="999865" spans="1:5" x14ac:dyDescent="0.25">
      <c r="A999865" s="1" t="s">
        <v>16</v>
      </c>
      <c r="B999865" s="1" t="s">
        <v>126</v>
      </c>
      <c r="C999865" s="1" t="s">
        <v>295</v>
      </c>
      <c r="D999865" s="1" t="s">
        <v>61</v>
      </c>
      <c r="E999865" s="1" t="s">
        <v>296</v>
      </c>
    </row>
    <row r="999866" spans="1:5" x14ac:dyDescent="0.25">
      <c r="A999866" s="1" t="s">
        <v>16</v>
      </c>
      <c r="B999866" s="1" t="s">
        <v>127</v>
      </c>
      <c r="C999866" s="1" t="s">
        <v>297</v>
      </c>
      <c r="D999866" s="1" t="s">
        <v>61</v>
      </c>
      <c r="E999866" s="1" t="s">
        <v>298</v>
      </c>
    </row>
    <row r="999867" spans="1:5" x14ac:dyDescent="0.25">
      <c r="A999867" s="1" t="s">
        <v>16</v>
      </c>
      <c r="B999867" s="1" t="s">
        <v>128</v>
      </c>
      <c r="C999867" s="1" t="s">
        <v>299</v>
      </c>
      <c r="D999867" s="1" t="s">
        <v>61</v>
      </c>
      <c r="E999867" s="1" t="s">
        <v>300</v>
      </c>
    </row>
    <row r="999868" spans="1:5" x14ac:dyDescent="0.25">
      <c r="A999868" s="1" t="s">
        <v>16</v>
      </c>
      <c r="B999868" s="1" t="s">
        <v>129</v>
      </c>
      <c r="C999868" s="1" t="s">
        <v>301</v>
      </c>
      <c r="D999868" s="1" t="s">
        <v>61</v>
      </c>
      <c r="E999868" s="1" t="s">
        <v>302</v>
      </c>
    </row>
    <row r="999869" spans="1:5" x14ac:dyDescent="0.25">
      <c r="A999869" s="1" t="s">
        <v>16</v>
      </c>
      <c r="B999869" s="1" t="s">
        <v>130</v>
      </c>
      <c r="C999869" s="1" t="s">
        <v>303</v>
      </c>
      <c r="D999869" s="1" t="s">
        <v>61</v>
      </c>
      <c r="E999869" s="1" t="s">
        <v>304</v>
      </c>
    </row>
    <row r="999870" spans="1:5" x14ac:dyDescent="0.25">
      <c r="A999870" s="1" t="s">
        <v>16</v>
      </c>
      <c r="B999870" s="1" t="s">
        <v>131</v>
      </c>
      <c r="C999870" s="1" t="s">
        <v>305</v>
      </c>
      <c r="D999870" s="1" t="s">
        <v>61</v>
      </c>
      <c r="E999870" s="1" t="s">
        <v>306</v>
      </c>
    </row>
    <row r="999871" spans="1:5" x14ac:dyDescent="0.25">
      <c r="A999871" s="1" t="s">
        <v>16</v>
      </c>
      <c r="B999871" s="1" t="s">
        <v>132</v>
      </c>
      <c r="C999871" s="1" t="s">
        <v>307</v>
      </c>
      <c r="D999871" s="1" t="s">
        <v>61</v>
      </c>
      <c r="E999871" s="1" t="s">
        <v>308</v>
      </c>
    </row>
    <row r="999872" spans="1:5" x14ac:dyDescent="0.25">
      <c r="A999872" s="1" t="s">
        <v>16</v>
      </c>
      <c r="B999872" s="1" t="s">
        <v>133</v>
      </c>
      <c r="C999872" s="1" t="s">
        <v>309</v>
      </c>
      <c r="D999872" s="1" t="s">
        <v>61</v>
      </c>
      <c r="E999872" s="1" t="s">
        <v>310</v>
      </c>
    </row>
    <row r="999873" spans="1:5" x14ac:dyDescent="0.25">
      <c r="A999873" s="1" t="s">
        <v>16</v>
      </c>
      <c r="B999873" s="1" t="s">
        <v>29</v>
      </c>
      <c r="C999873" s="1" t="s">
        <v>311</v>
      </c>
      <c r="D999873" s="1" t="s">
        <v>61</v>
      </c>
      <c r="E999873" s="1" t="s">
        <v>52</v>
      </c>
    </row>
    <row r="999874" spans="1:5" x14ac:dyDescent="0.25">
      <c r="A999874" s="1" t="s">
        <v>16</v>
      </c>
      <c r="B999874" s="1" t="s">
        <v>134</v>
      </c>
      <c r="C999874" s="1" t="s">
        <v>312</v>
      </c>
      <c r="D999874" s="1" t="s">
        <v>61</v>
      </c>
      <c r="E999874" s="1" t="s">
        <v>313</v>
      </c>
    </row>
    <row r="999875" spans="1:5" x14ac:dyDescent="0.25">
      <c r="A999875" s="1" t="s">
        <v>16</v>
      </c>
      <c r="B999875" s="1" t="s">
        <v>135</v>
      </c>
      <c r="C999875" s="1" t="s">
        <v>314</v>
      </c>
      <c r="D999875" s="1" t="s">
        <v>61</v>
      </c>
      <c r="E999875" s="1" t="s">
        <v>315</v>
      </c>
    </row>
    <row r="999876" spans="1:5" x14ac:dyDescent="0.25">
      <c r="A999876" s="1" t="s">
        <v>16</v>
      </c>
      <c r="B999876" s="1" t="s">
        <v>136</v>
      </c>
      <c r="C999876" s="1" t="s">
        <v>316</v>
      </c>
      <c r="D999876" s="1" t="s">
        <v>61</v>
      </c>
      <c r="E999876" s="1" t="s">
        <v>317</v>
      </c>
    </row>
    <row r="999877" spans="1:5" x14ac:dyDescent="0.25">
      <c r="A999877" s="1" t="s">
        <v>16</v>
      </c>
      <c r="B999877" s="1" t="s">
        <v>137</v>
      </c>
      <c r="C999877" s="1" t="s">
        <v>318</v>
      </c>
      <c r="D999877" s="1" t="s">
        <v>61</v>
      </c>
      <c r="E999877" s="1" t="s">
        <v>319</v>
      </c>
    </row>
    <row r="999878" spans="1:5" x14ac:dyDescent="0.25">
      <c r="A999878" s="1" t="s">
        <v>16</v>
      </c>
      <c r="B999878" s="1" t="s">
        <v>138</v>
      </c>
      <c r="C999878" s="1" t="s">
        <v>320</v>
      </c>
      <c r="D999878" s="1" t="s">
        <v>61</v>
      </c>
      <c r="E999878" s="1" t="s">
        <v>321</v>
      </c>
    </row>
    <row r="999879" spans="1:5" x14ac:dyDescent="0.25">
      <c r="A999879" s="1" t="s">
        <v>16</v>
      </c>
      <c r="B999879" s="1" t="s">
        <v>139</v>
      </c>
      <c r="C999879" s="1" t="s">
        <v>322</v>
      </c>
      <c r="D999879" s="1" t="s">
        <v>61</v>
      </c>
      <c r="E999879" s="1" t="s">
        <v>323</v>
      </c>
    </row>
    <row r="999880" spans="1:5" x14ac:dyDescent="0.25">
      <c r="A999880" s="1" t="s">
        <v>16</v>
      </c>
      <c r="B999880" s="1" t="s">
        <v>140</v>
      </c>
      <c r="C999880" s="1" t="s">
        <v>324</v>
      </c>
      <c r="D999880" s="1" t="s">
        <v>61</v>
      </c>
      <c r="E999880" s="1" t="s">
        <v>325</v>
      </c>
    </row>
    <row r="999881" spans="1:5" x14ac:dyDescent="0.25">
      <c r="A999881" s="1" t="s">
        <v>16</v>
      </c>
      <c r="B999881" s="1" t="s">
        <v>141</v>
      </c>
      <c r="C999881" s="1" t="s">
        <v>326</v>
      </c>
      <c r="D999881" s="1" t="s">
        <v>61</v>
      </c>
      <c r="E999881" s="1" t="s">
        <v>327</v>
      </c>
    </row>
    <row r="999882" spans="1:5" x14ac:dyDescent="0.25">
      <c r="A999882" s="1" t="s">
        <v>16</v>
      </c>
      <c r="B999882" s="1" t="s">
        <v>142</v>
      </c>
      <c r="C999882" s="1" t="s">
        <v>328</v>
      </c>
      <c r="D999882" s="1" t="s">
        <v>61</v>
      </c>
      <c r="E999882" s="1" t="s">
        <v>329</v>
      </c>
    </row>
    <row r="999883" spans="1:5" x14ac:dyDescent="0.25">
      <c r="A999883" s="1" t="s">
        <v>16</v>
      </c>
      <c r="B999883" s="1" t="s">
        <v>143</v>
      </c>
      <c r="C999883" s="1" t="s">
        <v>330</v>
      </c>
      <c r="D999883" s="1" t="s">
        <v>61</v>
      </c>
      <c r="E999883" s="1" t="s">
        <v>331</v>
      </c>
    </row>
    <row r="999884" spans="1:5" x14ac:dyDescent="0.25">
      <c r="A999884" s="1" t="s">
        <v>16</v>
      </c>
      <c r="B999884" s="1" t="s">
        <v>144</v>
      </c>
      <c r="C999884" s="1" t="s">
        <v>332</v>
      </c>
      <c r="D999884" s="1" t="s">
        <v>61</v>
      </c>
      <c r="E999884" s="1" t="s">
        <v>333</v>
      </c>
    </row>
    <row r="999885" spans="1:5" x14ac:dyDescent="0.25">
      <c r="A999885" s="1" t="s">
        <v>16</v>
      </c>
      <c r="B999885" s="1" t="s">
        <v>145</v>
      </c>
      <c r="C999885" s="1" t="s">
        <v>334</v>
      </c>
      <c r="D999885" s="1" t="s">
        <v>61</v>
      </c>
      <c r="E999885" s="1" t="s">
        <v>335</v>
      </c>
    </row>
    <row r="999886" spans="1:5" x14ac:dyDescent="0.25">
      <c r="A999886" s="1" t="s">
        <v>30</v>
      </c>
      <c r="B999886" s="1" t="s">
        <v>146</v>
      </c>
      <c r="C999886" s="1" t="s">
        <v>336</v>
      </c>
      <c r="D999886" s="1" t="s">
        <v>62</v>
      </c>
      <c r="E999886" s="1" t="s">
        <v>337</v>
      </c>
    </row>
    <row r="999887" spans="1:5" x14ac:dyDescent="0.25">
      <c r="A999887" s="1" t="s">
        <v>30</v>
      </c>
      <c r="B999887" s="1" t="s">
        <v>147</v>
      </c>
      <c r="C999887" s="1" t="s">
        <v>338</v>
      </c>
      <c r="D999887" s="1" t="s">
        <v>62</v>
      </c>
      <c r="E999887" s="1" t="s">
        <v>339</v>
      </c>
    </row>
    <row r="999888" spans="1:5" x14ac:dyDescent="0.25">
      <c r="A999888" s="1" t="s">
        <v>30</v>
      </c>
      <c r="B999888" s="1" t="s">
        <v>148</v>
      </c>
      <c r="C999888" s="1" t="s">
        <v>340</v>
      </c>
      <c r="D999888" s="1" t="s">
        <v>62</v>
      </c>
      <c r="E999888" s="1" t="s">
        <v>341</v>
      </c>
    </row>
    <row r="999889" spans="1:5" x14ac:dyDescent="0.25">
      <c r="A999889" s="1" t="s">
        <v>30</v>
      </c>
      <c r="B999889" s="1" t="s">
        <v>149</v>
      </c>
      <c r="C999889" s="1" t="s">
        <v>342</v>
      </c>
      <c r="D999889" s="1" t="s">
        <v>62</v>
      </c>
      <c r="E999889" s="1" t="s">
        <v>343</v>
      </c>
    </row>
    <row r="999890" spans="1:5" x14ac:dyDescent="0.25">
      <c r="A999890" s="1" t="s">
        <v>30</v>
      </c>
      <c r="B999890" s="1" t="s">
        <v>150</v>
      </c>
      <c r="C999890" s="1" t="s">
        <v>344</v>
      </c>
      <c r="D999890" s="1" t="s">
        <v>62</v>
      </c>
      <c r="E999890" s="1" t="s">
        <v>345</v>
      </c>
    </row>
    <row r="999891" spans="1:5" x14ac:dyDescent="0.25">
      <c r="A999891" s="1" t="s">
        <v>30</v>
      </c>
      <c r="B999891" s="1" t="s">
        <v>151</v>
      </c>
      <c r="C999891" s="1" t="s">
        <v>346</v>
      </c>
      <c r="D999891" s="1" t="s">
        <v>62</v>
      </c>
      <c r="E999891" s="1" t="s">
        <v>347</v>
      </c>
    </row>
    <row r="999892" spans="1:5" x14ac:dyDescent="0.25">
      <c r="A999892" s="1" t="s">
        <v>30</v>
      </c>
      <c r="B999892" s="1" t="s">
        <v>152</v>
      </c>
      <c r="C999892" s="1" t="s">
        <v>348</v>
      </c>
      <c r="D999892" s="1" t="s">
        <v>62</v>
      </c>
      <c r="E999892" s="1" t="s">
        <v>349</v>
      </c>
    </row>
    <row r="999893" spans="1:5" x14ac:dyDescent="0.25">
      <c r="A999893" s="1" t="s">
        <v>30</v>
      </c>
      <c r="B999893" s="1" t="s">
        <v>153</v>
      </c>
      <c r="C999893" s="1" t="s">
        <v>350</v>
      </c>
      <c r="D999893" s="1" t="s">
        <v>62</v>
      </c>
      <c r="E999893" s="1" t="s">
        <v>351</v>
      </c>
    </row>
    <row r="999894" spans="1:5" x14ac:dyDescent="0.25">
      <c r="A999894" s="1" t="s">
        <v>30</v>
      </c>
      <c r="B999894" s="1" t="s">
        <v>154</v>
      </c>
      <c r="C999894" s="1" t="s">
        <v>352</v>
      </c>
      <c r="D999894" s="1" t="s">
        <v>62</v>
      </c>
      <c r="E999894" s="1" t="s">
        <v>353</v>
      </c>
    </row>
    <row r="999895" spans="1:5" x14ac:dyDescent="0.25">
      <c r="A999895" s="1" t="s">
        <v>30</v>
      </c>
      <c r="B999895" s="1" t="s">
        <v>155</v>
      </c>
      <c r="C999895" s="1" t="s">
        <v>354</v>
      </c>
      <c r="D999895" s="1" t="s">
        <v>62</v>
      </c>
      <c r="E999895" s="1" t="s">
        <v>355</v>
      </c>
    </row>
    <row r="999896" spans="1:5" x14ac:dyDescent="0.25">
      <c r="A999896" s="1" t="s">
        <v>30</v>
      </c>
      <c r="B999896" s="1" t="s">
        <v>156</v>
      </c>
      <c r="C999896" s="1" t="s">
        <v>356</v>
      </c>
      <c r="D999896" s="1" t="s">
        <v>62</v>
      </c>
      <c r="E999896" s="1" t="s">
        <v>357</v>
      </c>
    </row>
    <row r="999897" spans="1:5" x14ac:dyDescent="0.25">
      <c r="A999897" s="1" t="s">
        <v>30</v>
      </c>
      <c r="B999897" s="1" t="s">
        <v>157</v>
      </c>
      <c r="C999897" s="1" t="s">
        <v>358</v>
      </c>
      <c r="D999897" s="1" t="s">
        <v>62</v>
      </c>
      <c r="E999897" s="1" t="s">
        <v>359</v>
      </c>
    </row>
    <row r="999898" spans="1:5" x14ac:dyDescent="0.25">
      <c r="A999898" s="1" t="s">
        <v>30</v>
      </c>
      <c r="B999898" s="1" t="s">
        <v>158</v>
      </c>
      <c r="C999898" s="1" t="s">
        <v>360</v>
      </c>
      <c r="D999898" s="1" t="s">
        <v>62</v>
      </c>
      <c r="E999898" s="1" t="s">
        <v>361</v>
      </c>
    </row>
    <row r="999899" spans="1:5" x14ac:dyDescent="0.25">
      <c r="A999899" s="1" t="s">
        <v>30</v>
      </c>
      <c r="B999899" s="1" t="s">
        <v>159</v>
      </c>
      <c r="C999899" s="1" t="s">
        <v>362</v>
      </c>
      <c r="D999899" s="1" t="s">
        <v>62</v>
      </c>
      <c r="E999899" s="1" t="s">
        <v>363</v>
      </c>
    </row>
    <row r="999900" spans="1:5" x14ac:dyDescent="0.25">
      <c r="A999900" s="1" t="s">
        <v>30</v>
      </c>
      <c r="B999900" s="1" t="s">
        <v>160</v>
      </c>
      <c r="C999900" s="1" t="s">
        <v>364</v>
      </c>
      <c r="D999900" s="1" t="s">
        <v>62</v>
      </c>
      <c r="E999900" s="1" t="s">
        <v>365</v>
      </c>
    </row>
    <row r="999901" spans="1:5" x14ac:dyDescent="0.25">
      <c r="A999901" s="1" t="s">
        <v>30</v>
      </c>
      <c r="B999901" s="1" t="s">
        <v>161</v>
      </c>
      <c r="C999901" s="1" t="s">
        <v>366</v>
      </c>
      <c r="D999901" s="1" t="s">
        <v>62</v>
      </c>
      <c r="E999901" s="1" t="s">
        <v>367</v>
      </c>
    </row>
    <row r="999902" spans="1:5" x14ac:dyDescent="0.25">
      <c r="A999902" s="1" t="s">
        <v>30</v>
      </c>
      <c r="B999902" s="1" t="s">
        <v>162</v>
      </c>
      <c r="C999902" s="1" t="s">
        <v>368</v>
      </c>
      <c r="D999902" s="1" t="s">
        <v>62</v>
      </c>
      <c r="E999902" s="1" t="s">
        <v>369</v>
      </c>
    </row>
    <row r="999903" spans="1:5" x14ac:dyDescent="0.25">
      <c r="A999903" s="1" t="s">
        <v>30</v>
      </c>
      <c r="B999903" s="1" t="s">
        <v>163</v>
      </c>
      <c r="C999903" s="1" t="s">
        <v>370</v>
      </c>
      <c r="D999903" s="1" t="s">
        <v>62</v>
      </c>
      <c r="E999903" s="1" t="s">
        <v>371</v>
      </c>
    </row>
    <row r="999904" spans="1:5" x14ac:dyDescent="0.25">
      <c r="A999904" s="1" t="s">
        <v>30</v>
      </c>
      <c r="B999904" s="1" t="s">
        <v>164</v>
      </c>
      <c r="C999904" s="1" t="s">
        <v>372</v>
      </c>
      <c r="D999904" s="1" t="s">
        <v>62</v>
      </c>
      <c r="E999904" s="1" t="s">
        <v>373</v>
      </c>
    </row>
    <row r="999905" spans="1:5" x14ac:dyDescent="0.25">
      <c r="A999905" s="1" t="s">
        <v>30</v>
      </c>
      <c r="B999905" s="1" t="s">
        <v>165</v>
      </c>
      <c r="C999905" s="1" t="s">
        <v>374</v>
      </c>
      <c r="D999905" s="1" t="s">
        <v>62</v>
      </c>
      <c r="E999905" s="1" t="s">
        <v>375</v>
      </c>
    </row>
  </sheetData>
  <conditionalFormatting sqref="K2">
    <cfRule type="expression" dxfId="29" priority="1">
      <formula>ISBLANK(K2)</formula>
    </cfRule>
  </conditionalFormatting>
  <dataValidations count="3">
    <dataValidation type="list" allowBlank="1" showInputMessage="1" showErrorMessage="1" sqref="A2">
      <formula1>ListaEmpresas</formula1>
    </dataValidation>
    <dataValidation type="list" allowBlank="1" showInputMessage="1" showErrorMessage="1" sqref="C2">
      <formula1>ListaClientes</formula1>
    </dataValidation>
    <dataValidation type="list" allowBlank="1" showInputMessage="1" showErrorMessage="1" sqref="B2">
      <formula1>OFFSET($B$999797,MATCH(A2,$A$999798:$A$999905,0),0,COUNTIF($A$999798:$A$999905,"="&amp;A2),1)</formula1>
    </dataValidation>
  </dataValidations>
  <pageMargins left="0.7" right="0.7" top="0.75" bottom="0.75" header="0.3" footer="0.3"/>
  <pageSetup orientation="portrait" horizontalDpi="120" verticalDpi="72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</sheetPr>
  <dimension ref="A1:V972283"/>
  <sheetViews>
    <sheetView showGridLines="0" tabSelected="1" workbookViewId="0">
      <selection activeCell="D9" sqref="D9"/>
    </sheetView>
  </sheetViews>
  <sheetFormatPr baseColWidth="10" defaultRowHeight="15" x14ac:dyDescent="0.25"/>
  <cols>
    <col min="1" max="1" width="15.28515625" style="7" customWidth="1"/>
    <col min="2" max="2" width="22.42578125" style="7" customWidth="1"/>
    <col min="3" max="3" width="15.28515625" style="7" customWidth="1"/>
    <col min="4" max="4" width="16.28515625" style="7" customWidth="1"/>
    <col min="5" max="5" width="21.140625" style="7" customWidth="1"/>
    <col min="6" max="6" width="18.140625" style="7" customWidth="1"/>
    <col min="7" max="7" width="21.42578125" style="7" customWidth="1"/>
    <col min="8" max="8" width="21" style="7" customWidth="1"/>
    <col min="9" max="9" width="20.85546875" style="7" customWidth="1"/>
    <col min="10" max="10" width="14.28515625" style="7" customWidth="1"/>
    <col min="11" max="11" width="18.42578125" style="7" customWidth="1"/>
    <col min="12" max="12" width="22.28515625" style="7" customWidth="1"/>
    <col min="13" max="13" width="15.28515625" style="7" customWidth="1"/>
    <col min="14" max="14" width="16.28515625" style="7" customWidth="1"/>
    <col min="15" max="15" width="21.42578125" style="7" customWidth="1"/>
    <col min="16" max="16" width="17.140625" style="7" customWidth="1"/>
    <col min="17" max="17" width="33.140625" style="7" customWidth="1"/>
    <col min="18" max="18" width="15.28515625" style="7" customWidth="1"/>
    <col min="19" max="19" width="16.28515625" style="7" customWidth="1"/>
    <col min="20" max="20" width="54.5703125" style="7" customWidth="1"/>
    <col min="21" max="21" width="62.140625" style="7" customWidth="1"/>
    <col min="22" max="22" width="32.140625" style="7" customWidth="1"/>
    <col min="23" max="23" width="48.28515625" style="7" customWidth="1"/>
    <col min="24" max="25" width="32" style="7" customWidth="1"/>
    <col min="26" max="27" width="11.42578125" style="7"/>
    <col min="28" max="28" width="21.7109375" style="7" customWidth="1"/>
    <col min="29" max="29" width="11.42578125" style="7"/>
    <col min="30" max="30" width="15.28515625" style="7" customWidth="1"/>
    <col min="31" max="31" width="11.42578125" style="7" customWidth="1"/>
    <col min="32" max="32" width="15.28515625" style="7" customWidth="1"/>
    <col min="33" max="33" width="54.5703125" style="7" customWidth="1"/>
    <col min="34" max="16384" width="11.42578125" style="7"/>
  </cols>
  <sheetData>
    <row r="1" spans="1:13" x14ac:dyDescent="0.25">
      <c r="A1" s="7" t="s">
        <v>3</v>
      </c>
      <c r="B1" s="7" t="s">
        <v>2</v>
      </c>
      <c r="C1" s="7" t="s">
        <v>25</v>
      </c>
      <c r="D1" s="8" t="s">
        <v>22</v>
      </c>
      <c r="E1" s="8" t="s">
        <v>23</v>
      </c>
      <c r="F1" s="8" t="s">
        <v>26</v>
      </c>
      <c r="G1" s="8" t="s">
        <v>9</v>
      </c>
      <c r="H1" s="7" t="s">
        <v>8</v>
      </c>
      <c r="I1" s="7" t="s">
        <v>0</v>
      </c>
      <c r="J1" s="8" t="s">
        <v>1</v>
      </c>
      <c r="K1" s="8" t="s">
        <v>13</v>
      </c>
      <c r="L1" s="8" t="s">
        <v>14</v>
      </c>
      <c r="M1" s="7" t="s">
        <v>15</v>
      </c>
    </row>
    <row r="2" spans="1:13" x14ac:dyDescent="0.25">
      <c r="C2" s="10"/>
      <c r="D2" s="9"/>
      <c r="E2" s="10"/>
      <c r="F2" s="15"/>
      <c r="G2" s="11"/>
      <c r="H2" s="12"/>
      <c r="I2" s="13"/>
      <c r="J2" s="9"/>
      <c r="K2" s="14"/>
      <c r="L2" s="9"/>
    </row>
    <row r="972074" spans="1:5" x14ac:dyDescent="0.25">
      <c r="A972074" s="7" t="s">
        <v>5</v>
      </c>
      <c r="B972074" s="7" t="s">
        <v>18</v>
      </c>
      <c r="C972074" s="7" t="s">
        <v>4</v>
      </c>
      <c r="D972074" s="7" t="s">
        <v>24</v>
      </c>
      <c r="E972074" s="7" t="s">
        <v>19</v>
      </c>
    </row>
    <row r="972075" spans="1:5" x14ac:dyDescent="0.25">
      <c r="A972075" s="7" t="s">
        <v>16</v>
      </c>
      <c r="B972075" s="7" t="s">
        <v>61</v>
      </c>
      <c r="C972075" s="7" t="s">
        <v>63</v>
      </c>
      <c r="D972075" s="7" t="s">
        <v>166</v>
      </c>
      <c r="E972075" s="7" t="s">
        <v>167</v>
      </c>
    </row>
    <row r="972076" spans="1:5" x14ac:dyDescent="0.25">
      <c r="A972076" s="7" t="s">
        <v>16</v>
      </c>
      <c r="B972076" s="7" t="s">
        <v>61</v>
      </c>
      <c r="C972076" s="7" t="s">
        <v>64</v>
      </c>
      <c r="D972076" s="7" t="s">
        <v>168</v>
      </c>
      <c r="E972076" s="7" t="s">
        <v>169</v>
      </c>
    </row>
    <row r="972077" spans="1:5" x14ac:dyDescent="0.25">
      <c r="A972077" s="7" t="s">
        <v>16</v>
      </c>
      <c r="B972077" s="7" t="s">
        <v>61</v>
      </c>
      <c r="C972077" s="7" t="s">
        <v>376</v>
      </c>
      <c r="D972077" s="7" t="s">
        <v>377</v>
      </c>
      <c r="E972077" s="7" t="s">
        <v>378</v>
      </c>
    </row>
    <row r="972078" spans="1:5" x14ac:dyDescent="0.25">
      <c r="A972078" s="7" t="s">
        <v>16</v>
      </c>
      <c r="B972078" s="7" t="s">
        <v>61</v>
      </c>
      <c r="C972078" s="7" t="s">
        <v>65</v>
      </c>
      <c r="D972078" s="7" t="s">
        <v>170</v>
      </c>
      <c r="E972078" s="7" t="s">
        <v>171</v>
      </c>
    </row>
    <row r="972079" spans="1:5" x14ac:dyDescent="0.25">
      <c r="A972079" s="7" t="s">
        <v>16</v>
      </c>
      <c r="B972079" s="7" t="s">
        <v>61</v>
      </c>
      <c r="C972079" s="7" t="s">
        <v>66</v>
      </c>
      <c r="D972079" s="7" t="s">
        <v>172</v>
      </c>
      <c r="E972079" s="7" t="s">
        <v>173</v>
      </c>
    </row>
    <row r="972080" spans="1:5" x14ac:dyDescent="0.25">
      <c r="A972080" s="7" t="s">
        <v>16</v>
      </c>
      <c r="B972080" s="7" t="s">
        <v>61</v>
      </c>
      <c r="C972080" s="7" t="s">
        <v>67</v>
      </c>
      <c r="D972080" s="7" t="s">
        <v>174</v>
      </c>
      <c r="E972080" s="7" t="s">
        <v>175</v>
      </c>
    </row>
    <row r="972081" spans="1:5" x14ac:dyDescent="0.25">
      <c r="A972081" s="7" t="s">
        <v>16</v>
      </c>
      <c r="B972081" s="7" t="s">
        <v>61</v>
      </c>
      <c r="C972081" s="7" t="s">
        <v>68</v>
      </c>
      <c r="D972081" s="7" t="s">
        <v>176</v>
      </c>
      <c r="E972081" s="7" t="s">
        <v>177</v>
      </c>
    </row>
    <row r="972082" spans="1:5" x14ac:dyDescent="0.25">
      <c r="A972082" s="7" t="s">
        <v>16</v>
      </c>
      <c r="B972082" s="7" t="s">
        <v>61</v>
      </c>
      <c r="C972082" s="7" t="s">
        <v>69</v>
      </c>
      <c r="D972082" s="7" t="s">
        <v>178</v>
      </c>
      <c r="E972082" s="7" t="s">
        <v>179</v>
      </c>
    </row>
    <row r="972083" spans="1:5" x14ac:dyDescent="0.25">
      <c r="A972083" s="7" t="s">
        <v>16</v>
      </c>
      <c r="B972083" s="7" t="s">
        <v>61</v>
      </c>
      <c r="C972083" s="7" t="s">
        <v>70</v>
      </c>
      <c r="D972083" s="7" t="s">
        <v>180</v>
      </c>
      <c r="E972083" s="7" t="s">
        <v>181</v>
      </c>
    </row>
    <row r="972084" spans="1:5" x14ac:dyDescent="0.25">
      <c r="A972084" s="7" t="s">
        <v>16</v>
      </c>
      <c r="B972084" s="7" t="s">
        <v>61</v>
      </c>
      <c r="C972084" s="7" t="s">
        <v>71</v>
      </c>
      <c r="D972084" s="7" t="s">
        <v>182</v>
      </c>
      <c r="E972084" s="7" t="s">
        <v>183</v>
      </c>
    </row>
    <row r="972085" spans="1:5" x14ac:dyDescent="0.25">
      <c r="A972085" s="7" t="s">
        <v>16</v>
      </c>
      <c r="B972085" s="7" t="s">
        <v>61</v>
      </c>
      <c r="C972085" s="7" t="s">
        <v>72</v>
      </c>
      <c r="D972085" s="7" t="s">
        <v>184</v>
      </c>
      <c r="E972085" s="7" t="s">
        <v>185</v>
      </c>
    </row>
    <row r="972086" spans="1:5" x14ac:dyDescent="0.25">
      <c r="A972086" s="7" t="s">
        <v>16</v>
      </c>
      <c r="B972086" s="7" t="s">
        <v>61</v>
      </c>
      <c r="C972086" s="7" t="s">
        <v>73</v>
      </c>
      <c r="D972086" s="7" t="s">
        <v>186</v>
      </c>
      <c r="E972086" s="7" t="s">
        <v>187</v>
      </c>
    </row>
    <row r="972087" spans="1:5" x14ac:dyDescent="0.25">
      <c r="A972087" s="7" t="s">
        <v>16</v>
      </c>
      <c r="B972087" s="7" t="s">
        <v>61</v>
      </c>
      <c r="C972087" s="7" t="s">
        <v>74</v>
      </c>
      <c r="D972087" s="7" t="s">
        <v>188</v>
      </c>
      <c r="E972087" s="7" t="s">
        <v>189</v>
      </c>
    </row>
    <row r="972088" spans="1:5" x14ac:dyDescent="0.25">
      <c r="A972088" s="7" t="s">
        <v>16</v>
      </c>
      <c r="B972088" s="7" t="s">
        <v>61</v>
      </c>
      <c r="C972088" s="7" t="s">
        <v>75</v>
      </c>
      <c r="D972088" s="7" t="s">
        <v>190</v>
      </c>
      <c r="E972088" s="7" t="s">
        <v>191</v>
      </c>
    </row>
    <row r="972089" spans="1:5" x14ac:dyDescent="0.25">
      <c r="A972089" s="7" t="s">
        <v>16</v>
      </c>
      <c r="B972089" s="7" t="s">
        <v>61</v>
      </c>
      <c r="C972089" s="7" t="s">
        <v>76</v>
      </c>
      <c r="D972089" s="7" t="s">
        <v>192</v>
      </c>
      <c r="E972089" s="7" t="s">
        <v>193</v>
      </c>
    </row>
    <row r="972090" spans="1:5" x14ac:dyDescent="0.25">
      <c r="A972090" s="7" t="s">
        <v>16</v>
      </c>
      <c r="B972090" s="7" t="s">
        <v>61</v>
      </c>
      <c r="C972090" s="7" t="s">
        <v>77</v>
      </c>
      <c r="D972090" s="7" t="s">
        <v>194</v>
      </c>
      <c r="E972090" s="7" t="s">
        <v>195</v>
      </c>
    </row>
    <row r="972091" spans="1:5" x14ac:dyDescent="0.25">
      <c r="A972091" s="7" t="s">
        <v>16</v>
      </c>
      <c r="B972091" s="7" t="s">
        <v>61</v>
      </c>
      <c r="C972091" s="7" t="s">
        <v>78</v>
      </c>
      <c r="D972091" s="7" t="s">
        <v>196</v>
      </c>
      <c r="E972091" s="7" t="s">
        <v>197</v>
      </c>
    </row>
    <row r="972092" spans="1:5" x14ac:dyDescent="0.25">
      <c r="A972092" s="7" t="s">
        <v>16</v>
      </c>
      <c r="B972092" s="7" t="s">
        <v>61</v>
      </c>
      <c r="C972092" s="7" t="s">
        <v>79</v>
      </c>
      <c r="D972092" s="7" t="s">
        <v>198</v>
      </c>
      <c r="E972092" s="7" t="s">
        <v>199</v>
      </c>
    </row>
    <row r="972093" spans="1:5" x14ac:dyDescent="0.25">
      <c r="A972093" s="7" t="s">
        <v>16</v>
      </c>
      <c r="B972093" s="7" t="s">
        <v>61</v>
      </c>
      <c r="C972093" s="7" t="s">
        <v>80</v>
      </c>
      <c r="D972093" s="7" t="s">
        <v>200</v>
      </c>
      <c r="E972093" s="7" t="s">
        <v>201</v>
      </c>
    </row>
    <row r="972094" spans="1:5" x14ac:dyDescent="0.25">
      <c r="A972094" s="7" t="s">
        <v>16</v>
      </c>
      <c r="B972094" s="7" t="s">
        <v>61</v>
      </c>
      <c r="C972094" s="7" t="s">
        <v>81</v>
      </c>
      <c r="D972094" s="7" t="s">
        <v>202</v>
      </c>
      <c r="E972094" s="7" t="s">
        <v>203</v>
      </c>
    </row>
    <row r="972095" spans="1:5" x14ac:dyDescent="0.25">
      <c r="A972095" s="7" t="s">
        <v>16</v>
      </c>
      <c r="B972095" s="7" t="s">
        <v>61</v>
      </c>
      <c r="C972095" s="7" t="s">
        <v>82</v>
      </c>
      <c r="D972095" s="7" t="s">
        <v>204</v>
      </c>
      <c r="E972095" s="7" t="s">
        <v>205</v>
      </c>
    </row>
    <row r="972096" spans="1:5" x14ac:dyDescent="0.25">
      <c r="A972096" s="7" t="s">
        <v>16</v>
      </c>
      <c r="B972096" s="7" t="s">
        <v>61</v>
      </c>
      <c r="C972096" s="7" t="s">
        <v>83</v>
      </c>
      <c r="D972096" s="7" t="s">
        <v>206</v>
      </c>
      <c r="E972096" s="7" t="s">
        <v>207</v>
      </c>
    </row>
    <row r="972097" spans="1:5" x14ac:dyDescent="0.25">
      <c r="A972097" s="7" t="s">
        <v>16</v>
      </c>
      <c r="B972097" s="7" t="s">
        <v>61</v>
      </c>
      <c r="C972097" s="7" t="s">
        <v>84</v>
      </c>
      <c r="D972097" s="7" t="s">
        <v>208</v>
      </c>
      <c r="E972097" s="7" t="s">
        <v>209</v>
      </c>
    </row>
    <row r="972098" spans="1:5" x14ac:dyDescent="0.25">
      <c r="A972098" s="7" t="s">
        <v>16</v>
      </c>
      <c r="B972098" s="7" t="s">
        <v>61</v>
      </c>
      <c r="C972098" s="7" t="s">
        <v>17</v>
      </c>
      <c r="D972098" s="7" t="s">
        <v>210</v>
      </c>
      <c r="E972098" s="7" t="s">
        <v>17</v>
      </c>
    </row>
    <row r="972099" spans="1:5" x14ac:dyDescent="0.25">
      <c r="A972099" s="7" t="s">
        <v>16</v>
      </c>
      <c r="B972099" s="7" t="s">
        <v>61</v>
      </c>
      <c r="C972099" s="7" t="s">
        <v>27</v>
      </c>
      <c r="D972099" s="7" t="s">
        <v>211</v>
      </c>
      <c r="E972099" s="7" t="s">
        <v>37</v>
      </c>
    </row>
    <row r="972100" spans="1:5" x14ac:dyDescent="0.25">
      <c r="A972100" s="7" t="s">
        <v>16</v>
      </c>
      <c r="B972100" s="7" t="s">
        <v>61</v>
      </c>
      <c r="C972100" s="7" t="s">
        <v>28</v>
      </c>
      <c r="D972100" s="7" t="s">
        <v>212</v>
      </c>
      <c r="E972100" s="7" t="s">
        <v>28</v>
      </c>
    </row>
    <row r="972101" spans="1:5" x14ac:dyDescent="0.25">
      <c r="A972101" s="7" t="s">
        <v>16</v>
      </c>
      <c r="B972101" s="7" t="s">
        <v>61</v>
      </c>
      <c r="C972101" s="7" t="s">
        <v>85</v>
      </c>
      <c r="D972101" s="7" t="s">
        <v>213</v>
      </c>
      <c r="E972101" s="7" t="s">
        <v>214</v>
      </c>
    </row>
    <row r="972102" spans="1:5" x14ac:dyDescent="0.25">
      <c r="A972102" s="7" t="s">
        <v>16</v>
      </c>
      <c r="B972102" s="7" t="s">
        <v>61</v>
      </c>
      <c r="C972102" s="7" t="s">
        <v>86</v>
      </c>
      <c r="D972102" s="7" t="s">
        <v>215</v>
      </c>
      <c r="E972102" s="7" t="s">
        <v>216</v>
      </c>
    </row>
    <row r="972103" spans="1:5" x14ac:dyDescent="0.25">
      <c r="A972103" s="7" t="s">
        <v>16</v>
      </c>
      <c r="B972103" s="7" t="s">
        <v>61</v>
      </c>
      <c r="C972103" s="7" t="s">
        <v>87</v>
      </c>
      <c r="D972103" s="7" t="s">
        <v>217</v>
      </c>
      <c r="E972103" s="7" t="s">
        <v>218</v>
      </c>
    </row>
    <row r="972104" spans="1:5" x14ac:dyDescent="0.25">
      <c r="A972104" s="7" t="s">
        <v>16</v>
      </c>
      <c r="B972104" s="7" t="s">
        <v>61</v>
      </c>
      <c r="C972104" s="7" t="s">
        <v>88</v>
      </c>
      <c r="D972104" s="7" t="s">
        <v>219</v>
      </c>
      <c r="E972104" s="7" t="s">
        <v>220</v>
      </c>
    </row>
    <row r="972105" spans="1:5" x14ac:dyDescent="0.25">
      <c r="A972105" s="7" t="s">
        <v>16</v>
      </c>
      <c r="B972105" s="7" t="s">
        <v>61</v>
      </c>
      <c r="C972105" s="7" t="s">
        <v>89</v>
      </c>
      <c r="D972105" s="7" t="s">
        <v>221</v>
      </c>
      <c r="E972105" s="7" t="s">
        <v>222</v>
      </c>
    </row>
    <row r="972106" spans="1:5" x14ac:dyDescent="0.25">
      <c r="A972106" s="7" t="s">
        <v>16</v>
      </c>
      <c r="B972106" s="7" t="s">
        <v>61</v>
      </c>
      <c r="C972106" s="7" t="s">
        <v>90</v>
      </c>
      <c r="D972106" s="7" t="s">
        <v>223</v>
      </c>
      <c r="E972106" s="7" t="s">
        <v>224</v>
      </c>
    </row>
    <row r="972107" spans="1:5" x14ac:dyDescent="0.25">
      <c r="A972107" s="7" t="s">
        <v>16</v>
      </c>
      <c r="B972107" s="7" t="s">
        <v>61</v>
      </c>
      <c r="C972107" s="7" t="s">
        <v>91</v>
      </c>
      <c r="D972107" s="7" t="s">
        <v>225</v>
      </c>
      <c r="E972107" s="7" t="s">
        <v>226</v>
      </c>
    </row>
    <row r="972108" spans="1:5" x14ac:dyDescent="0.25">
      <c r="A972108" s="7" t="s">
        <v>16</v>
      </c>
      <c r="B972108" s="7" t="s">
        <v>61</v>
      </c>
      <c r="C972108" s="7" t="s">
        <v>92</v>
      </c>
      <c r="D972108" s="7" t="s">
        <v>227</v>
      </c>
      <c r="E972108" s="7" t="s">
        <v>228</v>
      </c>
    </row>
    <row r="972109" spans="1:5" x14ac:dyDescent="0.25">
      <c r="A972109" s="7" t="s">
        <v>16</v>
      </c>
      <c r="B972109" s="7" t="s">
        <v>61</v>
      </c>
      <c r="C972109" s="7" t="s">
        <v>93</v>
      </c>
      <c r="D972109" s="7" t="s">
        <v>229</v>
      </c>
      <c r="E972109" s="7" t="s">
        <v>230</v>
      </c>
    </row>
    <row r="972110" spans="1:5" x14ac:dyDescent="0.25">
      <c r="A972110" s="7" t="s">
        <v>16</v>
      </c>
      <c r="B972110" s="7" t="s">
        <v>61</v>
      </c>
      <c r="C972110" s="7" t="s">
        <v>94</v>
      </c>
      <c r="D972110" s="7" t="s">
        <v>231</v>
      </c>
      <c r="E972110" s="7" t="s">
        <v>232</v>
      </c>
    </row>
    <row r="972111" spans="1:5" x14ac:dyDescent="0.25">
      <c r="A972111" s="7" t="s">
        <v>16</v>
      </c>
      <c r="B972111" s="7" t="s">
        <v>61</v>
      </c>
      <c r="C972111" s="7" t="s">
        <v>95</v>
      </c>
      <c r="D972111" s="7" t="s">
        <v>233</v>
      </c>
      <c r="E972111" s="7" t="s">
        <v>234</v>
      </c>
    </row>
    <row r="972112" spans="1:5" x14ac:dyDescent="0.25">
      <c r="A972112" s="7" t="s">
        <v>16</v>
      </c>
      <c r="B972112" s="7" t="s">
        <v>61</v>
      </c>
      <c r="C972112" s="7" t="s">
        <v>96</v>
      </c>
      <c r="D972112" s="7" t="s">
        <v>235</v>
      </c>
      <c r="E972112" s="7" t="s">
        <v>236</v>
      </c>
    </row>
    <row r="972113" spans="1:5" x14ac:dyDescent="0.25">
      <c r="A972113" s="7" t="s">
        <v>16</v>
      </c>
      <c r="B972113" s="7" t="s">
        <v>61</v>
      </c>
      <c r="C972113" s="7" t="s">
        <v>97</v>
      </c>
      <c r="D972113" s="7" t="s">
        <v>237</v>
      </c>
      <c r="E972113" s="7" t="s">
        <v>238</v>
      </c>
    </row>
    <row r="972114" spans="1:5" x14ac:dyDescent="0.25">
      <c r="A972114" s="7" t="s">
        <v>16</v>
      </c>
      <c r="B972114" s="7" t="s">
        <v>61</v>
      </c>
      <c r="C972114" s="7" t="s">
        <v>98</v>
      </c>
      <c r="D972114" s="7" t="s">
        <v>239</v>
      </c>
      <c r="E972114" s="7" t="s">
        <v>240</v>
      </c>
    </row>
    <row r="972115" spans="1:5" x14ac:dyDescent="0.25">
      <c r="A972115" s="7" t="s">
        <v>16</v>
      </c>
      <c r="B972115" s="7" t="s">
        <v>61</v>
      </c>
      <c r="C972115" s="7" t="s">
        <v>99</v>
      </c>
      <c r="D972115" s="7" t="s">
        <v>241</v>
      </c>
      <c r="E972115" s="7" t="s">
        <v>242</v>
      </c>
    </row>
    <row r="972116" spans="1:5" x14ac:dyDescent="0.25">
      <c r="A972116" s="7" t="s">
        <v>16</v>
      </c>
      <c r="B972116" s="7" t="s">
        <v>61</v>
      </c>
      <c r="C972116" s="7" t="s">
        <v>100</v>
      </c>
      <c r="D972116" s="7" t="s">
        <v>243</v>
      </c>
      <c r="E972116" s="7" t="s">
        <v>244</v>
      </c>
    </row>
    <row r="972117" spans="1:5" x14ac:dyDescent="0.25">
      <c r="A972117" s="7" t="s">
        <v>16</v>
      </c>
      <c r="B972117" s="7" t="s">
        <v>61</v>
      </c>
      <c r="C972117" s="7" t="s">
        <v>101</v>
      </c>
      <c r="D972117" s="7" t="s">
        <v>245</v>
      </c>
      <c r="E972117" s="7" t="s">
        <v>246</v>
      </c>
    </row>
    <row r="972118" spans="1:5" x14ac:dyDescent="0.25">
      <c r="A972118" s="7" t="s">
        <v>16</v>
      </c>
      <c r="B972118" s="7" t="s">
        <v>61</v>
      </c>
      <c r="C972118" s="7" t="s">
        <v>102</v>
      </c>
      <c r="D972118" s="7" t="s">
        <v>247</v>
      </c>
      <c r="E972118" s="7" t="s">
        <v>248</v>
      </c>
    </row>
    <row r="972119" spans="1:5" x14ac:dyDescent="0.25">
      <c r="A972119" s="7" t="s">
        <v>16</v>
      </c>
      <c r="B972119" s="7" t="s">
        <v>61</v>
      </c>
      <c r="C972119" s="7" t="s">
        <v>103</v>
      </c>
      <c r="D972119" s="7" t="s">
        <v>249</v>
      </c>
      <c r="E972119" s="7" t="s">
        <v>250</v>
      </c>
    </row>
    <row r="972120" spans="1:5" x14ac:dyDescent="0.25">
      <c r="A972120" s="7" t="s">
        <v>16</v>
      </c>
      <c r="B972120" s="7" t="s">
        <v>61</v>
      </c>
      <c r="C972120" s="7" t="s">
        <v>104</v>
      </c>
      <c r="D972120" s="7" t="s">
        <v>251</v>
      </c>
      <c r="E972120" s="7" t="s">
        <v>252</v>
      </c>
    </row>
    <row r="972121" spans="1:5" x14ac:dyDescent="0.25">
      <c r="A972121" s="7" t="s">
        <v>16</v>
      </c>
      <c r="B972121" s="7" t="s">
        <v>61</v>
      </c>
      <c r="C972121" s="7" t="s">
        <v>105</v>
      </c>
      <c r="D972121" s="7" t="s">
        <v>253</v>
      </c>
      <c r="E972121" s="7" t="s">
        <v>254</v>
      </c>
    </row>
    <row r="972122" spans="1:5" x14ac:dyDescent="0.25">
      <c r="A972122" s="7" t="s">
        <v>16</v>
      </c>
      <c r="B972122" s="7" t="s">
        <v>61</v>
      </c>
      <c r="C972122" s="7" t="s">
        <v>106</v>
      </c>
      <c r="D972122" s="7" t="s">
        <v>255</v>
      </c>
      <c r="E972122" s="7" t="s">
        <v>256</v>
      </c>
    </row>
    <row r="972123" spans="1:5" x14ac:dyDescent="0.25">
      <c r="A972123" s="7" t="s">
        <v>16</v>
      </c>
      <c r="B972123" s="7" t="s">
        <v>61</v>
      </c>
      <c r="C972123" s="7" t="s">
        <v>107</v>
      </c>
      <c r="D972123" s="7" t="s">
        <v>257</v>
      </c>
      <c r="E972123" s="7" t="s">
        <v>258</v>
      </c>
    </row>
    <row r="972124" spans="1:5" x14ac:dyDescent="0.25">
      <c r="A972124" s="7" t="s">
        <v>16</v>
      </c>
      <c r="B972124" s="7" t="s">
        <v>61</v>
      </c>
      <c r="C972124" s="7" t="s">
        <v>108</v>
      </c>
      <c r="D972124" s="7" t="s">
        <v>259</v>
      </c>
      <c r="E972124" s="7" t="s">
        <v>260</v>
      </c>
    </row>
    <row r="972125" spans="1:5" x14ac:dyDescent="0.25">
      <c r="A972125" s="7" t="s">
        <v>16</v>
      </c>
      <c r="B972125" s="7" t="s">
        <v>61</v>
      </c>
      <c r="C972125" s="7" t="s">
        <v>109</v>
      </c>
      <c r="D972125" s="7" t="s">
        <v>261</v>
      </c>
      <c r="E972125" s="7" t="s">
        <v>262</v>
      </c>
    </row>
    <row r="972126" spans="1:5" x14ac:dyDescent="0.25">
      <c r="A972126" s="7" t="s">
        <v>16</v>
      </c>
      <c r="B972126" s="7" t="s">
        <v>61</v>
      </c>
      <c r="C972126" s="7" t="s">
        <v>110</v>
      </c>
      <c r="D972126" s="7" t="s">
        <v>263</v>
      </c>
      <c r="E972126" s="7" t="s">
        <v>264</v>
      </c>
    </row>
    <row r="972127" spans="1:5" x14ac:dyDescent="0.25">
      <c r="A972127" s="7" t="s">
        <v>16</v>
      </c>
      <c r="B972127" s="7" t="s">
        <v>61</v>
      </c>
      <c r="C972127" s="7" t="s">
        <v>111</v>
      </c>
      <c r="D972127" s="7" t="s">
        <v>265</v>
      </c>
      <c r="E972127" s="7" t="s">
        <v>266</v>
      </c>
    </row>
    <row r="972128" spans="1:5" x14ac:dyDescent="0.25">
      <c r="A972128" s="7" t="s">
        <v>16</v>
      </c>
      <c r="B972128" s="7" t="s">
        <v>61</v>
      </c>
      <c r="C972128" s="7" t="s">
        <v>112</v>
      </c>
      <c r="D972128" s="7" t="s">
        <v>267</v>
      </c>
      <c r="E972128" s="7" t="s">
        <v>268</v>
      </c>
    </row>
    <row r="972129" spans="1:5" x14ac:dyDescent="0.25">
      <c r="A972129" s="7" t="s">
        <v>16</v>
      </c>
      <c r="B972129" s="7" t="s">
        <v>61</v>
      </c>
      <c r="C972129" s="7" t="s">
        <v>113</v>
      </c>
      <c r="D972129" s="7" t="s">
        <v>269</v>
      </c>
      <c r="E972129" s="7" t="s">
        <v>270</v>
      </c>
    </row>
    <row r="972130" spans="1:5" x14ac:dyDescent="0.25">
      <c r="A972130" s="7" t="s">
        <v>16</v>
      </c>
      <c r="B972130" s="7" t="s">
        <v>61</v>
      </c>
      <c r="C972130" s="7" t="s">
        <v>114</v>
      </c>
      <c r="D972130" s="7" t="s">
        <v>271</v>
      </c>
      <c r="E972130" s="7" t="s">
        <v>272</v>
      </c>
    </row>
    <row r="972131" spans="1:5" x14ac:dyDescent="0.25">
      <c r="A972131" s="7" t="s">
        <v>16</v>
      </c>
      <c r="B972131" s="7" t="s">
        <v>61</v>
      </c>
      <c r="C972131" s="7" t="s">
        <v>115</v>
      </c>
      <c r="D972131" s="7" t="s">
        <v>273</v>
      </c>
      <c r="E972131" s="7" t="s">
        <v>274</v>
      </c>
    </row>
    <row r="972132" spans="1:5" x14ac:dyDescent="0.25">
      <c r="A972132" s="7" t="s">
        <v>16</v>
      </c>
      <c r="B972132" s="7" t="s">
        <v>61</v>
      </c>
      <c r="C972132" s="7" t="s">
        <v>116</v>
      </c>
      <c r="D972132" s="7" t="s">
        <v>275</v>
      </c>
      <c r="E972132" s="7" t="s">
        <v>276</v>
      </c>
    </row>
    <row r="972133" spans="1:5" x14ac:dyDescent="0.25">
      <c r="A972133" s="7" t="s">
        <v>16</v>
      </c>
      <c r="B972133" s="7" t="s">
        <v>61</v>
      </c>
      <c r="C972133" s="7" t="s">
        <v>117</v>
      </c>
      <c r="D972133" s="7" t="s">
        <v>277</v>
      </c>
      <c r="E972133" s="7" t="s">
        <v>278</v>
      </c>
    </row>
    <row r="972134" spans="1:5" x14ac:dyDescent="0.25">
      <c r="A972134" s="7" t="s">
        <v>16</v>
      </c>
      <c r="B972134" s="7" t="s">
        <v>61</v>
      </c>
      <c r="C972134" s="7" t="s">
        <v>118</v>
      </c>
      <c r="D972134" s="7" t="s">
        <v>279</v>
      </c>
      <c r="E972134" s="7" t="s">
        <v>280</v>
      </c>
    </row>
    <row r="972135" spans="1:5" x14ac:dyDescent="0.25">
      <c r="A972135" s="7" t="s">
        <v>16</v>
      </c>
      <c r="B972135" s="7" t="s">
        <v>61</v>
      </c>
      <c r="C972135" s="7" t="s">
        <v>119</v>
      </c>
      <c r="D972135" s="7" t="s">
        <v>281</v>
      </c>
      <c r="E972135" s="7" t="s">
        <v>282</v>
      </c>
    </row>
    <row r="972136" spans="1:5" x14ac:dyDescent="0.25">
      <c r="A972136" s="7" t="s">
        <v>16</v>
      </c>
      <c r="B972136" s="7" t="s">
        <v>61</v>
      </c>
      <c r="C972136" s="7" t="s">
        <v>120</v>
      </c>
      <c r="D972136" s="7" t="s">
        <v>283</v>
      </c>
      <c r="E972136" s="7" t="s">
        <v>284</v>
      </c>
    </row>
    <row r="972137" spans="1:5" x14ac:dyDescent="0.25">
      <c r="A972137" s="7" t="s">
        <v>16</v>
      </c>
      <c r="B972137" s="7" t="s">
        <v>61</v>
      </c>
      <c r="C972137" s="7" t="s">
        <v>121</v>
      </c>
      <c r="D972137" s="7" t="s">
        <v>285</v>
      </c>
      <c r="E972137" s="7" t="s">
        <v>286</v>
      </c>
    </row>
    <row r="972138" spans="1:5" x14ac:dyDescent="0.25">
      <c r="A972138" s="7" t="s">
        <v>16</v>
      </c>
      <c r="B972138" s="7" t="s">
        <v>61</v>
      </c>
      <c r="C972138" s="7" t="s">
        <v>122</v>
      </c>
      <c r="D972138" s="7" t="s">
        <v>287</v>
      </c>
      <c r="E972138" s="7" t="s">
        <v>288</v>
      </c>
    </row>
    <row r="972139" spans="1:5" x14ac:dyDescent="0.25">
      <c r="A972139" s="7" t="s">
        <v>16</v>
      </c>
      <c r="B972139" s="7" t="s">
        <v>61</v>
      </c>
      <c r="C972139" s="7" t="s">
        <v>123</v>
      </c>
      <c r="D972139" s="7" t="s">
        <v>289</v>
      </c>
      <c r="E972139" s="7" t="s">
        <v>290</v>
      </c>
    </row>
    <row r="972140" spans="1:5" x14ac:dyDescent="0.25">
      <c r="A972140" s="7" t="s">
        <v>16</v>
      </c>
      <c r="B972140" s="7" t="s">
        <v>61</v>
      </c>
      <c r="C972140" s="7" t="s">
        <v>124</v>
      </c>
      <c r="D972140" s="7" t="s">
        <v>291</v>
      </c>
      <c r="E972140" s="7" t="s">
        <v>292</v>
      </c>
    </row>
    <row r="972141" spans="1:5" x14ac:dyDescent="0.25">
      <c r="A972141" s="7" t="s">
        <v>16</v>
      </c>
      <c r="B972141" s="7" t="s">
        <v>61</v>
      </c>
      <c r="C972141" s="7" t="s">
        <v>125</v>
      </c>
      <c r="D972141" s="7" t="s">
        <v>293</v>
      </c>
      <c r="E972141" s="7" t="s">
        <v>294</v>
      </c>
    </row>
    <row r="972142" spans="1:5" x14ac:dyDescent="0.25">
      <c r="A972142" s="7" t="s">
        <v>16</v>
      </c>
      <c r="B972142" s="7" t="s">
        <v>61</v>
      </c>
      <c r="C972142" s="7" t="s">
        <v>126</v>
      </c>
      <c r="D972142" s="7" t="s">
        <v>295</v>
      </c>
      <c r="E972142" s="7" t="s">
        <v>296</v>
      </c>
    </row>
    <row r="972143" spans="1:5" x14ac:dyDescent="0.25">
      <c r="A972143" s="7" t="s">
        <v>16</v>
      </c>
      <c r="B972143" s="7" t="s">
        <v>61</v>
      </c>
      <c r="C972143" s="7" t="s">
        <v>127</v>
      </c>
      <c r="D972143" s="7" t="s">
        <v>297</v>
      </c>
      <c r="E972143" s="7" t="s">
        <v>298</v>
      </c>
    </row>
    <row r="972144" spans="1:5" x14ac:dyDescent="0.25">
      <c r="A972144" s="7" t="s">
        <v>16</v>
      </c>
      <c r="B972144" s="7" t="s">
        <v>61</v>
      </c>
      <c r="C972144" s="7" t="s">
        <v>128</v>
      </c>
      <c r="D972144" s="7" t="s">
        <v>299</v>
      </c>
      <c r="E972144" s="7" t="s">
        <v>300</v>
      </c>
    </row>
    <row r="972145" spans="1:5" x14ac:dyDescent="0.25">
      <c r="A972145" s="7" t="s">
        <v>16</v>
      </c>
      <c r="B972145" s="7" t="s">
        <v>61</v>
      </c>
      <c r="C972145" s="7" t="s">
        <v>129</v>
      </c>
      <c r="D972145" s="7" t="s">
        <v>301</v>
      </c>
      <c r="E972145" s="7" t="s">
        <v>302</v>
      </c>
    </row>
    <row r="972146" spans="1:5" x14ac:dyDescent="0.25">
      <c r="A972146" s="7" t="s">
        <v>16</v>
      </c>
      <c r="B972146" s="7" t="s">
        <v>61</v>
      </c>
      <c r="C972146" s="7" t="s">
        <v>130</v>
      </c>
      <c r="D972146" s="7" t="s">
        <v>303</v>
      </c>
      <c r="E972146" s="7" t="s">
        <v>304</v>
      </c>
    </row>
    <row r="972147" spans="1:5" x14ac:dyDescent="0.25">
      <c r="A972147" s="7" t="s">
        <v>16</v>
      </c>
      <c r="B972147" s="7" t="s">
        <v>61</v>
      </c>
      <c r="C972147" s="7" t="s">
        <v>131</v>
      </c>
      <c r="D972147" s="7" t="s">
        <v>305</v>
      </c>
      <c r="E972147" s="7" t="s">
        <v>306</v>
      </c>
    </row>
    <row r="972148" spans="1:5" x14ac:dyDescent="0.25">
      <c r="A972148" s="7" t="s">
        <v>16</v>
      </c>
      <c r="B972148" s="7" t="s">
        <v>61</v>
      </c>
      <c r="C972148" s="7" t="s">
        <v>132</v>
      </c>
      <c r="D972148" s="7" t="s">
        <v>307</v>
      </c>
      <c r="E972148" s="7" t="s">
        <v>308</v>
      </c>
    </row>
    <row r="972149" spans="1:5" x14ac:dyDescent="0.25">
      <c r="A972149" s="7" t="s">
        <v>16</v>
      </c>
      <c r="B972149" s="7" t="s">
        <v>61</v>
      </c>
      <c r="C972149" s="7" t="s">
        <v>133</v>
      </c>
      <c r="D972149" s="7" t="s">
        <v>309</v>
      </c>
      <c r="E972149" s="7" t="s">
        <v>310</v>
      </c>
    </row>
    <row r="972150" spans="1:5" x14ac:dyDescent="0.25">
      <c r="A972150" s="7" t="s">
        <v>16</v>
      </c>
      <c r="B972150" s="7" t="s">
        <v>61</v>
      </c>
      <c r="C972150" s="7" t="s">
        <v>29</v>
      </c>
      <c r="D972150" s="7" t="s">
        <v>311</v>
      </c>
      <c r="E972150" s="7" t="s">
        <v>52</v>
      </c>
    </row>
    <row r="972151" spans="1:5" x14ac:dyDescent="0.25">
      <c r="A972151" s="7" t="s">
        <v>16</v>
      </c>
      <c r="B972151" s="7" t="s">
        <v>61</v>
      </c>
      <c r="C972151" s="7" t="s">
        <v>134</v>
      </c>
      <c r="D972151" s="7" t="s">
        <v>312</v>
      </c>
      <c r="E972151" s="7" t="s">
        <v>313</v>
      </c>
    </row>
    <row r="972152" spans="1:5" x14ac:dyDescent="0.25">
      <c r="A972152" s="7" t="s">
        <v>16</v>
      </c>
      <c r="B972152" s="7" t="s">
        <v>61</v>
      </c>
      <c r="C972152" s="7" t="s">
        <v>135</v>
      </c>
      <c r="D972152" s="7" t="s">
        <v>314</v>
      </c>
      <c r="E972152" s="7" t="s">
        <v>315</v>
      </c>
    </row>
    <row r="972153" spans="1:5" x14ac:dyDescent="0.25">
      <c r="A972153" s="7" t="s">
        <v>16</v>
      </c>
      <c r="B972153" s="7" t="s">
        <v>61</v>
      </c>
      <c r="C972153" s="7" t="s">
        <v>136</v>
      </c>
      <c r="D972153" s="7" t="s">
        <v>316</v>
      </c>
      <c r="E972153" s="7" t="s">
        <v>317</v>
      </c>
    </row>
    <row r="972154" spans="1:5" x14ac:dyDescent="0.25">
      <c r="A972154" s="7" t="s">
        <v>16</v>
      </c>
      <c r="B972154" s="7" t="s">
        <v>61</v>
      </c>
      <c r="C972154" s="7" t="s">
        <v>137</v>
      </c>
      <c r="D972154" s="7" t="s">
        <v>318</v>
      </c>
      <c r="E972154" s="7" t="s">
        <v>319</v>
      </c>
    </row>
    <row r="972155" spans="1:5" x14ac:dyDescent="0.25">
      <c r="A972155" s="7" t="s">
        <v>16</v>
      </c>
      <c r="B972155" s="7" t="s">
        <v>61</v>
      </c>
      <c r="C972155" s="7" t="s">
        <v>138</v>
      </c>
      <c r="D972155" s="7" t="s">
        <v>320</v>
      </c>
      <c r="E972155" s="7" t="s">
        <v>321</v>
      </c>
    </row>
    <row r="972156" spans="1:5" x14ac:dyDescent="0.25">
      <c r="A972156" s="7" t="s">
        <v>16</v>
      </c>
      <c r="B972156" s="7" t="s">
        <v>61</v>
      </c>
      <c r="C972156" s="7" t="s">
        <v>139</v>
      </c>
      <c r="D972156" s="7" t="s">
        <v>322</v>
      </c>
      <c r="E972156" s="7" t="s">
        <v>323</v>
      </c>
    </row>
    <row r="972157" spans="1:5" x14ac:dyDescent="0.25">
      <c r="A972157" s="7" t="s">
        <v>16</v>
      </c>
      <c r="B972157" s="7" t="s">
        <v>61</v>
      </c>
      <c r="C972157" s="7" t="s">
        <v>140</v>
      </c>
      <c r="D972157" s="7" t="s">
        <v>324</v>
      </c>
      <c r="E972157" s="7" t="s">
        <v>325</v>
      </c>
    </row>
    <row r="972158" spans="1:5" x14ac:dyDescent="0.25">
      <c r="A972158" s="7" t="s">
        <v>16</v>
      </c>
      <c r="B972158" s="7" t="s">
        <v>61</v>
      </c>
      <c r="C972158" s="7" t="s">
        <v>141</v>
      </c>
      <c r="D972158" s="7" t="s">
        <v>326</v>
      </c>
      <c r="E972158" s="7" t="s">
        <v>327</v>
      </c>
    </row>
    <row r="972159" spans="1:5" x14ac:dyDescent="0.25">
      <c r="A972159" s="7" t="s">
        <v>16</v>
      </c>
      <c r="B972159" s="7" t="s">
        <v>61</v>
      </c>
      <c r="C972159" s="7" t="s">
        <v>142</v>
      </c>
      <c r="D972159" s="7" t="s">
        <v>328</v>
      </c>
      <c r="E972159" s="7" t="s">
        <v>329</v>
      </c>
    </row>
    <row r="972160" spans="1:5" x14ac:dyDescent="0.25">
      <c r="A972160" s="7" t="s">
        <v>16</v>
      </c>
      <c r="B972160" s="7" t="s">
        <v>61</v>
      </c>
      <c r="C972160" s="7" t="s">
        <v>143</v>
      </c>
      <c r="D972160" s="7" t="s">
        <v>330</v>
      </c>
      <c r="E972160" s="7" t="s">
        <v>331</v>
      </c>
    </row>
    <row r="972161" spans="1:19" x14ac:dyDescent="0.25">
      <c r="A972161" s="7" t="s">
        <v>16</v>
      </c>
      <c r="B972161" s="7" t="s">
        <v>61</v>
      </c>
      <c r="C972161" s="7" t="s">
        <v>144</v>
      </c>
      <c r="D972161" s="7" t="s">
        <v>332</v>
      </c>
      <c r="E972161" s="7" t="s">
        <v>333</v>
      </c>
    </row>
    <row r="972162" spans="1:19" x14ac:dyDescent="0.25">
      <c r="A972162" s="7" t="s">
        <v>16</v>
      </c>
      <c r="B972162" s="7" t="s">
        <v>61</v>
      </c>
      <c r="C972162" s="7" t="s">
        <v>145</v>
      </c>
      <c r="D972162" s="7" t="s">
        <v>334</v>
      </c>
      <c r="E972162" s="7" t="s">
        <v>335</v>
      </c>
    </row>
    <row r="972163" spans="1:19" x14ac:dyDescent="0.25">
      <c r="A972163" s="7" t="s">
        <v>30</v>
      </c>
      <c r="B972163" s="7" t="s">
        <v>62</v>
      </c>
      <c r="C972163" s="7" t="s">
        <v>146</v>
      </c>
      <c r="D972163" s="7" t="s">
        <v>336</v>
      </c>
      <c r="E972163" s="7" t="s">
        <v>337</v>
      </c>
    </row>
    <row r="972164" spans="1:19" x14ac:dyDescent="0.25">
      <c r="A972164" s="7" t="s">
        <v>30</v>
      </c>
      <c r="B972164" s="7" t="s">
        <v>62</v>
      </c>
      <c r="C972164" s="7" t="s">
        <v>147</v>
      </c>
      <c r="D972164" s="7" t="s">
        <v>338</v>
      </c>
      <c r="E972164" s="7" t="s">
        <v>339</v>
      </c>
    </row>
    <row r="972165" spans="1:19" x14ac:dyDescent="0.25">
      <c r="A972165" s="7" t="s">
        <v>30</v>
      </c>
      <c r="B972165" s="7" t="s">
        <v>62</v>
      </c>
      <c r="C972165" s="7" t="s">
        <v>148</v>
      </c>
      <c r="D972165" s="7" t="s">
        <v>340</v>
      </c>
      <c r="E972165" s="7" t="s">
        <v>341</v>
      </c>
    </row>
    <row r="972166" spans="1:19" x14ac:dyDescent="0.25">
      <c r="A972166" s="7" t="s">
        <v>30</v>
      </c>
      <c r="B972166" s="7" t="s">
        <v>62</v>
      </c>
      <c r="C972166" s="7" t="s">
        <v>149</v>
      </c>
      <c r="D972166" s="7" t="s">
        <v>342</v>
      </c>
      <c r="E972166" s="7" t="s">
        <v>343</v>
      </c>
    </row>
    <row r="972167" spans="1:19" x14ac:dyDescent="0.25">
      <c r="A972167" s="7" t="s">
        <v>30</v>
      </c>
      <c r="B972167" s="7" t="s">
        <v>62</v>
      </c>
      <c r="C972167" s="7" t="s">
        <v>150</v>
      </c>
      <c r="D972167" s="7" t="s">
        <v>344</v>
      </c>
      <c r="E972167" s="7" t="s">
        <v>345</v>
      </c>
    </row>
    <row r="972168" spans="1:19" x14ac:dyDescent="0.25">
      <c r="A972168" s="7" t="s">
        <v>30</v>
      </c>
      <c r="B972168" s="7" t="s">
        <v>62</v>
      </c>
      <c r="C972168" s="7" t="s">
        <v>151</v>
      </c>
      <c r="D972168" s="7" t="s">
        <v>346</v>
      </c>
      <c r="E972168" s="7" t="s">
        <v>347</v>
      </c>
    </row>
    <row r="972169" spans="1:19" x14ac:dyDescent="0.25">
      <c r="A972169" s="7" t="s">
        <v>30</v>
      </c>
      <c r="B972169" s="7" t="s">
        <v>62</v>
      </c>
      <c r="C972169" s="7" t="s">
        <v>152</v>
      </c>
      <c r="D972169" s="7" t="s">
        <v>348</v>
      </c>
      <c r="E972169" s="7" t="s">
        <v>349</v>
      </c>
    </row>
    <row r="972170" spans="1:19" x14ac:dyDescent="0.25">
      <c r="A972170" s="7" t="s">
        <v>30</v>
      </c>
      <c r="B972170" s="7" t="s">
        <v>62</v>
      </c>
      <c r="C972170" s="7" t="s">
        <v>153</v>
      </c>
      <c r="D972170" s="7" t="s">
        <v>350</v>
      </c>
      <c r="E972170" s="7" t="s">
        <v>351</v>
      </c>
    </row>
    <row r="972171" spans="1:19" x14ac:dyDescent="0.25">
      <c r="A972171" s="7" t="s">
        <v>30</v>
      </c>
      <c r="B972171" s="7" t="s">
        <v>62</v>
      </c>
      <c r="C972171" s="7" t="s">
        <v>154</v>
      </c>
      <c r="D972171" s="7" t="s">
        <v>352</v>
      </c>
      <c r="E972171" s="7" t="s">
        <v>353</v>
      </c>
    </row>
    <row r="972172" spans="1:19" x14ac:dyDescent="0.25">
      <c r="A972172" s="7" t="s">
        <v>30</v>
      </c>
      <c r="B972172" s="7" t="s">
        <v>62</v>
      </c>
      <c r="C972172" s="7" t="s">
        <v>155</v>
      </c>
      <c r="D972172" s="7" t="s">
        <v>354</v>
      </c>
      <c r="E972172" s="7" t="s">
        <v>355</v>
      </c>
    </row>
    <row r="972173" spans="1:19" x14ac:dyDescent="0.25">
      <c r="A972173" s="7" t="s">
        <v>30</v>
      </c>
      <c r="B972173" s="7" t="s">
        <v>62</v>
      </c>
      <c r="C972173" s="7" t="s">
        <v>156</v>
      </c>
      <c r="D972173" s="7" t="s">
        <v>356</v>
      </c>
      <c r="E972173" s="7" t="s">
        <v>357</v>
      </c>
    </row>
    <row r="972174" spans="1:19" x14ac:dyDescent="0.25">
      <c r="A972174" s="7" t="s">
        <v>30</v>
      </c>
      <c r="B972174" s="7" t="s">
        <v>62</v>
      </c>
      <c r="C972174" s="7" t="s">
        <v>157</v>
      </c>
      <c r="D972174" s="7" t="s">
        <v>358</v>
      </c>
      <c r="E972174" s="7" t="s">
        <v>359</v>
      </c>
    </row>
    <row r="972175" spans="1:19" x14ac:dyDescent="0.25">
      <c r="A972175" s="7" t="s">
        <v>30</v>
      </c>
      <c r="B972175" s="7" t="s">
        <v>62</v>
      </c>
      <c r="C972175" s="7" t="s">
        <v>158</v>
      </c>
      <c r="D972175" s="7" t="s">
        <v>360</v>
      </c>
      <c r="E972175" s="7" t="s">
        <v>361</v>
      </c>
    </row>
    <row r="972176" spans="1:19" x14ac:dyDescent="0.25">
      <c r="A972176" s="7" t="s">
        <v>30</v>
      </c>
      <c r="B972176" s="7" t="s">
        <v>62</v>
      </c>
      <c r="C972176" s="7" t="s">
        <v>159</v>
      </c>
      <c r="D972176" s="7" t="s">
        <v>362</v>
      </c>
      <c r="E972176" s="7" t="s">
        <v>363</v>
      </c>
      <c r="O972176"/>
      <c r="P972176"/>
      <c r="Q972176"/>
      <c r="R972176"/>
      <c r="S972176"/>
    </row>
    <row r="972177" spans="1:22" x14ac:dyDescent="0.25">
      <c r="A972177" s="7" t="s">
        <v>30</v>
      </c>
      <c r="B972177" s="7" t="s">
        <v>62</v>
      </c>
      <c r="C972177" s="7" t="s">
        <v>160</v>
      </c>
      <c r="D972177" s="7" t="s">
        <v>364</v>
      </c>
      <c r="E972177" s="7" t="s">
        <v>365</v>
      </c>
      <c r="O972177"/>
      <c r="P972177"/>
      <c r="Q972177"/>
      <c r="R972177"/>
      <c r="S972177"/>
    </row>
    <row r="972178" spans="1:22" x14ac:dyDescent="0.25">
      <c r="A972178" s="7" t="s">
        <v>30</v>
      </c>
      <c r="B972178" s="7" t="s">
        <v>62</v>
      </c>
      <c r="C972178" s="7" t="s">
        <v>161</v>
      </c>
      <c r="D972178" s="7" t="s">
        <v>366</v>
      </c>
      <c r="E972178" s="7" t="s">
        <v>367</v>
      </c>
      <c r="R972178"/>
      <c r="S972178"/>
      <c r="T972178"/>
      <c r="U972178"/>
      <c r="V972178"/>
    </row>
    <row r="972179" spans="1:22" x14ac:dyDescent="0.25">
      <c r="A972179" s="7" t="s">
        <v>30</v>
      </c>
      <c r="B972179" s="7" t="s">
        <v>62</v>
      </c>
      <c r="C972179" s="7" t="s">
        <v>162</v>
      </c>
      <c r="D972179" s="7" t="s">
        <v>368</v>
      </c>
      <c r="E972179" s="7" t="s">
        <v>369</v>
      </c>
      <c r="R972179"/>
      <c r="S972179"/>
      <c r="T972179"/>
      <c r="U972179"/>
      <c r="V972179"/>
    </row>
    <row r="972180" spans="1:22" x14ac:dyDescent="0.25">
      <c r="A972180" s="7" t="s">
        <v>30</v>
      </c>
      <c r="B972180" s="7" t="s">
        <v>62</v>
      </c>
      <c r="C972180" s="7" t="s">
        <v>163</v>
      </c>
      <c r="D972180" s="7" t="s">
        <v>370</v>
      </c>
      <c r="E972180" s="7" t="s">
        <v>371</v>
      </c>
      <c r="R972180"/>
      <c r="S972180"/>
      <c r="T972180"/>
      <c r="U972180"/>
      <c r="V972180"/>
    </row>
    <row r="972181" spans="1:22" x14ac:dyDescent="0.25">
      <c r="A972181" s="7" t="s">
        <v>30</v>
      </c>
      <c r="B972181" s="7" t="s">
        <v>62</v>
      </c>
      <c r="C972181" s="7" t="s">
        <v>164</v>
      </c>
      <c r="D972181" s="7" t="s">
        <v>372</v>
      </c>
      <c r="E972181" s="7" t="s">
        <v>373</v>
      </c>
      <c r="R972181"/>
      <c r="S972181"/>
      <c r="T972181"/>
      <c r="U972181"/>
      <c r="V972181"/>
    </row>
    <row r="972182" spans="1:22" x14ac:dyDescent="0.25">
      <c r="A972182" s="7" t="s">
        <v>30</v>
      </c>
      <c r="B972182" s="7" t="s">
        <v>62</v>
      </c>
      <c r="C972182" s="7" t="s">
        <v>165</v>
      </c>
      <c r="D972182" s="7" t="s">
        <v>374</v>
      </c>
      <c r="E972182" s="7" t="s">
        <v>375</v>
      </c>
      <c r="R972182"/>
      <c r="S972182"/>
      <c r="T972182"/>
      <c r="U972182"/>
      <c r="V972182"/>
    </row>
    <row r="972183" spans="1:22" x14ac:dyDescent="0.25">
      <c r="R972183"/>
      <c r="S972183"/>
      <c r="T972183"/>
      <c r="U972183"/>
      <c r="V972183"/>
    </row>
    <row r="972184" spans="1:22" x14ac:dyDescent="0.25">
      <c r="R972184"/>
      <c r="S972184"/>
      <c r="T972184"/>
      <c r="U972184"/>
      <c r="V972184"/>
    </row>
    <row r="972185" spans="1:22" x14ac:dyDescent="0.25">
      <c r="R972185"/>
      <c r="S972185"/>
      <c r="T972185"/>
      <c r="U972185"/>
      <c r="V972185"/>
    </row>
    <row r="972186" spans="1:22" x14ac:dyDescent="0.25">
      <c r="R972186"/>
      <c r="S972186"/>
      <c r="T972186"/>
      <c r="U972186"/>
      <c r="V972186"/>
    </row>
    <row r="972187" spans="1:22" x14ac:dyDescent="0.25">
      <c r="R972187"/>
      <c r="S972187"/>
      <c r="T972187"/>
      <c r="U972187"/>
      <c r="V972187"/>
    </row>
    <row r="972188" spans="1:22" x14ac:dyDescent="0.25">
      <c r="R972188"/>
      <c r="S972188"/>
      <c r="T972188"/>
      <c r="U972188"/>
      <c r="V972188"/>
    </row>
    <row r="972189" spans="1:22" x14ac:dyDescent="0.25">
      <c r="R972189"/>
      <c r="S972189"/>
      <c r="T972189"/>
      <c r="U972189"/>
      <c r="V972189"/>
    </row>
    <row r="972190" spans="1:22" x14ac:dyDescent="0.25">
      <c r="R972190"/>
      <c r="S972190"/>
      <c r="T972190"/>
      <c r="U972190"/>
      <c r="V972190"/>
    </row>
    <row r="972191" spans="1:22" x14ac:dyDescent="0.25">
      <c r="R972191"/>
      <c r="S972191"/>
      <c r="T972191"/>
      <c r="U972191"/>
      <c r="V972191"/>
    </row>
    <row r="972192" spans="1:22" x14ac:dyDescent="0.25">
      <c r="R972192"/>
      <c r="S972192"/>
      <c r="T972192"/>
      <c r="U972192"/>
      <c r="V972192"/>
    </row>
    <row r="972193" spans="18:22" x14ac:dyDescent="0.25">
      <c r="R972193"/>
      <c r="S972193"/>
      <c r="T972193"/>
      <c r="U972193"/>
      <c r="V972193"/>
    </row>
    <row r="972194" spans="18:22" x14ac:dyDescent="0.25">
      <c r="R972194"/>
      <c r="S972194"/>
      <c r="T972194"/>
      <c r="U972194"/>
      <c r="V972194"/>
    </row>
    <row r="972195" spans="18:22" x14ac:dyDescent="0.25">
      <c r="R972195"/>
      <c r="S972195"/>
      <c r="T972195"/>
      <c r="U972195"/>
      <c r="V972195"/>
    </row>
    <row r="972196" spans="18:22" x14ac:dyDescent="0.25">
      <c r="R972196"/>
      <c r="S972196"/>
      <c r="T972196"/>
      <c r="U972196"/>
      <c r="V972196"/>
    </row>
    <row r="972197" spans="18:22" x14ac:dyDescent="0.25">
      <c r="R972197"/>
      <c r="S972197"/>
      <c r="T972197"/>
      <c r="U972197"/>
      <c r="V972197"/>
    </row>
    <row r="972198" spans="18:22" x14ac:dyDescent="0.25">
      <c r="R972198"/>
      <c r="S972198"/>
      <c r="T972198"/>
      <c r="U972198"/>
      <c r="V972198"/>
    </row>
    <row r="972199" spans="18:22" x14ac:dyDescent="0.25">
      <c r="R972199"/>
      <c r="S972199"/>
      <c r="T972199"/>
      <c r="U972199"/>
      <c r="V972199"/>
    </row>
    <row r="972200" spans="18:22" x14ac:dyDescent="0.25">
      <c r="R972200"/>
      <c r="S972200"/>
      <c r="T972200"/>
      <c r="U972200"/>
      <c r="V972200"/>
    </row>
    <row r="972201" spans="18:22" x14ac:dyDescent="0.25">
      <c r="R972201"/>
      <c r="S972201"/>
      <c r="T972201"/>
      <c r="U972201"/>
      <c r="V972201"/>
    </row>
    <row r="972202" spans="18:22" x14ac:dyDescent="0.25">
      <c r="R972202"/>
      <c r="S972202"/>
      <c r="T972202"/>
      <c r="U972202"/>
      <c r="V972202"/>
    </row>
    <row r="972203" spans="18:22" x14ac:dyDescent="0.25">
      <c r="R972203"/>
      <c r="S972203"/>
      <c r="T972203"/>
      <c r="U972203"/>
      <c r="V972203"/>
    </row>
    <row r="972204" spans="18:22" x14ac:dyDescent="0.25">
      <c r="R972204"/>
      <c r="S972204"/>
      <c r="T972204"/>
      <c r="U972204"/>
      <c r="V972204"/>
    </row>
    <row r="972205" spans="18:22" x14ac:dyDescent="0.25">
      <c r="R972205"/>
      <c r="S972205"/>
      <c r="T972205"/>
      <c r="U972205"/>
      <c r="V972205"/>
    </row>
    <row r="972206" spans="18:22" x14ac:dyDescent="0.25">
      <c r="R972206"/>
      <c r="S972206"/>
      <c r="T972206"/>
      <c r="U972206"/>
      <c r="V972206"/>
    </row>
    <row r="972207" spans="18:22" x14ac:dyDescent="0.25">
      <c r="R972207"/>
      <c r="S972207"/>
      <c r="T972207"/>
      <c r="U972207"/>
      <c r="V972207"/>
    </row>
    <row r="972208" spans="18:22" x14ac:dyDescent="0.25">
      <c r="R972208"/>
      <c r="S972208"/>
      <c r="T972208"/>
      <c r="U972208"/>
      <c r="V972208"/>
    </row>
    <row r="972209" spans="18:22" x14ac:dyDescent="0.25">
      <c r="R972209"/>
      <c r="S972209"/>
      <c r="T972209"/>
      <c r="U972209"/>
      <c r="V972209"/>
    </row>
    <row r="972210" spans="18:22" x14ac:dyDescent="0.25">
      <c r="R972210"/>
      <c r="S972210"/>
      <c r="T972210"/>
      <c r="U972210"/>
      <c r="V972210"/>
    </row>
    <row r="972211" spans="18:22" x14ac:dyDescent="0.25">
      <c r="R972211"/>
      <c r="S972211"/>
      <c r="T972211"/>
      <c r="U972211"/>
      <c r="V972211"/>
    </row>
    <row r="972212" spans="18:22" x14ac:dyDescent="0.25">
      <c r="R972212"/>
      <c r="S972212"/>
      <c r="T972212"/>
      <c r="U972212"/>
      <c r="V972212"/>
    </row>
    <row r="972213" spans="18:22" x14ac:dyDescent="0.25">
      <c r="R972213"/>
      <c r="S972213"/>
      <c r="T972213"/>
      <c r="U972213"/>
      <c r="V972213"/>
    </row>
    <row r="972214" spans="18:22" x14ac:dyDescent="0.25">
      <c r="R972214"/>
      <c r="S972214"/>
      <c r="T972214"/>
      <c r="U972214"/>
      <c r="V972214"/>
    </row>
    <row r="972215" spans="18:22" x14ac:dyDescent="0.25">
      <c r="R972215"/>
      <c r="S972215"/>
      <c r="T972215"/>
      <c r="U972215"/>
      <c r="V972215"/>
    </row>
    <row r="972216" spans="18:22" x14ac:dyDescent="0.25">
      <c r="R972216"/>
      <c r="S972216"/>
      <c r="T972216"/>
      <c r="U972216"/>
      <c r="V972216"/>
    </row>
    <row r="972217" spans="18:22" x14ac:dyDescent="0.25">
      <c r="R972217"/>
      <c r="S972217"/>
      <c r="T972217"/>
      <c r="U972217"/>
      <c r="V972217"/>
    </row>
    <row r="972218" spans="18:22" x14ac:dyDescent="0.25">
      <c r="R972218"/>
      <c r="S972218"/>
      <c r="T972218"/>
      <c r="U972218"/>
      <c r="V972218"/>
    </row>
    <row r="972219" spans="18:22" x14ac:dyDescent="0.25">
      <c r="R972219"/>
      <c r="S972219"/>
      <c r="T972219"/>
      <c r="U972219"/>
      <c r="V972219"/>
    </row>
    <row r="972220" spans="18:22" x14ac:dyDescent="0.25">
      <c r="R972220"/>
      <c r="S972220"/>
      <c r="T972220"/>
      <c r="U972220"/>
      <c r="V972220"/>
    </row>
    <row r="972221" spans="18:22" x14ac:dyDescent="0.25">
      <c r="R972221"/>
      <c r="S972221"/>
      <c r="T972221"/>
      <c r="U972221"/>
      <c r="V972221"/>
    </row>
    <row r="972222" spans="18:22" x14ac:dyDescent="0.25">
      <c r="R972222"/>
      <c r="S972222"/>
      <c r="T972222"/>
      <c r="U972222"/>
      <c r="V972222"/>
    </row>
    <row r="972223" spans="18:22" x14ac:dyDescent="0.25">
      <c r="R972223"/>
      <c r="S972223"/>
      <c r="T972223"/>
      <c r="U972223"/>
      <c r="V972223"/>
    </row>
    <row r="972224" spans="18:22" x14ac:dyDescent="0.25">
      <c r="R972224"/>
      <c r="S972224"/>
      <c r="T972224"/>
      <c r="U972224"/>
      <c r="V972224"/>
    </row>
    <row r="972225" spans="18:22" x14ac:dyDescent="0.25">
      <c r="R972225"/>
      <c r="S972225"/>
      <c r="T972225"/>
      <c r="U972225"/>
      <c r="V972225"/>
    </row>
    <row r="972226" spans="18:22" x14ac:dyDescent="0.25">
      <c r="R972226"/>
      <c r="S972226"/>
      <c r="T972226"/>
      <c r="U972226"/>
      <c r="V972226"/>
    </row>
    <row r="972227" spans="18:22" x14ac:dyDescent="0.25">
      <c r="R972227"/>
      <c r="S972227"/>
      <c r="T972227"/>
      <c r="U972227"/>
      <c r="V972227"/>
    </row>
    <row r="972228" spans="18:22" x14ac:dyDescent="0.25">
      <c r="R972228"/>
      <c r="S972228"/>
      <c r="T972228"/>
      <c r="U972228"/>
      <c r="V972228"/>
    </row>
    <row r="972229" spans="18:22" x14ac:dyDescent="0.25">
      <c r="R972229"/>
      <c r="S972229"/>
      <c r="T972229"/>
      <c r="U972229"/>
      <c r="V972229"/>
    </row>
    <row r="972230" spans="18:22" x14ac:dyDescent="0.25">
      <c r="R972230"/>
      <c r="S972230"/>
      <c r="T972230"/>
      <c r="U972230"/>
      <c r="V972230"/>
    </row>
    <row r="972231" spans="18:22" x14ac:dyDescent="0.25">
      <c r="R972231"/>
      <c r="S972231"/>
      <c r="T972231"/>
      <c r="U972231"/>
      <c r="V972231"/>
    </row>
    <row r="972232" spans="18:22" x14ac:dyDescent="0.25">
      <c r="R972232"/>
      <c r="S972232"/>
      <c r="T972232"/>
      <c r="U972232"/>
      <c r="V972232"/>
    </row>
    <row r="972233" spans="18:22" x14ac:dyDescent="0.25">
      <c r="R972233"/>
      <c r="S972233"/>
      <c r="T972233"/>
      <c r="U972233"/>
      <c r="V972233"/>
    </row>
    <row r="972234" spans="18:22" x14ac:dyDescent="0.25">
      <c r="R972234"/>
      <c r="S972234"/>
      <c r="T972234"/>
      <c r="U972234"/>
      <c r="V972234"/>
    </row>
    <row r="972235" spans="18:22" x14ac:dyDescent="0.25">
      <c r="R972235"/>
      <c r="S972235"/>
      <c r="T972235"/>
      <c r="U972235"/>
      <c r="V972235"/>
    </row>
    <row r="972236" spans="18:22" x14ac:dyDescent="0.25">
      <c r="R972236"/>
      <c r="S972236"/>
      <c r="T972236"/>
      <c r="U972236"/>
      <c r="V972236"/>
    </row>
    <row r="972237" spans="18:22" x14ac:dyDescent="0.25">
      <c r="R972237"/>
      <c r="S972237"/>
      <c r="T972237"/>
      <c r="U972237"/>
      <c r="V972237"/>
    </row>
    <row r="972238" spans="18:22" x14ac:dyDescent="0.25">
      <c r="R972238"/>
      <c r="S972238"/>
      <c r="T972238"/>
      <c r="U972238"/>
      <c r="V972238"/>
    </row>
    <row r="972239" spans="18:22" x14ac:dyDescent="0.25">
      <c r="R972239"/>
      <c r="S972239"/>
      <c r="T972239"/>
      <c r="U972239"/>
      <c r="V972239"/>
    </row>
    <row r="972240" spans="18:22" x14ac:dyDescent="0.25">
      <c r="R972240"/>
      <c r="S972240"/>
      <c r="T972240"/>
      <c r="U972240"/>
      <c r="V972240"/>
    </row>
    <row r="972241" spans="18:22" x14ac:dyDescent="0.25">
      <c r="R972241"/>
      <c r="S972241"/>
      <c r="T972241"/>
      <c r="U972241"/>
      <c r="V972241"/>
    </row>
    <row r="972242" spans="18:22" x14ac:dyDescent="0.25">
      <c r="R972242"/>
      <c r="S972242"/>
      <c r="T972242"/>
      <c r="U972242"/>
      <c r="V972242"/>
    </row>
    <row r="972243" spans="18:22" x14ac:dyDescent="0.25">
      <c r="R972243"/>
      <c r="S972243"/>
      <c r="T972243"/>
      <c r="U972243"/>
      <c r="V972243"/>
    </row>
    <row r="972244" spans="18:22" x14ac:dyDescent="0.25">
      <c r="R972244"/>
      <c r="S972244"/>
      <c r="T972244"/>
      <c r="U972244"/>
      <c r="V972244"/>
    </row>
    <row r="972245" spans="18:22" x14ac:dyDescent="0.25">
      <c r="R972245"/>
      <c r="S972245"/>
      <c r="T972245"/>
      <c r="U972245"/>
      <c r="V972245"/>
    </row>
    <row r="972246" spans="18:22" x14ac:dyDescent="0.25">
      <c r="R972246"/>
      <c r="S972246"/>
      <c r="T972246"/>
      <c r="U972246"/>
      <c r="V972246"/>
    </row>
    <row r="972247" spans="18:22" x14ac:dyDescent="0.25">
      <c r="R972247"/>
      <c r="S972247"/>
      <c r="T972247"/>
      <c r="U972247"/>
      <c r="V972247"/>
    </row>
    <row r="972248" spans="18:22" x14ac:dyDescent="0.25">
      <c r="R972248"/>
      <c r="S972248"/>
      <c r="T972248"/>
      <c r="U972248"/>
      <c r="V972248"/>
    </row>
    <row r="972249" spans="18:22" x14ac:dyDescent="0.25">
      <c r="R972249"/>
      <c r="S972249"/>
      <c r="T972249"/>
      <c r="U972249"/>
      <c r="V972249"/>
    </row>
    <row r="972250" spans="18:22" x14ac:dyDescent="0.25">
      <c r="R972250"/>
      <c r="S972250"/>
      <c r="T972250"/>
      <c r="U972250"/>
      <c r="V972250"/>
    </row>
    <row r="972251" spans="18:22" x14ac:dyDescent="0.25">
      <c r="R972251"/>
      <c r="S972251"/>
      <c r="T972251"/>
      <c r="U972251"/>
      <c r="V972251"/>
    </row>
    <row r="972252" spans="18:22" x14ac:dyDescent="0.25">
      <c r="R972252"/>
      <c r="S972252"/>
      <c r="T972252"/>
      <c r="U972252"/>
      <c r="V972252"/>
    </row>
    <row r="972253" spans="18:22" x14ac:dyDescent="0.25">
      <c r="R972253"/>
      <c r="S972253"/>
      <c r="T972253"/>
      <c r="U972253"/>
      <c r="V972253"/>
    </row>
    <row r="972254" spans="18:22" x14ac:dyDescent="0.25">
      <c r="R972254"/>
      <c r="S972254"/>
      <c r="T972254"/>
      <c r="U972254"/>
      <c r="V972254"/>
    </row>
    <row r="972255" spans="18:22" x14ac:dyDescent="0.25">
      <c r="R972255"/>
      <c r="S972255"/>
      <c r="T972255"/>
      <c r="U972255"/>
      <c r="V972255"/>
    </row>
    <row r="972256" spans="18:22" x14ac:dyDescent="0.25">
      <c r="R972256"/>
      <c r="S972256"/>
      <c r="T972256"/>
      <c r="U972256"/>
      <c r="V972256"/>
    </row>
    <row r="972257" spans="18:22" x14ac:dyDescent="0.25">
      <c r="R972257"/>
      <c r="S972257"/>
      <c r="T972257"/>
      <c r="U972257"/>
      <c r="V972257"/>
    </row>
    <row r="972258" spans="18:22" x14ac:dyDescent="0.25">
      <c r="R972258"/>
      <c r="S972258"/>
      <c r="T972258"/>
      <c r="U972258"/>
      <c r="V972258"/>
    </row>
    <row r="972259" spans="18:22" x14ac:dyDescent="0.25">
      <c r="R972259"/>
      <c r="S972259"/>
      <c r="T972259"/>
      <c r="U972259"/>
      <c r="V972259"/>
    </row>
    <row r="972260" spans="18:22" x14ac:dyDescent="0.25">
      <c r="R972260"/>
      <c r="S972260"/>
      <c r="T972260"/>
      <c r="U972260"/>
      <c r="V972260"/>
    </row>
    <row r="972261" spans="18:22" x14ac:dyDescent="0.25">
      <c r="R972261"/>
      <c r="S972261"/>
      <c r="T972261"/>
      <c r="U972261"/>
      <c r="V972261"/>
    </row>
    <row r="972262" spans="18:22" x14ac:dyDescent="0.25">
      <c r="R972262"/>
      <c r="S972262"/>
      <c r="T972262"/>
      <c r="U972262"/>
      <c r="V972262"/>
    </row>
    <row r="972263" spans="18:22" x14ac:dyDescent="0.25">
      <c r="R972263"/>
      <c r="S972263"/>
      <c r="T972263"/>
      <c r="U972263"/>
      <c r="V972263"/>
    </row>
    <row r="972264" spans="18:22" x14ac:dyDescent="0.25">
      <c r="R972264"/>
      <c r="S972264"/>
      <c r="T972264"/>
      <c r="U972264"/>
      <c r="V972264"/>
    </row>
    <row r="972265" spans="18:22" x14ac:dyDescent="0.25">
      <c r="R972265"/>
      <c r="S972265"/>
      <c r="T972265"/>
      <c r="U972265"/>
      <c r="V972265"/>
    </row>
    <row r="972266" spans="18:22" x14ac:dyDescent="0.25">
      <c r="R972266"/>
      <c r="S972266"/>
      <c r="T972266"/>
      <c r="U972266"/>
      <c r="V972266"/>
    </row>
    <row r="972267" spans="18:22" x14ac:dyDescent="0.25">
      <c r="R972267"/>
      <c r="S972267"/>
      <c r="T972267"/>
      <c r="U972267"/>
      <c r="V972267"/>
    </row>
    <row r="972268" spans="18:22" x14ac:dyDescent="0.25">
      <c r="R972268"/>
      <c r="S972268"/>
      <c r="T972268"/>
      <c r="U972268"/>
      <c r="V972268"/>
    </row>
    <row r="972269" spans="18:22" x14ac:dyDescent="0.25">
      <c r="R972269"/>
      <c r="S972269"/>
      <c r="T972269"/>
      <c r="U972269"/>
      <c r="V972269"/>
    </row>
    <row r="972270" spans="18:22" x14ac:dyDescent="0.25">
      <c r="R972270"/>
      <c r="S972270"/>
      <c r="T972270"/>
      <c r="U972270"/>
      <c r="V972270"/>
    </row>
    <row r="972271" spans="18:22" x14ac:dyDescent="0.25">
      <c r="R972271"/>
      <c r="S972271"/>
      <c r="T972271"/>
      <c r="U972271"/>
      <c r="V972271"/>
    </row>
    <row r="972272" spans="18:22" x14ac:dyDescent="0.25">
      <c r="R972272"/>
      <c r="S972272"/>
      <c r="T972272"/>
      <c r="U972272"/>
      <c r="V972272"/>
    </row>
    <row r="972273" spans="18:22" x14ac:dyDescent="0.25">
      <c r="R972273"/>
      <c r="S972273"/>
      <c r="T972273"/>
      <c r="U972273"/>
      <c r="V972273"/>
    </row>
    <row r="972274" spans="18:22" x14ac:dyDescent="0.25">
      <c r="R972274"/>
      <c r="S972274"/>
      <c r="T972274"/>
      <c r="U972274"/>
      <c r="V972274"/>
    </row>
    <row r="972275" spans="18:22" x14ac:dyDescent="0.25">
      <c r="R972275"/>
      <c r="S972275"/>
      <c r="T972275"/>
      <c r="U972275"/>
      <c r="V972275"/>
    </row>
    <row r="972276" spans="18:22" x14ac:dyDescent="0.25">
      <c r="R972276"/>
      <c r="S972276"/>
      <c r="T972276"/>
      <c r="U972276"/>
      <c r="V972276"/>
    </row>
    <row r="972277" spans="18:22" x14ac:dyDescent="0.25">
      <c r="R972277"/>
      <c r="S972277"/>
      <c r="T972277"/>
      <c r="U972277"/>
      <c r="V972277"/>
    </row>
    <row r="972278" spans="18:22" x14ac:dyDescent="0.25">
      <c r="R972278"/>
      <c r="S972278"/>
      <c r="T972278"/>
      <c r="U972278"/>
      <c r="V972278"/>
    </row>
    <row r="972279" spans="18:22" x14ac:dyDescent="0.25">
      <c r="R972279"/>
      <c r="S972279"/>
      <c r="T972279"/>
      <c r="U972279"/>
      <c r="V972279"/>
    </row>
    <row r="972280" spans="18:22" x14ac:dyDescent="0.25">
      <c r="R972280"/>
      <c r="S972280"/>
      <c r="T972280"/>
      <c r="U972280"/>
      <c r="V972280"/>
    </row>
    <row r="972281" spans="18:22" x14ac:dyDescent="0.25">
      <c r="R972281"/>
      <c r="S972281"/>
      <c r="T972281"/>
      <c r="U972281"/>
      <c r="V972281"/>
    </row>
    <row r="972282" spans="18:22" x14ac:dyDescent="0.25">
      <c r="R972282"/>
      <c r="S972282"/>
      <c r="T972282"/>
      <c r="U972282"/>
      <c r="V972282"/>
    </row>
    <row r="972283" spans="18:22" x14ac:dyDescent="0.25">
      <c r="R972283"/>
      <c r="S972283"/>
      <c r="T972283"/>
      <c r="U972283"/>
      <c r="V972283"/>
    </row>
  </sheetData>
  <conditionalFormatting sqref="L2">
    <cfRule type="expression" dxfId="22" priority="2">
      <formula>ISBLANK(L2)</formula>
    </cfRule>
  </conditionalFormatting>
  <dataValidations count="3">
    <dataValidation type="list" allowBlank="1" showInputMessage="1" showErrorMessage="1" sqref="A2">
      <formula1>ListaEmpresas</formula1>
    </dataValidation>
    <dataValidation type="list" allowBlank="1" showInputMessage="1" showErrorMessage="1" sqref="C2">
      <formula1>Lista_Proveedores</formula1>
    </dataValidation>
    <dataValidation type="list" allowBlank="1" showInputMessage="1" showErrorMessage="1" sqref="B2">
      <formula1>OFFSET($C$972074,MATCH(A2,$A$972075:$A$972182,0),0,COUNTIF($A$972075:$A$972182,"="&amp;A2),1)</formula1>
    </dataValidation>
  </dataValidations>
  <pageMargins left="0.7" right="0.7" top="0.75" bottom="0.75" header="0.3" footer="0.3"/>
  <pageSetup orientation="portrait" horizontalDpi="120" verticalDpi="72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33"/>
  <sheetViews>
    <sheetView workbookViewId="0">
      <selection activeCell="D3" sqref="D3"/>
    </sheetView>
  </sheetViews>
  <sheetFormatPr baseColWidth="10" defaultRowHeight="15" x14ac:dyDescent="0.25"/>
  <cols>
    <col min="1" max="1" width="15.28515625" customWidth="1"/>
    <col min="2" max="2" width="16.28515625" customWidth="1"/>
    <col min="4" max="4" width="13.140625" bestFit="1" customWidth="1"/>
    <col min="5" max="5" width="32.140625" bestFit="1" customWidth="1"/>
  </cols>
  <sheetData>
    <row r="1" spans="1:5" x14ac:dyDescent="0.25">
      <c r="A1" s="1" t="s">
        <v>5</v>
      </c>
      <c r="B1" s="1" t="s">
        <v>18</v>
      </c>
      <c r="D1" s="1" t="s">
        <v>20</v>
      </c>
      <c r="E1" s="1" t="s">
        <v>21</v>
      </c>
    </row>
    <row r="2" spans="1:5" x14ac:dyDescent="0.25">
      <c r="A2" s="1" t="s">
        <v>16</v>
      </c>
      <c r="B2" s="1" t="s">
        <v>61</v>
      </c>
      <c r="D2" s="1">
        <v>22</v>
      </c>
      <c r="E2" s="1" t="s">
        <v>31</v>
      </c>
    </row>
    <row r="3" spans="1:5" x14ac:dyDescent="0.25">
      <c r="A3" s="1" t="s">
        <v>30</v>
      </c>
      <c r="B3" s="1" t="s">
        <v>62</v>
      </c>
      <c r="D3" s="1">
        <v>16</v>
      </c>
      <c r="E3" s="1" t="s">
        <v>32</v>
      </c>
    </row>
    <row r="4" spans="1:5" x14ac:dyDescent="0.25">
      <c r="D4" s="1">
        <v>15</v>
      </c>
      <c r="E4" s="1" t="s">
        <v>33</v>
      </c>
    </row>
    <row r="5" spans="1:5" x14ac:dyDescent="0.25">
      <c r="D5" s="1">
        <v>21</v>
      </c>
      <c r="E5" s="1" t="s">
        <v>34</v>
      </c>
    </row>
    <row r="6" spans="1:5" x14ac:dyDescent="0.25">
      <c r="D6" s="1">
        <v>9</v>
      </c>
      <c r="E6" s="1" t="s">
        <v>35</v>
      </c>
    </row>
    <row r="7" spans="1:5" x14ac:dyDescent="0.25">
      <c r="D7" s="1">
        <v>12</v>
      </c>
      <c r="E7" s="1" t="s">
        <v>36</v>
      </c>
    </row>
    <row r="8" spans="1:5" x14ac:dyDescent="0.25">
      <c r="D8" s="1">
        <v>20</v>
      </c>
      <c r="E8" s="1" t="s">
        <v>17</v>
      </c>
    </row>
    <row r="9" spans="1:5" x14ac:dyDescent="0.25">
      <c r="D9" s="1">
        <v>13</v>
      </c>
      <c r="E9" s="1" t="s">
        <v>27</v>
      </c>
    </row>
    <row r="10" spans="1:5" x14ac:dyDescent="0.25">
      <c r="D10" s="1">
        <v>33</v>
      </c>
      <c r="E10" s="1" t="s">
        <v>28</v>
      </c>
    </row>
    <row r="11" spans="1:5" x14ac:dyDescent="0.25">
      <c r="D11" s="1">
        <v>23</v>
      </c>
      <c r="E11" s="1" t="s">
        <v>38</v>
      </c>
    </row>
    <row r="12" spans="1:5" x14ac:dyDescent="0.25">
      <c r="D12" s="1">
        <v>27</v>
      </c>
      <c r="E12" s="1" t="s">
        <v>39</v>
      </c>
    </row>
    <row r="13" spans="1:5" x14ac:dyDescent="0.25">
      <c r="D13" s="1">
        <v>5</v>
      </c>
      <c r="E13" s="1" t="s">
        <v>40</v>
      </c>
    </row>
    <row r="14" spans="1:5" x14ac:dyDescent="0.25">
      <c r="D14" s="1">
        <v>26</v>
      </c>
      <c r="E14" s="1" t="s">
        <v>41</v>
      </c>
    </row>
    <row r="15" spans="1:5" x14ac:dyDescent="0.25">
      <c r="D15" s="1">
        <v>2</v>
      </c>
      <c r="E15" s="1" t="s">
        <v>42</v>
      </c>
    </row>
    <row r="16" spans="1:5" x14ac:dyDescent="0.25">
      <c r="D16" s="1">
        <v>8</v>
      </c>
      <c r="E16" s="1" t="s">
        <v>43</v>
      </c>
    </row>
    <row r="17" spans="4:5" x14ac:dyDescent="0.25">
      <c r="D17" s="1">
        <v>7</v>
      </c>
      <c r="E17" s="1" t="s">
        <v>44</v>
      </c>
    </row>
    <row r="18" spans="4:5" x14ac:dyDescent="0.25">
      <c r="D18" s="1">
        <v>1</v>
      </c>
      <c r="E18" s="1" t="s">
        <v>45</v>
      </c>
    </row>
    <row r="19" spans="4:5" x14ac:dyDescent="0.25">
      <c r="D19" s="1">
        <v>18</v>
      </c>
      <c r="E19" s="1" t="s">
        <v>46</v>
      </c>
    </row>
    <row r="20" spans="4:5" x14ac:dyDescent="0.25">
      <c r="D20" s="1">
        <v>32</v>
      </c>
      <c r="E20" s="1" t="s">
        <v>47</v>
      </c>
    </row>
    <row r="21" spans="4:5" x14ac:dyDescent="0.25">
      <c r="D21" s="1">
        <v>10</v>
      </c>
      <c r="E21" s="1" t="s">
        <v>48</v>
      </c>
    </row>
    <row r="22" spans="4:5" x14ac:dyDescent="0.25">
      <c r="D22" s="1">
        <v>19</v>
      </c>
      <c r="E22" s="1" t="s">
        <v>49</v>
      </c>
    </row>
    <row r="23" spans="4:5" x14ac:dyDescent="0.25">
      <c r="D23" s="1">
        <v>3</v>
      </c>
      <c r="E23" s="1" t="s">
        <v>50</v>
      </c>
    </row>
    <row r="24" spans="4:5" x14ac:dyDescent="0.25">
      <c r="D24" s="1">
        <v>34</v>
      </c>
      <c r="E24" s="1" t="s">
        <v>51</v>
      </c>
    </row>
    <row r="25" spans="4:5" x14ac:dyDescent="0.25">
      <c r="D25" s="1">
        <v>11</v>
      </c>
      <c r="E25" s="1" t="s">
        <v>29</v>
      </c>
    </row>
    <row r="26" spans="4:5" x14ac:dyDescent="0.25">
      <c r="D26" s="1">
        <v>14</v>
      </c>
      <c r="E26" s="1" t="s">
        <v>53</v>
      </c>
    </row>
    <row r="27" spans="4:5" x14ac:dyDescent="0.25">
      <c r="D27" s="1">
        <v>25</v>
      </c>
      <c r="E27" s="1" t="s">
        <v>54</v>
      </c>
    </row>
    <row r="28" spans="4:5" x14ac:dyDescent="0.25">
      <c r="D28" s="1">
        <v>28</v>
      </c>
      <c r="E28" s="1" t="s">
        <v>55</v>
      </c>
    </row>
    <row r="29" spans="4:5" x14ac:dyDescent="0.25">
      <c r="D29" s="1">
        <v>24</v>
      </c>
      <c r="E29" s="1" t="s">
        <v>56</v>
      </c>
    </row>
    <row r="30" spans="4:5" x14ac:dyDescent="0.25">
      <c r="D30" s="1">
        <v>4</v>
      </c>
      <c r="E30" s="1" t="s">
        <v>57</v>
      </c>
    </row>
    <row r="31" spans="4:5" x14ac:dyDescent="0.25">
      <c r="D31" s="1">
        <v>29</v>
      </c>
      <c r="E31" s="1" t="s">
        <v>58</v>
      </c>
    </row>
    <row r="32" spans="4:5" x14ac:dyDescent="0.25">
      <c r="D32" s="1">
        <v>6</v>
      </c>
      <c r="E32" s="1" t="s">
        <v>59</v>
      </c>
    </row>
    <row r="33" spans="4:5" x14ac:dyDescent="0.25">
      <c r="D33" s="1">
        <v>31</v>
      </c>
      <c r="E33" s="1" t="s">
        <v>60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6" tint="-0.499984740745262"/>
  </sheetPr>
  <dimension ref="A1:A4"/>
  <sheetViews>
    <sheetView showGridLines="0" workbookViewId="0">
      <selection activeCell="A5" sqref="A5"/>
    </sheetView>
  </sheetViews>
  <sheetFormatPr baseColWidth="10" defaultRowHeight="15" x14ac:dyDescent="0.25"/>
  <cols>
    <col min="1" max="1" width="12.7109375" bestFit="1" customWidth="1"/>
  </cols>
  <sheetData>
    <row r="1" spans="1:1" x14ac:dyDescent="0.25">
      <c r="A1" t="s">
        <v>7</v>
      </c>
    </row>
    <row r="2" spans="1:1" x14ac:dyDescent="0.25">
      <c r="A2" t="s">
        <v>10</v>
      </c>
    </row>
    <row r="3" spans="1:1" x14ac:dyDescent="0.25">
      <c r="A3" t="s">
        <v>11</v>
      </c>
    </row>
    <row r="4" spans="1:1" x14ac:dyDescent="0.25">
      <c r="A4" t="s">
        <v>12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Comprometidos</vt:lpstr>
      <vt:lpstr>Backorders</vt:lpstr>
      <vt:lpstr>Datos</vt:lpstr>
      <vt:lpstr>Cliente</vt:lpstr>
      <vt:lpstr>Lista_Backorder</vt:lpstr>
      <vt:lpstr>Lista_Proveedores</vt:lpstr>
      <vt:lpstr>ListaClientes</vt:lpstr>
      <vt:lpstr>ListaComprometido</vt:lpstr>
      <vt:lpstr>ListaEmpresas</vt:lpstr>
    </vt:vector>
  </TitlesOfParts>
  <Company>FB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win2</cp:lastModifiedBy>
  <dcterms:created xsi:type="dcterms:W3CDTF">2010-03-14T17:28:30Z</dcterms:created>
  <dcterms:modified xsi:type="dcterms:W3CDTF">2018-07-16T16:12:41Z</dcterms:modified>
</cp:coreProperties>
</file>