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P-CAS\Drive O\COMPROMETIDOS Y BACKORDERS\"/>
    </mc:Choice>
  </mc:AlternateContent>
  <bookViews>
    <workbookView xWindow="240" yWindow="0" windowWidth="15480" windowHeight="8355"/>
  </bookViews>
  <sheets>
    <sheet name="Comprometidos" sheetId="3" r:id="rId1"/>
    <sheet name="Backorders" sheetId="2" r:id="rId2"/>
    <sheet name="Cliente" sheetId="4" r:id="rId3"/>
  </sheets>
  <definedNames>
    <definedName name="Consulta_desde_ODBC_RAMCAS1" localSheetId="1" hidden="1">Backorders!$A$1000000:$A$1000002</definedName>
    <definedName name="Consulta_desde_ODBC_RAMCAS1" localSheetId="0" hidden="1">Comprometidos!$A$999821:$A$999823</definedName>
    <definedName name="Consulta_desde_ODBC_RAMCAS1_1" localSheetId="1" hidden="1">Backorders!$C$1000000:$D$1000006</definedName>
    <definedName name="Consulta_desde_ODBC_RAMCAS1_1" localSheetId="0" hidden="1">Comprometidos!$C$999821:$D$999827</definedName>
    <definedName name="Lista_Backorder">Backorders!$A$1:$F$3</definedName>
    <definedName name="ListaClientes">Clientes[Cliente]</definedName>
    <definedName name="ListaComprometido">Comprometidos!$A$1:$G$26</definedName>
    <definedName name="ListaEmpresas">Empresa_Backorder[emp_nombre]</definedName>
  </definedNames>
  <calcPr calcId="152511"/>
</workbook>
</file>

<file path=xl/calcChain.xml><?xml version="1.0" encoding="utf-8"?>
<calcChain xmlns="http://schemas.openxmlformats.org/spreadsheetml/2006/main"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</calcChain>
</file>

<file path=xl/connections.xml><?xml version="1.0" encoding="utf-8"?>
<connections xmlns="http://schemas.openxmlformats.org/spreadsheetml/2006/main">
  <connection id="1" name="Consulta desde ODBC RAMCAS1" type="1" refreshedVersion="5" refreshOnLoad="1" saveData="1">
    <dbPr connection="DSN=ODBC RAMCAS1;" command="SELECT_x000d__x000a_e.emp_nombre from empresa e WHERE e.emp_activa = 1_x000d__x000a_ORDER BY _x000d__x000a_e.emp_nombre"/>
  </connection>
  <connection id="2" name="Consulta desde ODBC RAMCAS11" type="1" refreshedVersion="5" refreshOnLoad="1" saveData="1">
    <dbPr connection="DSN=ODBC RAMCAS1;" command="SELECT_x000d__x000a_e.emp_nombre,_x000d__x000a_b.bod_nombre_x000d__x000a_FROM_x000d__x000a_bodega b_x000d__x000a_INNER JOIN empresa e ON b.bod_empresa_id = e.empresa_id_x000d__x000a_WHERE_x000d__x000a_b.bod_activa = 1_x000d__x000a_ORDER BY _x000d__x000a_e.emp_nombre, b.bod_nombre"/>
  </connection>
  <connection id="3" name="Consulta desde ODBC RAMCAS111" type="1" refreshedVersion="5" refreshOnLoad="1" saveData="1">
    <dbPr connection="DSN=ODBC RAMCAS1;" command="SELECT_x000d__x000a_e.emp_nombre,_x000d__x000a_b.bod_nombre_x000d__x000a_FROM_x000d__x000a_bodega b_x000d__x000a_INNER JOIN empresa e ON b.bod_empresa_id = e.empresa_id_x000d__x000a_WHERE_x000d__x000a_b.bod_activa = 1_x000d__x000a_ORDER BY _x000d__x000a_e.emp_nombre, b.bod_nombre"/>
  </connection>
  <connection id="4" name="Consulta desde ODBC RAMCAS12" type="1" refreshedVersion="5" refreshOnLoad="1" saveData="1">
    <dbPr connection="DSN=ODBC RAMCAS1;" command="SELECT_x000d__x000a_e.emp_nombre from empresa e WHERE e.emp_activa = 1_x000d__x000a_ORDER BY _x000d__x000a_e.emp_nombre"/>
  </connection>
  <connection id="5" name="Consulta desde ODBC RAMCAS13" type="1" refreshedVersion="5" refreshOnLoad="1" saveData="1">
    <dbPr connection="DSN=ODBC RAMCAS1;" command="SELECT_x000d__x000a_e.emp_nombre from empresa e WHERE e.emp_activa = 1_x000d__x000a_ORDER BY _x000d__x000a_e.emp_nombre"/>
  </connection>
</connections>
</file>

<file path=xl/sharedStrings.xml><?xml version="1.0" encoding="utf-8"?>
<sst xmlns="http://schemas.openxmlformats.org/spreadsheetml/2006/main" count="163" uniqueCount="73">
  <si>
    <t>DESCRIPCION</t>
  </si>
  <si>
    <t>CANTIDAD</t>
  </si>
  <si>
    <t>BODEGA</t>
  </si>
  <si>
    <t>EMPRESA</t>
  </si>
  <si>
    <t>bod_nombre</t>
  </si>
  <si>
    <t>emp_nombre</t>
  </si>
  <si>
    <t>CLIENTE</t>
  </si>
  <si>
    <t>Cliente</t>
  </si>
  <si>
    <t>CODIGO ALTERNO</t>
  </si>
  <si>
    <t>CODIGO PRINCIPAL</t>
  </si>
  <si>
    <t>IESS HCAM</t>
  </si>
  <si>
    <t>MILITAR</t>
  </si>
  <si>
    <t>IESS SAN FCO</t>
  </si>
  <si>
    <t>FECHA ORIGEN</t>
  </si>
  <si>
    <t>CADUCIDAD SEMANAS</t>
  </si>
  <si>
    <t>CADUCADA</t>
  </si>
  <si>
    <t>MEDITOP</t>
  </si>
  <si>
    <t>Bodega ECU</t>
  </si>
  <si>
    <t>Bodega GYE</t>
  </si>
  <si>
    <t>Bodega ILS</t>
  </si>
  <si>
    <t>Bodega UIO</t>
  </si>
  <si>
    <t>ConsigPend</t>
  </si>
  <si>
    <t>HOSPICARE</t>
  </si>
  <si>
    <t>Raucocel 45mm, 240pcs</t>
  </si>
  <si>
    <t>Suprasorb H, Aposito Hidrocoloide, 20x20cm, 50 pcs</t>
  </si>
  <si>
    <t>Suprasorb H, Aposito Hidrocoloide, 10x10cm, 660 pcs</t>
  </si>
  <si>
    <t>Suprasorb P, Aposito de espuma no autoadhesivo, 15x15cm, 50pcs</t>
  </si>
  <si>
    <t>Suprasorb H Thin, Aposito Hidrocoloide, 5x20cm, 250 pcs</t>
  </si>
  <si>
    <t>Suprasorb H Thin, Aposito Hidrocoloide, 15x15cm, 50 pcs</t>
  </si>
  <si>
    <t>Suprasorb A, Calc Alginate 10x20cm, 100pcs</t>
  </si>
  <si>
    <t>Suprasorb F, 10 x 25 cm, 200 pcs</t>
  </si>
  <si>
    <t>Suprasorb F, 15cm x 10m, 10 pcs</t>
  </si>
  <si>
    <t>Suprasorb G, Aposito de Gel 10x10cm, 25 pcs</t>
  </si>
  <si>
    <t>Suprasorb C, Collagen Wound 4x6cm, 225pcs</t>
  </si>
  <si>
    <t>Suprasorb C, Collagen Wound 8x12cm, 90pcs</t>
  </si>
  <si>
    <t>Suprasorb X+PHMB, Aposito HydroBalance Antimicrobial, 14x20cm, 65pcs</t>
  </si>
  <si>
    <t>Suprasorb A+Ag, 10x20cm, 20pcs</t>
  </si>
  <si>
    <t>Vliwaktiv+Ag, 10x10cm, 300pcs</t>
  </si>
  <si>
    <t>Vliwaktiv+Ag, 10x20cm, 110pcs</t>
  </si>
  <si>
    <t>Lomatuell H 10x10cm (50pcs/450pcs)</t>
  </si>
  <si>
    <t>Mollelast Haft blanco 8cmx4m, 120pcs</t>
  </si>
  <si>
    <t>Mollelast Haft blanco 12cmx4m, 100pcs</t>
  </si>
  <si>
    <t>Cellona Xtra P.o.P. Bandage 10 cmx2,7m, 60 pcs/case</t>
  </si>
  <si>
    <t>Cellona Xtra P.o.P. Bandage 15 cmx2,7m, 36 pcs/case</t>
  </si>
  <si>
    <t>Cellona Xtra P.o.P. Bandage 20 cmx2,7m, 36 pcs/case</t>
  </si>
  <si>
    <t>Synthetic Undercast Padding 10cm x 2.7 m, 48 pcs/case</t>
  </si>
  <si>
    <t>Synthetic Undercast Padding 15cm x 2.7 m, 36 pcs/case</t>
  </si>
  <si>
    <t>Synthetic Undercast Padding 20cm x 2.7 m, 24 pcs/case</t>
  </si>
  <si>
    <t>11004</t>
  </si>
  <si>
    <t>20402</t>
  </si>
  <si>
    <t>20403</t>
  </si>
  <si>
    <t>20408</t>
  </si>
  <si>
    <t>20411</t>
  </si>
  <si>
    <t>20413</t>
  </si>
  <si>
    <t>20442</t>
  </si>
  <si>
    <t>20464</t>
  </si>
  <si>
    <t>20469</t>
  </si>
  <si>
    <t>20471</t>
  </si>
  <si>
    <t>20481</t>
  </si>
  <si>
    <t>20483</t>
  </si>
  <si>
    <t>20542</t>
  </si>
  <si>
    <t>20572</t>
  </si>
  <si>
    <t>20701</t>
  </si>
  <si>
    <t>20706</t>
  </si>
  <si>
    <t>23318</t>
  </si>
  <si>
    <t>30065</t>
  </si>
  <si>
    <t>30067</t>
  </si>
  <si>
    <t>91182</t>
  </si>
  <si>
    <t>91184</t>
  </si>
  <si>
    <t>91185</t>
  </si>
  <si>
    <t>92842</t>
  </si>
  <si>
    <t>92843</t>
  </si>
  <si>
    <t>92844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</si>
</sst>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0" borderId="0" xfId="0"/>
    <xf numFmtId="49" fontId="0" fillId="0" borderId="0" xfId="0" applyNumberFormat="1"/>
    <xf numFmtId="0" fontId="0" fillId="33" borderId="0" xfId="0" applyFill="1"/>
    <xf numFmtId="0" fontId="0" fillId="3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0" fontId="0" fillId="0" borderId="0" xfId="0" applyNumberFormat="1"/>
    <xf numFmtId="49" fontId="0" fillId="0" borderId="0" xfId="0" applyNumberFormat="1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3"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ill>
        <patternFill>
          <bgColor theme="1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sulta desde ODBC RAMCAS1" backgroundRefresh="0" refreshOnLoad="1" connectionId="4" autoFormatId="16" applyNumberFormats="0" applyBorderFormats="0" applyFontFormats="0" applyPatternFormats="0" applyAlignmentFormats="0" applyWidthHeightFormats="0">
  <queryTableRefresh nextId="6">
    <queryTableFields count="1">
      <queryTableField id="3" name="emp_nombre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_1" backgroundRefresh="0" refreshOnLoad="1" connectionId="3" autoFormatId="16" applyNumberFormats="0" applyBorderFormats="0" applyFontFormats="0" applyPatternFormats="0" applyAlignmentFormats="0" applyWidthHeightFormats="0">
  <queryTableRefresh nextId="6">
    <queryTableFields count="2">
      <queryTableField id="3" name="emp_nombre" tableColumnId="1"/>
      <queryTableField id="2" name="bod_nombre" tableColumnId="2"/>
    </queryTableFields>
  </queryTableRefresh>
</queryTable>
</file>

<file path=xl/queryTables/queryTable3.xml><?xml version="1.0" encoding="utf-8"?>
<queryTable xmlns="http://schemas.openxmlformats.org/spreadsheetml/2006/main" name="Consulta desde ODBC RAMCAS1" backgroundRefresh="0" refreshOnLoad="1" connectionId="1" autoFormatId="16" applyNumberFormats="0" applyBorderFormats="0" applyFontFormats="0" applyPatternFormats="0" applyAlignmentFormats="0" applyWidthHeightFormats="0">
  <queryTableRefresh nextId="6">
    <queryTableFields count="1">
      <queryTableField id="3" name="emp_nombre" tableColumnId="1"/>
    </queryTableFields>
  </queryTableRefresh>
</queryTable>
</file>

<file path=xl/queryTables/queryTable4.xml><?xml version="1.0" encoding="utf-8"?>
<queryTable xmlns="http://schemas.openxmlformats.org/spreadsheetml/2006/main" name="Consulta desde ODBC RAMCAS1_1" backgroundRefresh="0" refreshOnLoad="1" connectionId="2" autoFormatId="16" applyNumberFormats="0" applyBorderFormats="0" applyFontFormats="0" applyPatternFormats="0" applyAlignmentFormats="0" applyWidthHeightFormats="0">
  <queryTableRefresh nextId="6">
    <queryTableFields count="2">
      <queryTableField id="3" name="emp_nombre" tableColumnId="1"/>
      <queryTableField id="2" name="bod_nombr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OMPROMETIDO" displayName="COMPROMETIDO" ref="A1:J26" totalsRowShown="0">
  <autoFilter ref="A1:J26"/>
  <tableColumns count="10">
    <tableColumn id="5" name="EMPRESA"/>
    <tableColumn id="3" name="BODEGA"/>
    <tableColumn id="6" name="CLIENTE"/>
    <tableColumn id="1" name="CODIGO PRINCIPAL" dataDxfId="11"/>
    <tableColumn id="7" name="CODIGO ALTERNO" dataDxfId="10"/>
    <tableColumn id="2" name="DESCRIPCION" dataDxfId="9"/>
    <tableColumn id="4" name="CANTIDAD"/>
    <tableColumn id="8" name="FECHA ORIGEN" dataDxfId="8"/>
    <tableColumn id="9" name="CADUCIDAD SEMANAS" dataDxfId="7"/>
    <tableColumn id="10" name="CADUCADA" dataDxfId="6">
      <calculatedColumnFormula>IF(COMPROMETIDO[[#This Row],[FECHA ORIGEN]]+(COMPROMETIDO[[#This Row],[CADUCIDAD SEMANAS]]*7)&gt;TODAY(),1,0)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5" name="Empresa_Comprometido" displayName="Empresa_Comprometido" ref="A999821:A999823" tableType="queryTable" totalsRowShown="0">
  <autoFilter ref="A999821:A999823"/>
  <tableColumns count="1">
    <tableColumn id="1" uniqueName="1" name="emp_nombre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Bodega_Comprometido" displayName="Bodega_Comprometido" ref="C999821:D999827" tableType="queryTable" totalsRowShown="0">
  <autoFilter ref="C999821:D999827"/>
  <tableColumns count="2">
    <tableColumn id="1" uniqueName="1" name="emp_nombre" queryTableFieldId="3"/>
    <tableColumn id="2" uniqueName="2" name="bod_nombre" queryTableFieldId="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BACKORDER" displayName="BACKORDER" ref="A1:I3" totalsRowShown="0">
  <autoFilter ref="A1:I3"/>
  <tableColumns count="9">
    <tableColumn id="5" name="EMPRESA"/>
    <tableColumn id="3" name="BODEGA"/>
    <tableColumn id="1" name="CODIGO PRINCIPAL" dataDxfId="4"/>
    <tableColumn id="6" name="CODIGO ALTERNO" dataDxfId="3"/>
    <tableColumn id="2" name="DESCRIPCION" dataDxfId="2"/>
    <tableColumn id="4" name="CANTIDAD"/>
    <tableColumn id="7" name="FECHA ORIGEN" dataDxfId="1"/>
    <tableColumn id="8" name="CADUCIDAD SEMANAS" dataDxfId="0"/>
    <tableColumn id="9" name="CADUCADA"/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id="2" name="Empresa_Backorder" displayName="Empresa_Backorder" ref="A1000000:A1000002" tableType="queryTable" totalsRowShown="0">
  <autoFilter ref="A1000000:A1000002"/>
  <tableColumns count="1">
    <tableColumn id="1" uniqueName="1" name="emp_nombre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Bodega_Backorder" displayName="Bodega_Backorder" ref="C1000000:D1000006" tableType="queryTable" totalsRowShown="0">
  <autoFilter ref="C1000000:D1000006"/>
  <tableColumns count="2">
    <tableColumn id="1" uniqueName="1" name="emp_nombre" queryTableFieldId="3"/>
    <tableColumn id="2" uniqueName="2" name="bod_nombre" queryTableField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Clientes" displayName="Clientes" ref="A1:A4" totalsRowShown="0">
  <autoFilter ref="A1:A4"/>
  <tableColumns count="1">
    <tableColumn id="1" name="Client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K999827"/>
  <sheetViews>
    <sheetView showGridLines="0" tabSelected="1" workbookViewId="0">
      <selection activeCell="A10" sqref="A10:A26"/>
    </sheetView>
  </sheetViews>
  <sheetFormatPr baseColWidth="10" defaultRowHeight="15" x14ac:dyDescent="0.25"/>
  <cols>
    <col min="1" max="1" width="15.28515625" style="2" customWidth="1"/>
    <col min="2" max="2" width="34.42578125" style="2" customWidth="1"/>
    <col min="3" max="3" width="15.28515625" style="2" customWidth="1"/>
    <col min="4" max="4" width="14.7109375" style="2" customWidth="1"/>
    <col min="5" max="5" width="19.140625" style="2" customWidth="1"/>
    <col min="6" max="6" width="48.28515625" style="2" customWidth="1"/>
    <col min="7" max="8" width="11.42578125" style="2"/>
    <col min="9" max="9" width="23.140625" style="2" bestFit="1" customWidth="1"/>
    <col min="10" max="11" width="11.42578125" style="2"/>
    <col min="12" max="12" width="15.28515625" style="2" customWidth="1"/>
    <col min="13" max="13" width="11.42578125" style="2" customWidth="1"/>
    <col min="14" max="14" width="15.28515625" style="2" customWidth="1"/>
    <col min="15" max="15" width="54.5703125" style="2" customWidth="1"/>
    <col min="16" max="16384" width="11.42578125" style="2"/>
  </cols>
  <sheetData>
    <row r="1" spans="1:11" x14ac:dyDescent="0.25">
      <c r="A1" s="2" t="s">
        <v>3</v>
      </c>
      <c r="B1" s="2" t="s">
        <v>2</v>
      </c>
      <c r="C1" s="2" t="s">
        <v>6</v>
      </c>
      <c r="D1" s="2" t="s">
        <v>9</v>
      </c>
      <c r="E1" s="2" t="s">
        <v>8</v>
      </c>
      <c r="F1" s="2" t="s">
        <v>0</v>
      </c>
      <c r="G1" s="2" t="s">
        <v>1</v>
      </c>
      <c r="H1" s="2" t="s">
        <v>13</v>
      </c>
      <c r="I1" s="5" t="s">
        <v>14</v>
      </c>
      <c r="J1" s="2" t="s">
        <v>15</v>
      </c>
    </row>
    <row r="2" spans="1:11" x14ac:dyDescent="0.25">
      <c r="A2" s="2" t="s">
        <v>22</v>
      </c>
      <c r="B2" s="2" t="s">
        <v>17</v>
      </c>
      <c r="D2" s="3" t="s">
        <v>48</v>
      </c>
      <c r="E2" s="3"/>
      <c r="F2" s="8" t="s">
        <v>23</v>
      </c>
      <c r="G2" s="2">
        <v>1600</v>
      </c>
      <c r="H2" s="6"/>
      <c r="I2" s="7"/>
      <c r="J2" s="9">
        <f ca="1">IF(COMPROMETIDO[[#This Row],[FECHA ORIGEN]]+(COMPROMETIDO[[#This Row],[CADUCIDAD SEMANAS]]*7)&gt;TODAY(),1,0)</f>
        <v>0</v>
      </c>
      <c r="K2" s="9"/>
    </row>
    <row r="3" spans="1:11" x14ac:dyDescent="0.25">
      <c r="A3" s="2" t="s">
        <v>22</v>
      </c>
      <c r="B3" s="2" t="s">
        <v>17</v>
      </c>
      <c r="D3" s="3" t="s">
        <v>49</v>
      </c>
      <c r="E3" s="3"/>
      <c r="F3" s="8" t="s">
        <v>24</v>
      </c>
      <c r="G3" s="2">
        <v>200</v>
      </c>
      <c r="H3" s="6"/>
      <c r="I3" s="7"/>
      <c r="J3" s="9">
        <f ca="1">IF(COMPROMETIDO[[#This Row],[FECHA ORIGEN]]+(COMPROMETIDO[[#This Row],[CADUCIDAD SEMANAS]]*7)&gt;TODAY(),1,0)</f>
        <v>0</v>
      </c>
      <c r="K3" s="9"/>
    </row>
    <row r="4" spans="1:11" x14ac:dyDescent="0.25">
      <c r="A4" s="2" t="s">
        <v>22</v>
      </c>
      <c r="B4" s="2" t="s">
        <v>17</v>
      </c>
      <c r="D4" s="3" t="s">
        <v>50</v>
      </c>
      <c r="E4" s="3"/>
      <c r="F4" s="8" t="s">
        <v>25</v>
      </c>
      <c r="G4" s="2">
        <v>1643</v>
      </c>
      <c r="H4" s="6"/>
      <c r="I4" s="7"/>
      <c r="J4" s="9">
        <f ca="1">IF(COMPROMETIDO[[#This Row],[FECHA ORIGEN]]+(COMPROMETIDO[[#This Row],[CADUCIDAD SEMANAS]]*7)&gt;TODAY(),1,0)</f>
        <v>0</v>
      </c>
      <c r="K4" s="9"/>
    </row>
    <row r="5" spans="1:11" x14ac:dyDescent="0.25">
      <c r="A5" s="2" t="s">
        <v>22</v>
      </c>
      <c r="B5" s="2" t="s">
        <v>17</v>
      </c>
      <c r="D5" s="3" t="s">
        <v>51</v>
      </c>
      <c r="E5" s="3"/>
      <c r="F5" s="8" t="s">
        <v>26</v>
      </c>
      <c r="G5" s="2">
        <v>42</v>
      </c>
      <c r="H5" s="6"/>
      <c r="I5" s="7"/>
      <c r="J5" s="9">
        <f ca="1">IF(COMPROMETIDO[[#This Row],[FECHA ORIGEN]]+(COMPROMETIDO[[#This Row],[CADUCIDAD SEMANAS]]*7)&gt;TODAY(),1,0)</f>
        <v>0</v>
      </c>
      <c r="K5" s="9"/>
    </row>
    <row r="6" spans="1:11" x14ac:dyDescent="0.25">
      <c r="A6" s="2" t="s">
        <v>22</v>
      </c>
      <c r="B6" s="2" t="s">
        <v>17</v>
      </c>
      <c r="D6" s="3" t="s">
        <v>52</v>
      </c>
      <c r="E6" s="3"/>
      <c r="F6" s="8" t="s">
        <v>27</v>
      </c>
      <c r="G6" s="2">
        <v>800</v>
      </c>
      <c r="H6" s="6"/>
      <c r="I6" s="7"/>
      <c r="J6" s="9">
        <f ca="1">IF(COMPROMETIDO[[#This Row],[FECHA ORIGEN]]+(COMPROMETIDO[[#This Row],[CADUCIDAD SEMANAS]]*7)&gt;TODAY(),1,0)</f>
        <v>0</v>
      </c>
      <c r="K6" s="9"/>
    </row>
    <row r="7" spans="1:11" x14ac:dyDescent="0.25">
      <c r="A7" s="2" t="s">
        <v>22</v>
      </c>
      <c r="B7" s="2" t="s">
        <v>17</v>
      </c>
      <c r="D7" s="3" t="s">
        <v>53</v>
      </c>
      <c r="E7" s="3"/>
      <c r="F7" s="8" t="s">
        <v>28</v>
      </c>
      <c r="G7" s="2">
        <v>800</v>
      </c>
      <c r="H7" s="6"/>
      <c r="I7" s="7"/>
      <c r="J7" s="9">
        <f ca="1">IF(COMPROMETIDO[[#This Row],[FECHA ORIGEN]]+(COMPROMETIDO[[#This Row],[CADUCIDAD SEMANAS]]*7)&gt;TODAY(),1,0)</f>
        <v>0</v>
      </c>
      <c r="K7" s="9"/>
    </row>
    <row r="8" spans="1:11" x14ac:dyDescent="0.25">
      <c r="A8" s="2" t="s">
        <v>22</v>
      </c>
      <c r="B8" s="2" t="s">
        <v>17</v>
      </c>
      <c r="D8" s="3" t="s">
        <v>54</v>
      </c>
      <c r="E8" s="3"/>
      <c r="F8" s="8" t="s">
        <v>29</v>
      </c>
      <c r="G8" s="2">
        <v>400</v>
      </c>
      <c r="H8" s="6"/>
      <c r="I8" s="7"/>
      <c r="J8" s="9">
        <f ca="1">IF(COMPROMETIDO[[#This Row],[FECHA ORIGEN]]+(COMPROMETIDO[[#This Row],[CADUCIDAD SEMANAS]]*7)&gt;TODAY(),1,0)</f>
        <v>0</v>
      </c>
      <c r="K8" s="9"/>
    </row>
    <row r="9" spans="1:11" x14ac:dyDescent="0.25">
      <c r="A9" s="2" t="s">
        <v>22</v>
      </c>
      <c r="B9" s="2" t="s">
        <v>17</v>
      </c>
      <c r="D9" s="3" t="s">
        <v>55</v>
      </c>
      <c r="E9" s="3"/>
      <c r="F9" s="8" t="s">
        <v>30</v>
      </c>
      <c r="G9" s="2">
        <v>2000</v>
      </c>
      <c r="H9" s="6"/>
      <c r="I9" s="7"/>
      <c r="J9" s="9">
        <f ca="1">IF(COMPROMETIDO[[#This Row],[FECHA ORIGEN]]+(COMPROMETIDO[[#This Row],[CADUCIDAD SEMANAS]]*7)&gt;TODAY(),1,0)</f>
        <v>0</v>
      </c>
      <c r="K9" s="9"/>
    </row>
    <row r="10" spans="1:11" x14ac:dyDescent="0.25">
      <c r="A10" s="2" t="s">
        <v>16</v>
      </c>
      <c r="B10" s="2" t="s">
        <v>17</v>
      </c>
      <c r="D10" s="3" t="s">
        <v>56</v>
      </c>
      <c r="E10" s="3"/>
      <c r="F10" s="8" t="s">
        <v>31</v>
      </c>
      <c r="G10" s="2">
        <v>1</v>
      </c>
      <c r="H10" s="6"/>
      <c r="I10" s="7"/>
      <c r="J10" s="9">
        <f ca="1">IF(COMPROMETIDO[[#This Row],[FECHA ORIGEN]]+(COMPROMETIDO[[#This Row],[CADUCIDAD SEMANAS]]*7)&gt;TODAY(),1,0)</f>
        <v>0</v>
      </c>
      <c r="K10" s="9"/>
    </row>
    <row r="11" spans="1:11" x14ac:dyDescent="0.25">
      <c r="A11" s="2" t="s">
        <v>16</v>
      </c>
      <c r="B11" s="2" t="s">
        <v>17</v>
      </c>
      <c r="D11" s="3" t="s">
        <v>57</v>
      </c>
      <c r="E11" s="3"/>
      <c r="F11" s="8" t="s">
        <v>32</v>
      </c>
      <c r="G11" s="2">
        <v>500</v>
      </c>
      <c r="H11" s="6"/>
      <c r="I11" s="7"/>
      <c r="J11" s="9">
        <f ca="1">IF(COMPROMETIDO[[#This Row],[FECHA ORIGEN]]+(COMPROMETIDO[[#This Row],[CADUCIDAD SEMANAS]]*7)&gt;TODAY(),1,0)</f>
        <v>0</v>
      </c>
      <c r="K11" s="9"/>
    </row>
    <row r="12" spans="1:11" x14ac:dyDescent="0.25">
      <c r="A12" s="2" t="s">
        <v>16</v>
      </c>
      <c r="B12" s="2" t="s">
        <v>17</v>
      </c>
      <c r="D12" s="3" t="s">
        <v>58</v>
      </c>
      <c r="E12" s="3"/>
      <c r="F12" s="8" t="s">
        <v>33</v>
      </c>
      <c r="G12" s="2">
        <v>200</v>
      </c>
      <c r="H12" s="6"/>
      <c r="I12" s="7"/>
      <c r="J12" s="9">
        <f ca="1">IF(COMPROMETIDO[[#This Row],[FECHA ORIGEN]]+(COMPROMETIDO[[#This Row],[CADUCIDAD SEMANAS]]*7)&gt;TODAY(),1,0)</f>
        <v>0</v>
      </c>
      <c r="K12" s="9"/>
    </row>
    <row r="13" spans="1:11" x14ac:dyDescent="0.25">
      <c r="A13" s="2" t="s">
        <v>16</v>
      </c>
      <c r="B13" s="2" t="s">
        <v>17</v>
      </c>
      <c r="D13" s="3" t="s">
        <v>59</v>
      </c>
      <c r="E13" s="3"/>
      <c r="F13" s="8" t="s">
        <v>34</v>
      </c>
      <c r="G13" s="2">
        <v>510</v>
      </c>
      <c r="H13" s="6"/>
      <c r="I13" s="7"/>
      <c r="J13" s="9">
        <f ca="1">IF(COMPROMETIDO[[#This Row],[FECHA ORIGEN]]+(COMPROMETIDO[[#This Row],[CADUCIDAD SEMANAS]]*7)&gt;TODAY(),1,0)</f>
        <v>0</v>
      </c>
      <c r="K13" s="9"/>
    </row>
    <row r="14" spans="1:11" x14ac:dyDescent="0.25">
      <c r="A14" s="2" t="s">
        <v>16</v>
      </c>
      <c r="B14" s="2" t="s">
        <v>17</v>
      </c>
      <c r="D14" s="3" t="s">
        <v>60</v>
      </c>
      <c r="E14" s="3"/>
      <c r="F14" s="8" t="s">
        <v>35</v>
      </c>
      <c r="G14" s="2">
        <v>21</v>
      </c>
      <c r="H14" s="6"/>
      <c r="I14" s="7"/>
      <c r="J14" s="9">
        <f ca="1">IF(COMPROMETIDO[[#This Row],[FECHA ORIGEN]]+(COMPROMETIDO[[#This Row],[CADUCIDAD SEMANAS]]*7)&gt;TODAY(),1,0)</f>
        <v>0</v>
      </c>
      <c r="K14" s="9"/>
    </row>
    <row r="15" spans="1:11" x14ac:dyDescent="0.25">
      <c r="A15" s="2" t="s">
        <v>16</v>
      </c>
      <c r="B15" s="2" t="s">
        <v>17</v>
      </c>
      <c r="D15" s="3" t="s">
        <v>61</v>
      </c>
      <c r="E15" s="3"/>
      <c r="F15" s="8" t="s">
        <v>36</v>
      </c>
      <c r="G15" s="2">
        <v>242</v>
      </c>
      <c r="H15" s="6"/>
      <c r="I15" s="7"/>
      <c r="J15" s="9">
        <f ca="1">IF(COMPROMETIDO[[#This Row],[FECHA ORIGEN]]+(COMPROMETIDO[[#This Row],[CADUCIDAD SEMANAS]]*7)&gt;TODAY(),1,0)</f>
        <v>0</v>
      </c>
      <c r="K15" s="9"/>
    </row>
    <row r="16" spans="1:11" x14ac:dyDescent="0.25">
      <c r="A16" s="2" t="s">
        <v>16</v>
      </c>
      <c r="B16" s="2" t="s">
        <v>17</v>
      </c>
      <c r="D16" s="3" t="s">
        <v>62</v>
      </c>
      <c r="E16" s="3"/>
      <c r="F16" s="8" t="s">
        <v>37</v>
      </c>
      <c r="G16" s="2">
        <v>360</v>
      </c>
      <c r="H16" s="6"/>
      <c r="I16" s="7"/>
      <c r="J16" s="9">
        <f ca="1">IF(COMPROMETIDO[[#This Row],[FECHA ORIGEN]]+(COMPROMETIDO[[#This Row],[CADUCIDAD SEMANAS]]*7)&gt;TODAY(),1,0)</f>
        <v>0</v>
      </c>
      <c r="K16" s="9"/>
    </row>
    <row r="17" spans="1:11" x14ac:dyDescent="0.25">
      <c r="A17" s="2" t="s">
        <v>16</v>
      </c>
      <c r="B17" s="2" t="s">
        <v>17</v>
      </c>
      <c r="D17" s="3" t="s">
        <v>63</v>
      </c>
      <c r="E17" s="3"/>
      <c r="F17" s="8" t="s">
        <v>38</v>
      </c>
      <c r="G17" s="2">
        <v>92</v>
      </c>
      <c r="H17" s="6"/>
      <c r="I17" s="7"/>
      <c r="J17" s="9">
        <f ca="1">IF(COMPROMETIDO[[#This Row],[FECHA ORIGEN]]+(COMPROMETIDO[[#This Row],[CADUCIDAD SEMANAS]]*7)&gt;TODAY(),1,0)</f>
        <v>0</v>
      </c>
      <c r="K17" s="9"/>
    </row>
    <row r="18" spans="1:11" x14ac:dyDescent="0.25">
      <c r="A18" s="2" t="s">
        <v>16</v>
      </c>
      <c r="B18" s="2" t="s">
        <v>17</v>
      </c>
      <c r="D18" s="3" t="s">
        <v>64</v>
      </c>
      <c r="E18" s="3"/>
      <c r="F18" s="8" t="s">
        <v>39</v>
      </c>
      <c r="G18" s="2">
        <v>6800</v>
      </c>
      <c r="H18" s="6"/>
      <c r="I18" s="7"/>
      <c r="J18" s="9">
        <f ca="1">IF(COMPROMETIDO[[#This Row],[FECHA ORIGEN]]+(COMPROMETIDO[[#This Row],[CADUCIDAD SEMANAS]]*7)&gt;TODAY(),1,0)</f>
        <v>0</v>
      </c>
      <c r="K18" s="9"/>
    </row>
    <row r="19" spans="1:11" x14ac:dyDescent="0.25">
      <c r="A19" s="2" t="s">
        <v>16</v>
      </c>
      <c r="B19" s="2" t="s">
        <v>17</v>
      </c>
      <c r="D19" s="3" t="s">
        <v>65</v>
      </c>
      <c r="E19" s="3"/>
      <c r="F19" s="8" t="s">
        <v>40</v>
      </c>
      <c r="G19" s="2">
        <v>1101</v>
      </c>
      <c r="H19" s="6"/>
      <c r="I19" s="7"/>
      <c r="J19" s="9">
        <f ca="1">IF(COMPROMETIDO[[#This Row],[FECHA ORIGEN]]+(COMPROMETIDO[[#This Row],[CADUCIDAD SEMANAS]]*7)&gt;TODAY(),1,0)</f>
        <v>0</v>
      </c>
      <c r="K19" s="9"/>
    </row>
    <row r="20" spans="1:11" x14ac:dyDescent="0.25">
      <c r="A20" s="2" t="s">
        <v>16</v>
      </c>
      <c r="B20" s="2" t="s">
        <v>17</v>
      </c>
      <c r="D20" s="3" t="s">
        <v>66</v>
      </c>
      <c r="E20" s="3"/>
      <c r="F20" s="8" t="s">
        <v>41</v>
      </c>
      <c r="G20" s="2">
        <v>329</v>
      </c>
      <c r="H20" s="6"/>
      <c r="I20" s="7"/>
      <c r="J20" s="9">
        <f ca="1">IF(COMPROMETIDO[[#This Row],[FECHA ORIGEN]]+(COMPROMETIDO[[#This Row],[CADUCIDAD SEMANAS]]*7)&gt;TODAY(),1,0)</f>
        <v>0</v>
      </c>
      <c r="K20" s="9"/>
    </row>
    <row r="21" spans="1:11" x14ac:dyDescent="0.25">
      <c r="A21" s="2" t="s">
        <v>16</v>
      </c>
      <c r="B21" s="2" t="s">
        <v>17</v>
      </c>
      <c r="D21" s="3" t="s">
        <v>67</v>
      </c>
      <c r="E21" s="3"/>
      <c r="F21" s="8" t="s">
        <v>42</v>
      </c>
      <c r="G21" s="2">
        <v>1570</v>
      </c>
      <c r="H21" s="6"/>
      <c r="I21" s="7"/>
      <c r="J21" s="9">
        <f ca="1">IF(COMPROMETIDO[[#This Row],[FECHA ORIGEN]]+(COMPROMETIDO[[#This Row],[CADUCIDAD SEMANAS]]*7)&gt;TODAY(),1,0)</f>
        <v>0</v>
      </c>
      <c r="K21" s="9"/>
    </row>
    <row r="22" spans="1:11" x14ac:dyDescent="0.25">
      <c r="A22" s="2" t="s">
        <v>16</v>
      </c>
      <c r="B22" s="2" t="s">
        <v>17</v>
      </c>
      <c r="D22" s="3" t="s">
        <v>68</v>
      </c>
      <c r="E22" s="3"/>
      <c r="F22" s="8" t="s">
        <v>43</v>
      </c>
      <c r="G22" s="2">
        <v>3670</v>
      </c>
      <c r="H22" s="6"/>
      <c r="I22" s="7"/>
      <c r="J22" s="9">
        <f ca="1">IF(COMPROMETIDO[[#This Row],[FECHA ORIGEN]]+(COMPROMETIDO[[#This Row],[CADUCIDAD SEMANAS]]*7)&gt;TODAY(),1,0)</f>
        <v>0</v>
      </c>
      <c r="K22" s="9"/>
    </row>
    <row r="23" spans="1:11" x14ac:dyDescent="0.25">
      <c r="A23" s="2" t="s">
        <v>16</v>
      </c>
      <c r="B23" s="2" t="s">
        <v>17</v>
      </c>
      <c r="D23" s="3" t="s">
        <v>69</v>
      </c>
      <c r="E23" s="3"/>
      <c r="F23" s="8" t="s">
        <v>44</v>
      </c>
      <c r="G23" s="2">
        <v>1570</v>
      </c>
      <c r="H23" s="6"/>
      <c r="I23" s="7"/>
      <c r="J23" s="9">
        <f ca="1">IF(COMPROMETIDO[[#This Row],[FECHA ORIGEN]]+(COMPROMETIDO[[#This Row],[CADUCIDAD SEMANAS]]*7)&gt;TODAY(),1,0)</f>
        <v>0</v>
      </c>
      <c r="K23" s="9"/>
    </row>
    <row r="24" spans="1:11" x14ac:dyDescent="0.25">
      <c r="A24" s="2" t="s">
        <v>16</v>
      </c>
      <c r="B24" s="2" t="s">
        <v>17</v>
      </c>
      <c r="D24" s="3" t="s">
        <v>70</v>
      </c>
      <c r="E24" s="3"/>
      <c r="F24" s="8" t="s">
        <v>45</v>
      </c>
      <c r="G24" s="2">
        <v>1500</v>
      </c>
      <c r="H24" s="6"/>
      <c r="I24" s="7"/>
      <c r="J24" s="9">
        <f ca="1">IF(COMPROMETIDO[[#This Row],[FECHA ORIGEN]]+(COMPROMETIDO[[#This Row],[CADUCIDAD SEMANAS]]*7)&gt;TODAY(),1,0)</f>
        <v>0</v>
      </c>
      <c r="K24" s="9"/>
    </row>
    <row r="25" spans="1:11" x14ac:dyDescent="0.25">
      <c r="A25" s="2" t="s">
        <v>16</v>
      </c>
      <c r="B25" s="2" t="s">
        <v>17</v>
      </c>
      <c r="D25" s="3" t="s">
        <v>71</v>
      </c>
      <c r="E25" s="3"/>
      <c r="F25" s="8" t="s">
        <v>46</v>
      </c>
      <c r="G25" s="2">
        <v>1800</v>
      </c>
      <c r="H25" s="6"/>
      <c r="I25" s="7"/>
      <c r="J25" s="9">
        <f ca="1">IF(COMPROMETIDO[[#This Row],[FECHA ORIGEN]]+(COMPROMETIDO[[#This Row],[CADUCIDAD SEMANAS]]*7)&gt;TODAY(),1,0)</f>
        <v>0</v>
      </c>
      <c r="K25" s="9"/>
    </row>
    <row r="26" spans="1:11" x14ac:dyDescent="0.25">
      <c r="A26" s="2" t="s">
        <v>16</v>
      </c>
      <c r="B26" s="2" t="s">
        <v>17</v>
      </c>
      <c r="D26" s="3" t="s">
        <v>72</v>
      </c>
      <c r="E26" s="3"/>
      <c r="F26" s="8" t="s">
        <v>47</v>
      </c>
      <c r="G26" s="2">
        <v>900</v>
      </c>
      <c r="H26" s="6"/>
      <c r="I26" s="7"/>
      <c r="J26" s="9">
        <f ca="1">IF(COMPROMETIDO[[#This Row],[FECHA ORIGEN]]+(COMPROMETIDO[[#This Row],[CADUCIDAD SEMANAS]]*7)&gt;TODAY(),1,0)</f>
        <v>0</v>
      </c>
      <c r="K26" s="9"/>
    </row>
    <row r="27" spans="1:11" x14ac:dyDescent="0.25">
      <c r="K27" s="9"/>
    </row>
    <row r="28" spans="1:11" x14ac:dyDescent="0.25">
      <c r="K28" s="9"/>
    </row>
    <row r="29" spans="1:11" x14ac:dyDescent="0.25">
      <c r="K29" s="9"/>
    </row>
    <row r="30" spans="1:11" x14ac:dyDescent="0.25">
      <c r="K30" s="9"/>
    </row>
    <row r="31" spans="1:11" x14ac:dyDescent="0.25">
      <c r="K31" s="9"/>
    </row>
    <row r="32" spans="1:11" x14ac:dyDescent="0.25">
      <c r="K32" s="9"/>
    </row>
    <row r="33" spans="11:11" x14ac:dyDescent="0.25">
      <c r="K33" s="9"/>
    </row>
    <row r="34" spans="11:11" x14ac:dyDescent="0.25">
      <c r="K34" s="9"/>
    </row>
    <row r="35" spans="11:11" x14ac:dyDescent="0.25">
      <c r="K35" s="9"/>
    </row>
    <row r="36" spans="11:11" x14ac:dyDescent="0.25">
      <c r="K36" s="9"/>
    </row>
    <row r="37" spans="11:11" x14ac:dyDescent="0.25">
      <c r="K37" s="9"/>
    </row>
    <row r="38" spans="11:11" x14ac:dyDescent="0.25">
      <c r="K38" s="9"/>
    </row>
    <row r="39" spans="11:11" x14ac:dyDescent="0.25">
      <c r="K39" s="9"/>
    </row>
    <row r="40" spans="11:11" x14ac:dyDescent="0.25">
      <c r="K40" s="9"/>
    </row>
    <row r="41" spans="11:11" x14ac:dyDescent="0.25">
      <c r="K41" s="9"/>
    </row>
    <row r="42" spans="11:11" x14ac:dyDescent="0.25">
      <c r="K42" s="9"/>
    </row>
    <row r="43" spans="11:11" x14ac:dyDescent="0.25">
      <c r="K43" s="9"/>
    </row>
    <row r="44" spans="11:11" x14ac:dyDescent="0.25">
      <c r="K44" s="9"/>
    </row>
    <row r="45" spans="11:11" x14ac:dyDescent="0.25">
      <c r="K45" s="9"/>
    </row>
    <row r="46" spans="11:11" x14ac:dyDescent="0.25">
      <c r="K46" s="9"/>
    </row>
    <row r="47" spans="11:11" x14ac:dyDescent="0.25">
      <c r="K47" s="9"/>
    </row>
    <row r="48" spans="11:11" x14ac:dyDescent="0.25">
      <c r="K48" s="9"/>
    </row>
    <row r="49" spans="11:11" x14ac:dyDescent="0.25">
      <c r="K49" s="9"/>
    </row>
    <row r="999821" spans="1:4" x14ac:dyDescent="0.25">
      <c r="A999821" s="2" t="s">
        <v>5</v>
      </c>
      <c r="C999821" s="2" t="s">
        <v>5</v>
      </c>
      <c r="D999821" s="2" t="s">
        <v>4</v>
      </c>
    </row>
    <row r="999822" spans="1:4" x14ac:dyDescent="0.25">
      <c r="A999822" s="2" t="s">
        <v>22</v>
      </c>
      <c r="C999822" s="2" t="s">
        <v>22</v>
      </c>
      <c r="D999822" s="2" t="s">
        <v>17</v>
      </c>
    </row>
    <row r="999823" spans="1:4" x14ac:dyDescent="0.25">
      <c r="A999823" s="2" t="s">
        <v>16</v>
      </c>
      <c r="C999823" s="2" t="s">
        <v>16</v>
      </c>
      <c r="D999823" s="2" t="s">
        <v>17</v>
      </c>
    </row>
    <row r="999824" spans="1:4" x14ac:dyDescent="0.25">
      <c r="C999824" s="2" t="s">
        <v>16</v>
      </c>
      <c r="D999824" s="2" t="s">
        <v>18</v>
      </c>
    </row>
    <row r="999825" spans="3:4" x14ac:dyDescent="0.25">
      <c r="C999825" s="2" t="s">
        <v>16</v>
      </c>
      <c r="D999825" s="2" t="s">
        <v>19</v>
      </c>
    </row>
    <row r="999826" spans="3:4" x14ac:dyDescent="0.25">
      <c r="C999826" s="2" t="s">
        <v>16</v>
      </c>
      <c r="D999826" s="2" t="s">
        <v>20</v>
      </c>
    </row>
    <row r="999827" spans="3:4" x14ac:dyDescent="0.25">
      <c r="C999827" s="2" t="s">
        <v>16</v>
      </c>
      <c r="D999827" s="2" t="s">
        <v>21</v>
      </c>
    </row>
  </sheetData>
  <conditionalFormatting sqref="I2:I26">
    <cfRule type="expression" dxfId="12" priority="1">
      <formula>ISBLANK(I2)</formula>
    </cfRule>
  </conditionalFormatting>
  <dataValidations count="3">
    <dataValidation type="list" allowBlank="1" showInputMessage="1" showErrorMessage="1" sqref="A2:A26">
      <formula1>ListaEmpresas</formula1>
    </dataValidation>
    <dataValidation type="list" allowBlank="1" showInputMessage="1" showErrorMessage="1" sqref="C2:C26">
      <formula1>ListaClientes</formula1>
    </dataValidation>
    <dataValidation type="list" allowBlank="1" showInputMessage="1" showErrorMessage="1" sqref="B2:B26">
      <formula1>OFFSET($D$999821,MATCH(A2,$C$999822:$C$999827,0),0,COUNTIF($C$999822:$C$999827,"="&amp;A2),1)</formula1>
    </dataValidation>
  </dataValidations>
  <pageMargins left="0.7" right="0.7" top="0.75" bottom="0.75" header="0.3" footer="0.3"/>
  <pageSetup orientation="portrait" horizontalDpi="120" verticalDpi="72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A1:I1000006"/>
  <sheetViews>
    <sheetView showGridLines="0" workbookViewId="0">
      <selection activeCell="C3" sqref="C3"/>
    </sheetView>
  </sheetViews>
  <sheetFormatPr baseColWidth="10" defaultRowHeight="15" x14ac:dyDescent="0.25"/>
  <cols>
    <col min="1" max="1" width="15.28515625" customWidth="1"/>
    <col min="2" max="2" width="34.42578125" customWidth="1"/>
    <col min="3" max="3" width="15.28515625" customWidth="1"/>
    <col min="4" max="4" width="14.7109375" style="2" customWidth="1"/>
    <col min="5" max="5" width="48.28515625" customWidth="1"/>
    <col min="8" max="8" width="21.7109375" customWidth="1"/>
    <col min="10" max="10" width="15.28515625" customWidth="1"/>
    <col min="11" max="11" width="11.42578125" customWidth="1"/>
    <col min="12" max="12" width="15.28515625" customWidth="1"/>
    <col min="13" max="13" width="54.5703125" customWidth="1"/>
  </cols>
  <sheetData>
    <row r="1" spans="1:9" x14ac:dyDescent="0.25">
      <c r="A1" t="s">
        <v>3</v>
      </c>
      <c r="B1" t="s">
        <v>2</v>
      </c>
      <c r="C1" t="s">
        <v>9</v>
      </c>
      <c r="D1" s="2" t="s">
        <v>8</v>
      </c>
      <c r="E1" t="s">
        <v>0</v>
      </c>
      <c r="F1" t="s">
        <v>1</v>
      </c>
      <c r="G1" t="s">
        <v>13</v>
      </c>
      <c r="H1" s="4" t="s">
        <v>14</v>
      </c>
      <c r="I1" t="s">
        <v>15</v>
      </c>
    </row>
    <row r="2" spans="1:9" x14ac:dyDescent="0.25">
      <c r="A2" s="2" t="s">
        <v>16</v>
      </c>
      <c r="B2" s="2" t="s">
        <v>17</v>
      </c>
      <c r="C2" s="3" t="s">
        <v>48</v>
      </c>
      <c r="D2" s="3"/>
      <c r="E2" s="1"/>
      <c r="F2">
        <v>7</v>
      </c>
      <c r="G2" s="6"/>
      <c r="H2" s="7"/>
    </row>
    <row r="3" spans="1:9" x14ac:dyDescent="0.25">
      <c r="A3" t="s">
        <v>22</v>
      </c>
      <c r="B3" t="s">
        <v>17</v>
      </c>
      <c r="C3" s="10" t="s">
        <v>48</v>
      </c>
      <c r="D3" s="3"/>
      <c r="E3" s="1"/>
      <c r="F3">
        <v>10</v>
      </c>
      <c r="G3" s="6"/>
      <c r="H3" s="7"/>
    </row>
    <row r="1000000" spans="1:4" x14ac:dyDescent="0.25">
      <c r="A1000000" s="2" t="s">
        <v>5</v>
      </c>
      <c r="C1000000" s="2" t="s">
        <v>5</v>
      </c>
      <c r="D1000000" s="2" t="s">
        <v>4</v>
      </c>
    </row>
    <row r="1000001" spans="1:4" x14ac:dyDescent="0.25">
      <c r="A1000001" s="2" t="s">
        <v>22</v>
      </c>
      <c r="C1000001" s="2" t="s">
        <v>22</v>
      </c>
      <c r="D1000001" s="2" t="s">
        <v>17</v>
      </c>
    </row>
    <row r="1000002" spans="1:4" x14ac:dyDescent="0.25">
      <c r="A1000002" s="2" t="s">
        <v>16</v>
      </c>
      <c r="C1000002" s="2" t="s">
        <v>16</v>
      </c>
      <c r="D1000002" s="2" t="s">
        <v>17</v>
      </c>
    </row>
    <row r="1000003" spans="1:4" x14ac:dyDescent="0.25">
      <c r="C1000003" s="2" t="s">
        <v>16</v>
      </c>
      <c r="D1000003" s="2" t="s">
        <v>18</v>
      </c>
    </row>
    <row r="1000004" spans="1:4" x14ac:dyDescent="0.25">
      <c r="C1000004" s="2" t="s">
        <v>16</v>
      </c>
      <c r="D1000004" s="2" t="s">
        <v>19</v>
      </c>
    </row>
    <row r="1000005" spans="1:4" x14ac:dyDescent="0.25">
      <c r="C1000005" s="2" t="s">
        <v>16</v>
      </c>
      <c r="D1000005" s="2" t="s">
        <v>20</v>
      </c>
    </row>
    <row r="1000006" spans="1:4" x14ac:dyDescent="0.25">
      <c r="C1000006" s="2" t="s">
        <v>16</v>
      </c>
      <c r="D1000006" s="2" t="s">
        <v>21</v>
      </c>
    </row>
  </sheetData>
  <conditionalFormatting sqref="H2:H3">
    <cfRule type="expression" dxfId="5" priority="1">
      <formula>ISBLANK(H2)</formula>
    </cfRule>
  </conditionalFormatting>
  <dataValidations count="2">
    <dataValidation type="list" allowBlank="1" showInputMessage="1" showErrorMessage="1" sqref="A2:A3">
      <formula1>ListaEmpresas</formula1>
    </dataValidation>
    <dataValidation type="list" allowBlank="1" showInputMessage="1" showErrorMessage="1" sqref="B2:B3">
      <formula1>OFFSET($D$1000000,MATCH(A2,$C$1000001:$C$1000006,0),0,COUNTIF($C$1000001:$C$1000006,"="&amp;A2),1)</formula1>
    </dataValidation>
  </dataValidations>
  <pageMargins left="0.7" right="0.7" top="0.75" bottom="0.75" header="0.3" footer="0.3"/>
  <pageSetup orientation="portrait" horizontalDpi="120" verticalDpi="72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6" tint="-0.499984740745262"/>
  </sheetPr>
  <dimension ref="A1:A4"/>
  <sheetViews>
    <sheetView showGridLines="0" workbookViewId="0">
      <selection activeCell="A5" sqref="A5"/>
    </sheetView>
  </sheetViews>
  <sheetFormatPr baseColWidth="10" defaultRowHeight="15" x14ac:dyDescent="0.25"/>
  <cols>
    <col min="1" max="1" width="12.7109375" bestFit="1" customWidth="1"/>
  </cols>
  <sheetData>
    <row r="1" spans="1:1" x14ac:dyDescent="0.25">
      <c r="A1" t="s">
        <v>7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Comprometidos</vt:lpstr>
      <vt:lpstr>Backorders</vt:lpstr>
      <vt:lpstr>Cliente</vt:lpstr>
      <vt:lpstr>Lista_Backorder</vt:lpstr>
      <vt:lpstr>ListaClientes</vt:lpstr>
      <vt:lpstr>ListaComprometido</vt:lpstr>
      <vt:lpstr>ListaEmpresas</vt:lpstr>
    </vt:vector>
  </TitlesOfParts>
  <Company>FB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RAMCAS</cp:lastModifiedBy>
  <dcterms:created xsi:type="dcterms:W3CDTF">2010-03-14T17:28:30Z</dcterms:created>
  <dcterms:modified xsi:type="dcterms:W3CDTF">2017-02-03T17:40:38Z</dcterms:modified>
</cp:coreProperties>
</file>