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7" i="30" l="1"/>
  <c r="G7" i="30"/>
  <c r="H7" i="30"/>
  <c r="K7" i="30"/>
  <c r="L7" i="30"/>
  <c r="M7" i="30"/>
  <c r="N7" i="30"/>
  <c r="O7" i="30"/>
  <c r="P7" i="30"/>
  <c r="Q7" i="30"/>
  <c r="I2" i="30"/>
  <c r="I3" i="30"/>
  <c r="I4" i="30"/>
  <c r="I5" i="30"/>
  <c r="I6" i="30"/>
  <c r="I7" i="30" l="1"/>
  <c r="C2" i="24"/>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<sst xmlns="http://schemas.openxmlformats.org/spreadsheetml/2006/main" count="565" uniqueCount="270">
  <si>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</si>
  <si>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</si>
  <si>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</si>
  <si>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</si>
  <si>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</si>
  <si>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</si>
  <si>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</si>
  <si>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</si>
  <si>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</si>
  <si>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</si>
  <si>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</si>
  <si>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</si>
  <si>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</si>
  <si>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</si>
  <si>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</si>
  <si>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</si>
  <si>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</si>
  <si>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</si>
  <si>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</si>
  <si>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</si>
  <si>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</si>
  <si>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</si>
  <si>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</si>
  <si>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</si>
  <si>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</si>
  <si>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</si>
  <si>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</si>
  <si>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</si>
  <si>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</si>
  <si>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</si>
  <si>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</si>
  <si>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</si>
  <si>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</si>
  <si>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</si>
  <si>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</si>
  <si>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</si>
  <si>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</si>
  <si>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</si>
  <si>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</si>
  <si>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</si>
  <si>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</si>
  <si>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</si>
  <si>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</si>
  <si>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</si>
  <si>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</si>
  <si>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</si>
  <si>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</si>
  <si>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</si>
  <si>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</si>
  <si>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</si>
  <si>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</si>
  <si>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</si>
  <si>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</si>
  <si>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</si>
  <si>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</si>
  <si>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</si>
  <si>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</si>
  <si>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</si>
  <si>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</si>
  <si>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</si>
  <si>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</si>
  <si>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</si>
  <si>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</si>
  <si>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</si>
  <si>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</si>
  <si>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</si>
  <si>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</si>
  <si>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</si>
  <si>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</si>
  <si>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</si>
  <si>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</si>
  <si>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</si>
  <si>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</si>
  <si>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</si>
  <si>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</si>
  <si>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</si>
  <si>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</si>
  <si>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</si>
  <si>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</si>
  <si>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</si>
  <si>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</si>
  <si>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</si>
  <si>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</si>
  <si>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</si>
  <si>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</si>
  <si>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</si>
  <si>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</si>
  <si>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</si>
  <si>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</si>
  <si>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</si>
  <si>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</si>
  <si>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</si>
  <si>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</si>
  <si>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</si>
  <si>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</si>
  <si>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</si>
  <si>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</si>
  <si>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</si>
  <si>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</si>
  <si>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</si>
  <si>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</si>
  <si>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</si>
  <si>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</si>
  <si>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</si>
  <si>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</si>
  <si>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</si>
  <si>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</si>
  <si>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</si>
  <si>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</si>
  <si>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</si>
  <si>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</si>
  <si>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</si>
  <si>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</si>
  <si>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</si>
  <si>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</si>
  <si>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</si>
  <si>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</si>
  <si>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</si>
  <si>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</si>
  <si>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</si>
  <si>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</si>
  <si>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</si>
  <si>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</si>
  <si>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</si>
  <si>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</si>
  <si>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</si>
  <si>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</si>
  <si>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</si>
  <si>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</si>
  <si>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</si>
  <si>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</si>
  <si>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</si>
  <si>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</si>
  <si>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</si>
  <si>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</si>
  <si>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</si>
  <si>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</si>
  <si>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</si>
  <si>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</si>
  <si>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</si>
  <si>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</si>
  <si>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</si>
  <si>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</si>
  <si>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</si>
  <si>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</si>
  <si>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</si>
  <si>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</si>
  <si>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</si>
  <si>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</si>
  <si>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</si>
  <si>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</si>
  <si>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</si>
  <si>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</si>
  <si>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</si>
  <si>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</si>
  <si>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</si>
  <si>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</si>
  <si>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</si>
  <si>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</si>
  <si>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</si>
  <si>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</si>
  <si>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</si>
  <si>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</si>
  <si>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</si>
  <si>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</si>
  <si>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</si>
  <si>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</si>
  <si>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</si>
  <si>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</si>
  <si>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</si>
  <si>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</si>
  <si>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</si>
  <si>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</si>
  <si>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</si>
  <si>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</si>
  <si>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</si>
  <si>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</si>
  <si>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</si>
  <si>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</si>
  <si>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</si>
  <si>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</si>
  <si>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</si>
  <si>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</si>
  <si>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</si>
  <si>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</si>
  <si>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</si>
  <si>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</si>
  <si>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</si>
  <si>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</si>
  <si>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</si>
  <si>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</si>
  <si>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</si>
  <si>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</si>
  <si>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</si>
  <si>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</si>
  <si>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</si>
  <si>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</si>
  <si>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</si>
  <si>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</si>
  <si>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</si>
  <si>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</si>
  <si>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</si>
  <si>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</si>
  <si>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</si>
  <si>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</si>
  <si>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</si>
  <si>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</si>
  <si>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</si>
  <si>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</si>
  <si>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</si>
  <si>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</si>
  <si>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</si>
  <si>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</si>
  <si>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</si>
  <si>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</si>
  <si>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</si>
  <si>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</si>
  <si>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</si>
  <si>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</si>
  <si>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</si>
  <si>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</si>
  <si>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</si>
  <si>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</si>
  <si>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</si>
  <si>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</si>
  <si>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</si>
  <si>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</si>
  <si>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</si>
  <si>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</si>
  <si>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</si>
  <si>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</si>
  <si>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</si>
  <si>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</si>
  <si>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</si>
  <si>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</si>
  <si>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</si>
  <si>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</si>
  <si>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</si>
  <si>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</si>
  <si>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</si>
  <si>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</si>
  <si>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</si>
  <si>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</si>
  <si>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</si>
  <si>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</si>
  <si>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</si>
  <si>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</si>
  <si>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</si>
  <si>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</si>
  <si>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</si>
  <si>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</si>
  <si>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</si>
  <si>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</si>
  <si>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</si>
  <si>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</si>
  <si>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</si>
  <si>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</si>
  <si>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</si>
  <si>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</si>
  <si>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Repuestos Shindaiwa.xlsm</t>
  </si>
  <si>
    <t>Sobre atendidos Cantidad</t>
  </si>
  <si>
    <t>O:\Repuestos Shindaiwa.xlsm</t>
  </si>
  <si>
    <t>Agropecuaria.xlsm</t>
  </si>
  <si>
    <t>Repuestos ECHO.xlsm</t>
  </si>
  <si>
    <t>Unidad Nacional Sukampo.xlsm</t>
  </si>
  <si>
    <t>Buffers nunca inicializados</t>
  </si>
  <si>
    <t>O:\Agropecuaria.xlsm</t>
  </si>
  <si>
    <t>O:\Repuestos ECHO.xlsm</t>
  </si>
  <si>
    <t>O:\Unidad Nacional Sukampo.xlsm</t>
  </si>
  <si>
    <t>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</si>
</sst>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bgColor rgb="FFFF0000"/>
        </patternFill>
      </fill>
    </dxf>
    <dxf>
      <fill>
        <patternFill>
          <bgColor rgb="FFFF0000"/>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fill>
        <patternFill>
          <bgColor rgb="FFFF0000"/>
        </patternFill>
      </fill>
    </dxf>
    <dxf>
      <numFmt numFmtId="0" formatCode="General"/>
    </dxf>
    <dxf>
      <numFmt numFmtId="0" formatCode="General"/>
    </dxf>
    <dxf>
      <alignment horizontal="center" vertical="bottom" textRotation="0" wrapText="0" indent="0" justifyLastLine="0" shrinkToFit="0" readingOrder="0"/>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numFmt numFmtId="0" formatCode="General"/>
    </dxf>
    <dxf>
      <alignment horizontal="center" vertical="bottom" textRotation="0" wrapText="0" indent="0" justifyLastLine="0" shrinkToFit="0" readingOrder="0"/>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ill>
        <patternFill>
          <bgColor theme="9" tint="-0.24994659260841701"/>
        </patternFill>
      </fill>
    </dxf>
    <dxf>
      <font>
        <color theme="0"/>
      </font>
      <fill>
        <patternFill>
          <bgColor rgb="FFFF0000"/>
        </patternFill>
      </fill>
    </dxf>
    <dxf>
      <fill>
        <patternFill>
          <bgColor rgb="FFFFFF00"/>
        </patternFill>
      </fill>
    </dxf>
    <dxf>
      <numFmt numFmtId="0" formatCode="Genera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1266825</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240"/>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174"/>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74">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7" totalsRowCount="1" headerRowDxfId="70">
  <autoFilter ref="B1:Q6"/>
  <sortState ref="B2:Q6">
    <sortCondition descending="1" ref="H1:H6"/>
  </sortState>
  <tableColumns count="16">
    <tableColumn id="1" name="EMPRESA" totalsRowLabel="Total"/>
    <tableColumn id="2" name="HOJA CB" totalsRowFunction="count" totalsRowDxfId="69"/>
    <tableColumn id="3" name="REFRESCADO" dataDxfId="68" totalsRowDxfId="67"/>
    <tableColumn id="14" name="TIPO" dataDxfId="66" totalsRowDxfId="65"/>
    <tableColumn id="16" name="BASE DATOS" dataDxfId="64" totalsRowDxfId="63"/>
    <tableColumn id="4" name="INICIO" totalsRowFunction="min" dataDxfId="62" totalsRowDxfId="61"/>
    <tableColumn id="7" name="FIN" totalsRowFunction="max" dataDxfId="60" totalsRowDxfId="59"/>
    <tableColumn id="5" name="DURACIÓN" totalsRowFunction="sum" dataDxfId="58" totalsRowDxfId="57">
      <calculatedColumnFormula>tbl_Fechas_Refrescado[[#This Row],[FIN]]-tbl_Fechas_Refrescado[[#This Row],[INICIO]]</calculatedColumnFormula>
    </tableColumn>
    <tableColumn id="15" name="RAZÓN" dataDxfId="56" totalsRowDxfId="55"/>
    <tableColumn id="6" name="DIAS PERIODO" totalsRowFunction="max" dataDxfId="54" totalsRowDxfId="53"/>
    <tableColumn id="13" name="DUPLICADOS" totalsRowFunction="sum" dataDxfId="52" totalsRowDxfId="51"/>
    <tableColumn id="8" name="SKUs Totales" totalsRowFunction="sum" dataDxfId="50" totalsRowDxfId="49"/>
    <tableColumn id="9" name="SKUs Buffer" totalsRowFunction="sum" dataDxfId="48" totalsRowDxfId="47"/>
    <tableColumn id="10" name="COSTO BUFFER" totalsRowFunction="sum" dataDxfId="46" totalsRowDxfId="45"/>
    <tableColumn id="11" name="COSTO FISICO" totalsRowFunction="sum" dataDxfId="44" totalsRowDxfId="43"/>
    <tableColumn id="12" name="COSTO TRANSITO" totalsRowFunction="sum" dataDxfId="42" totalsRowDxfId="4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34"/>
    <tableColumn id="5" name="EMPRESA"/>
    <tableColumn id="2" name="DIRECTORIO"/>
    <tableColumn id="3" name="ARCHIVO"/>
    <tableColumn id="4" name="PATH" dataDxfId="33">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26"/>
    <tableColumn id="5" name="EMPRESA"/>
    <tableColumn id="6" name="BODEGA"/>
    <tableColumn id="4" name="PATH" dataDxfId="25"/>
    <tableColumn id="2" name="ARCHIVO" dataDxfId="24">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22" dataDxfId="21">
  <autoFilter ref="B1:F2"/>
  <tableColumns count="5">
    <tableColumn id="5" name="PERFIL" dataDxfId="20"/>
    <tableColumn id="1" name="FREC REP" dataDxfId="19"/>
    <tableColumn id="2" name="TIEMP SUMINIS" dataDxfId="18"/>
    <tableColumn id="3" name="HORIZONTE" dataDxfId="17"/>
    <tableColumn id="4" name="T NIV SER (DIAS)" dataDxfId="16"/>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13"/>
    <tableColumn id="3" name="RESTAN" dataDxfId="12">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11">
  <autoFilter ref="A2:D3"/>
  <tableColumns count="4">
    <tableColumn id="2" name="HOJA CB" totalsRowLabel="TOTALES" totalsRowDxfId="10"/>
    <tableColumn id="3" name="TODOS ITEMS" totalsRowFunction="sum" dataDxfId="9" totalsRowDxfId="8"/>
    <tableColumn id="4" name="ITEMS CON BUFFER" totalsRowFunction="sum" dataDxfId="7" totalsRowDxfId="6"/>
    <tableColumn id="1" name="% ITEMS CON BUFFER" totalsRowFunction="average" dataDxfId="5" totalsRowDxfId="4">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3"/>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
    <tableColumn id="7" uniqueName="7" name="PATH" queryTableFieldId="7" dataDxfId="1"/>
    <tableColumn id="5" uniqueName="5" name="COMPLETO" queryTableFieldId="5" dataDxfId="0">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E7" totalsRowShown="0">
  <autoFilter ref="A1:E7"/>
  <tableColumns count="5">
    <tableColumn id="1" name="Agropecuaria.xlsm"/>
    <tableColumn id="6" name="Maquinas ECHO - SHINDAIWA.xlsm"/>
    <tableColumn id="7" name="Repuestos ECHO.xlsm"/>
    <tableColumn id="8" name="Repuestos Shindaiwa.xlsm"/>
    <tableColumn id="9" name="Unidad Nacional Sukampo.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6" totalsRowShown="0">
  <autoFilter ref="A1:C6"/>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I26" sqref="I26"/>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181</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43227</v>
      </c>
    </row>
    <row r="7" spans="1:15" ht="15.75" thickBot="1" x14ac:dyDescent="0.3">
      <c r="A7" s="33"/>
      <c r="B7" s="34"/>
      <c r="C7" s="34"/>
      <c r="D7" s="34"/>
      <c r="E7" s="34"/>
      <c r="F7" s="34"/>
      <c r="G7" s="40" t="s">
        <v>67</v>
      </c>
      <c r="H7" s="41"/>
      <c r="I7" s="42" t="str">
        <f>DURACIONREFRESCADO</f>
        <v/>
      </c>
    </row>
    <row r="8" spans="1:15" ht="15.75" thickBot="1" x14ac:dyDescent="0.3">
      <c r="A8" s="33"/>
      <c r="B8" s="34"/>
      <c r="C8" s="36"/>
      <c r="D8" s="36"/>
      <c r="E8" s="43"/>
      <c r="F8" s="36"/>
      <c r="G8" s="33" t="s">
        <v>62</v>
      </c>
      <c r="H8" s="35"/>
      <c r="I8" s="58">
        <v>43227</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43227</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43227</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43224</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0.87638888888888899</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196</v>
      </c>
      <c r="Q1048569" s="27" t="s">
        <v>147</v>
      </c>
    </row>
  </sheetData>
  <sheetProtection algorithmName="SHA-512" hashValue="saB4+ZKi+Z+mS7fmaWVSwBy7eZYZEeJGXRlrFeZeNqbG5pheu9OS5nqNi+MxfkpqGE5Agvi/i9Kx0i6N50yPyQ==" saltValue="kbGN20CoTF9l9fujrSvmyw==" spinCount="100000" sheet="1" objects="1" scenarios="1" sort="0" autoFilter="0"/>
  <conditionalFormatting sqref="I8:I12">
    <cfRule type="expression" dxfId="81" priority="11">
      <formula>I8&lt;&gt;$I$6</formula>
    </cfRule>
  </conditionalFormatting>
  <conditionalFormatting sqref="I5">
    <cfRule type="expression" dxfId="80" priority="1" stopIfTrue="1">
      <formula>REFRESCADO="Completo"</formula>
    </cfRule>
    <cfRule type="expression" dxfId="79" priority="10">
      <formula>REFRESCADO="Incompleto"</formula>
    </cfRule>
  </conditionalFormatting>
  <conditionalFormatting sqref="D11:E11">
    <cfRule type="expression" dxfId="78" priority="6">
      <formula>$D11="NO HAY ALERTAS"</formula>
    </cfRule>
    <cfRule type="expression" dxfId="77" priority="7">
      <formula>$D11="HAY ALERTAS"</formula>
    </cfRule>
  </conditionalFormatting>
  <conditionalFormatting sqref="I6">
    <cfRule type="expression" dxfId="76" priority="2">
      <formula>I6&lt;&gt;TODAY()</formula>
    </cfRule>
  </conditionalFormatting>
  <conditionalFormatting sqref="A13:E14">
    <cfRule type="expression" dxfId="75"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7"/>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0</v>
      </c>
      <c r="C2" t="s">
        <v>264</v>
      </c>
      <c r="D2" s="6">
        <v>1</v>
      </c>
      <c r="E2" s="6" t="s">
        <v>104</v>
      </c>
      <c r="F2" s="6">
        <v>1</v>
      </c>
      <c r="G2" s="26">
        <v>43227.506122685183</v>
      </c>
      <c r="H2" s="26">
        <v>43227.507187499999</v>
      </c>
      <c r="I2" s="25">
        <f>tbl_Fechas_Refrescado[[#This Row],[FIN]]-tbl_Fechas_Refrescado[[#This Row],[INICIO]]</f>
        <v>1.0648148163454607E-3</v>
      </c>
      <c r="J2" s="25"/>
      <c r="K2" s="22">
        <v>91</v>
      </c>
      <c r="L2" s="22">
        <v>0</v>
      </c>
      <c r="M2" s="22">
        <v>459</v>
      </c>
      <c r="N2" s="22">
        <v>398</v>
      </c>
      <c r="O2" s="23">
        <v>27560</v>
      </c>
      <c r="P2" s="23">
        <v>20049</v>
      </c>
      <c r="Q2" s="23">
        <v>0</v>
      </c>
      <c r="V2" s="24"/>
    </row>
    <row r="3" spans="2:22" x14ac:dyDescent="0.25">
      <c r="B3" t="s">
        <v>0</v>
      </c>
      <c r="C3" t="s">
        <v>259</v>
      </c>
      <c r="D3" s="6">
        <v>1</v>
      </c>
      <c r="E3" s="6" t="s">
        <v>104</v>
      </c>
      <c r="F3" s="6">
        <v>1</v>
      </c>
      <c r="G3" s="26">
        <v>43227.503530092596</v>
      </c>
      <c r="H3" s="26">
        <v>43227.505486111113</v>
      </c>
      <c r="I3" s="25">
        <f>tbl_Fechas_Refrescado[[#This Row],[FIN]]-tbl_Fechas_Refrescado[[#This Row],[INICIO]]</f>
        <v>1.9560185173759237E-3</v>
      </c>
      <c r="J3" s="25"/>
      <c r="K3" s="22">
        <v>182</v>
      </c>
      <c r="L3" s="22">
        <v>0</v>
      </c>
      <c r="M3" s="22">
        <v>897</v>
      </c>
      <c r="N3" s="22">
        <v>709</v>
      </c>
      <c r="O3" s="23">
        <v>148724</v>
      </c>
      <c r="P3" s="23">
        <v>171095</v>
      </c>
      <c r="Q3" s="23">
        <v>111512</v>
      </c>
    </row>
    <row r="4" spans="2:22" x14ac:dyDescent="0.25">
      <c r="B4" t="s">
        <v>0</v>
      </c>
      <c r="C4" t="s">
        <v>263</v>
      </c>
      <c r="D4" s="6">
        <v>1</v>
      </c>
      <c r="E4" s="6" t="s">
        <v>104</v>
      </c>
      <c r="F4" s="6">
        <v>1</v>
      </c>
      <c r="G4" s="26">
        <v>43227.500868055555</v>
      </c>
      <c r="H4" s="26">
        <v>43227.502870370372</v>
      </c>
      <c r="I4" s="25">
        <f>tbl_Fechas_Refrescado[[#This Row],[FIN]]-tbl_Fechas_Refrescado[[#This Row],[INICIO]]</f>
        <v>2.0023148172185756E-3</v>
      </c>
      <c r="J4" s="25"/>
      <c r="K4" s="22">
        <v>188</v>
      </c>
      <c r="L4" s="22">
        <v>0</v>
      </c>
      <c r="M4" s="22">
        <v>1282</v>
      </c>
      <c r="N4" s="22">
        <v>1173</v>
      </c>
      <c r="O4" s="23">
        <v>100299</v>
      </c>
      <c r="P4" s="23">
        <v>121273</v>
      </c>
      <c r="Q4" s="23">
        <v>48345</v>
      </c>
    </row>
    <row r="5" spans="2:22" x14ac:dyDescent="0.25">
      <c r="B5" t="s">
        <v>0</v>
      </c>
      <c r="C5" t="s">
        <v>252</v>
      </c>
      <c r="D5" s="6">
        <v>1</v>
      </c>
      <c r="E5" s="6" t="s">
        <v>104</v>
      </c>
      <c r="F5" s="6">
        <v>1</v>
      </c>
      <c r="G5" s="26">
        <v>43227.499282407407</v>
      </c>
      <c r="H5" s="26">
        <v>43227.500428240739</v>
      </c>
      <c r="I5" s="25">
        <f>tbl_Fechas_Refrescado[[#This Row],[FIN]]-tbl_Fechas_Refrescado[[#This Row],[INICIO]]</f>
        <v>1.1458333319751546E-3</v>
      </c>
      <c r="J5" s="25"/>
      <c r="K5" s="22">
        <v>161</v>
      </c>
      <c r="L5" s="22">
        <v>0</v>
      </c>
      <c r="M5" s="22">
        <v>57</v>
      </c>
      <c r="N5" s="22">
        <v>45</v>
      </c>
      <c r="O5" s="23">
        <v>870941</v>
      </c>
      <c r="P5" s="23">
        <v>292170</v>
      </c>
      <c r="Q5" s="23">
        <v>209148</v>
      </c>
    </row>
    <row r="6" spans="2:22" x14ac:dyDescent="0.25">
      <c r="B6" t="s">
        <v>0</v>
      </c>
      <c r="C6" t="s">
        <v>262</v>
      </c>
      <c r="D6" s="6">
        <v>1</v>
      </c>
      <c r="E6" s="6" t="s">
        <v>104</v>
      </c>
      <c r="F6" s="6">
        <v>1</v>
      </c>
      <c r="G6" s="26">
        <v>43227.498067129629</v>
      </c>
      <c r="H6" s="26">
        <v>43227.498900462961</v>
      </c>
      <c r="I6" s="25">
        <f>tbl_Fechas_Refrescado[[#This Row],[FIN]]-tbl_Fechas_Refrescado[[#This Row],[INICIO]]</f>
        <v>8.3333333168411627E-4</v>
      </c>
      <c r="J6" s="25"/>
      <c r="K6" s="22">
        <v>535</v>
      </c>
      <c r="L6" s="22">
        <v>0</v>
      </c>
      <c r="M6" s="22">
        <v>112</v>
      </c>
      <c r="N6" s="22">
        <v>100</v>
      </c>
      <c r="O6" s="23">
        <v>229695</v>
      </c>
      <c r="P6" s="23">
        <v>89108</v>
      </c>
      <c r="Q6" s="23">
        <v>67472</v>
      </c>
    </row>
    <row r="7" spans="2:22" x14ac:dyDescent="0.25">
      <c r="B7" t="s">
        <v>105</v>
      </c>
      <c r="C7" s="6">
        <f>SUBTOTAL(103,tbl_Fechas_Refrescado[HOJA CB])</f>
        <v>5</v>
      </c>
      <c r="D7" s="6"/>
      <c r="E7" s="6"/>
      <c r="F7" s="6"/>
      <c r="G7" s="26">
        <f>SUBTOTAL(105,tbl_Fechas_Refrescado[INICIO])</f>
        <v>43227.498067129629</v>
      </c>
      <c r="H7" s="26">
        <f>SUBTOTAL(104,tbl_Fechas_Refrescado[FIN])</f>
        <v>43227.507187499999</v>
      </c>
      <c r="I7" s="25">
        <f>SUBTOTAL(109,tbl_Fechas_Refrescado[DURACIÓN])</f>
        <v>7.0023148145992309E-3</v>
      </c>
      <c r="J7" s="25"/>
      <c r="K7" s="6">
        <f>SUBTOTAL(104,tbl_Fechas_Refrescado[DIAS PERIODO])</f>
        <v>535</v>
      </c>
      <c r="L7" s="6">
        <f>SUBTOTAL(109,tbl_Fechas_Refrescado[DUPLICADOS])</f>
        <v>0</v>
      </c>
      <c r="M7" s="6">
        <f>SUBTOTAL(109,tbl_Fechas_Refrescado[SKUs Totales])</f>
        <v>2807</v>
      </c>
      <c r="N7" s="6">
        <f>SUBTOTAL(109,tbl_Fechas_Refrescado[SKUs Buffer])</f>
        <v>2425</v>
      </c>
      <c r="O7" s="23">
        <f>SUBTOTAL(109,tbl_Fechas_Refrescado[COSTO BUFFER])</f>
        <v>1377219</v>
      </c>
      <c r="P7" s="23">
        <f>SUBTOTAL(109,tbl_Fechas_Refrescado[COSTO FISICO])</f>
        <v>693695</v>
      </c>
      <c r="Q7" s="23">
        <f>SUBTOTAL(109,tbl_Fechas_Refrescado[COSTO TRANSITO])</f>
        <v>436477</v>
      </c>
    </row>
  </sheetData>
  <sheetProtection sort="0" autoFilter="0"/>
  <conditionalFormatting sqref="B2:Q6">
    <cfRule type="expression" dxfId="73" priority="2">
      <formula>$L2&lt;&gt;0</formula>
    </cfRule>
    <cfRule type="expression" dxfId="72" priority="3">
      <formula>OR(AND($D2=1,(DATE(YEAR($H2),MONTH($H2),DAY($H2)))&lt;&gt;TODAY()),$D2=0,$F2=0)</formula>
    </cfRule>
  </conditionalFormatting>
  <conditionalFormatting sqref="E2:F6">
    <cfRule type="expression" dxfId="7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40" priority="5">
      <formula>ISBLANK(A2)</formula>
    </cfRule>
  </conditionalFormatting>
  <conditionalFormatting sqref="A2">
    <cfRule type="expression" dxfId="3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38" priority="1">
      <formula>ISBLANK(A2)</formula>
    </cfRule>
  </conditionalFormatting>
  <conditionalFormatting sqref="A2:A20">
    <cfRule type="duplicateValues" dxfId="37" priority="49"/>
    <cfRule type="duplicateValues" dxfId="36" priority="50"/>
    <cfRule type="duplicateValues" dxfId="3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32" priority="2">
      <formula>ISBLANK(A2)</formula>
    </cfRule>
  </conditionalFormatting>
  <conditionalFormatting sqref="A2">
    <cfRule type="duplicateValues" dxfId="31" priority="101"/>
    <cfRule type="duplicateValues" dxfId="30" priority="102"/>
    <cfRule type="duplicateValues" dxfId="29" priority="103"/>
    <cfRule type="duplicateValues" dxfId="28" priority="104"/>
  </conditionalFormatting>
  <conditionalFormatting sqref="B2">
    <cfRule type="expression" dxfId="27"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3"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198</v>
      </c>
      <c r="C2" t="s">
        <v>199</v>
      </c>
      <c r="D2">
        <v>1</v>
      </c>
    </row>
    <row r="3" spans="1:4" x14ac:dyDescent="0.25">
      <c r="A3" t="s">
        <v>0</v>
      </c>
      <c r="B3" t="s">
        <v>200</v>
      </c>
      <c r="C3" t="s">
        <v>199</v>
      </c>
      <c r="D3">
        <v>1</v>
      </c>
    </row>
    <row r="4" spans="1:4" x14ac:dyDescent="0.25">
      <c r="A4" t="s">
        <v>0</v>
      </c>
      <c r="B4" t="s">
        <v>201</v>
      </c>
      <c r="C4" t="s">
        <v>199</v>
      </c>
      <c r="D4">
        <v>1</v>
      </c>
    </row>
    <row r="5" spans="1:4" x14ac:dyDescent="0.25">
      <c r="A5" t="s">
        <v>0</v>
      </c>
      <c r="B5" t="s">
        <v>201</v>
      </c>
      <c r="C5" t="s">
        <v>202</v>
      </c>
      <c r="D5">
        <v>2</v>
      </c>
    </row>
    <row r="6" spans="1:4" x14ac:dyDescent="0.25">
      <c r="A6" t="s">
        <v>0</v>
      </c>
      <c r="B6" t="s">
        <v>203</v>
      </c>
      <c r="C6" t="s">
        <v>199</v>
      </c>
      <c r="D6">
        <v>1</v>
      </c>
    </row>
    <row r="7" spans="1:4" x14ac:dyDescent="0.25">
      <c r="A7" t="s">
        <v>0</v>
      </c>
      <c r="B7" t="s">
        <v>203</v>
      </c>
      <c r="C7" t="s">
        <v>202</v>
      </c>
      <c r="D7">
        <v>2</v>
      </c>
    </row>
    <row r="8" spans="1:4" x14ac:dyDescent="0.25">
      <c r="A8" t="s">
        <v>0</v>
      </c>
      <c r="B8" t="s">
        <v>203</v>
      </c>
      <c r="C8" t="s">
        <v>204</v>
      </c>
      <c r="D8">
        <v>4</v>
      </c>
    </row>
    <row r="9" spans="1:4" x14ac:dyDescent="0.25">
      <c r="A9" t="s">
        <v>0</v>
      </c>
      <c r="B9" t="s">
        <v>205</v>
      </c>
      <c r="C9" t="s">
        <v>199</v>
      </c>
      <c r="D9">
        <v>1</v>
      </c>
    </row>
    <row r="10" spans="1:4" x14ac:dyDescent="0.25">
      <c r="A10" t="s">
        <v>0</v>
      </c>
      <c r="B10" t="s">
        <v>206</v>
      </c>
      <c r="C10" t="s">
        <v>199</v>
      </c>
      <c r="D10">
        <v>1</v>
      </c>
    </row>
    <row r="11" spans="1:4" x14ac:dyDescent="0.25">
      <c r="A11" t="s">
        <v>0</v>
      </c>
      <c r="B11" t="s">
        <v>207</v>
      </c>
      <c r="C11" t="s">
        <v>199</v>
      </c>
      <c r="D11">
        <v>1</v>
      </c>
    </row>
    <row r="12" spans="1:4" x14ac:dyDescent="0.25">
      <c r="A12" t="s">
        <v>0</v>
      </c>
      <c r="B12" t="s">
        <v>207</v>
      </c>
      <c r="C12" t="s">
        <v>204</v>
      </c>
      <c r="D12">
        <v>9</v>
      </c>
    </row>
    <row r="13" spans="1:4" x14ac:dyDescent="0.25">
      <c r="A13" t="s">
        <v>0</v>
      </c>
      <c r="B13" t="s">
        <v>208</v>
      </c>
      <c r="C13" t="s">
        <v>199</v>
      </c>
      <c r="D13">
        <v>1</v>
      </c>
    </row>
    <row r="14" spans="1:4" x14ac:dyDescent="0.25">
      <c r="A14" t="s">
        <v>0</v>
      </c>
      <c r="B14" t="s">
        <v>209</v>
      </c>
      <c r="C14" t="s">
        <v>199</v>
      </c>
      <c r="D14">
        <v>1</v>
      </c>
    </row>
    <row r="15" spans="1:4" x14ac:dyDescent="0.25">
      <c r="A15" t="s">
        <v>0</v>
      </c>
      <c r="B15" t="s">
        <v>210</v>
      </c>
      <c r="C15" t="s">
        <v>199</v>
      </c>
      <c r="D15">
        <v>1</v>
      </c>
    </row>
    <row r="16" spans="1:4" x14ac:dyDescent="0.25">
      <c r="A16" t="s">
        <v>0</v>
      </c>
      <c r="B16" t="s">
        <v>210</v>
      </c>
      <c r="C16" t="s">
        <v>204</v>
      </c>
      <c r="D16">
        <v>2</v>
      </c>
    </row>
    <row r="17" spans="1:4" x14ac:dyDescent="0.25">
      <c r="A17" t="s">
        <v>0</v>
      </c>
      <c r="B17" t="s">
        <v>204</v>
      </c>
      <c r="C17" t="s">
        <v>211</v>
      </c>
      <c r="D17">
        <v>1</v>
      </c>
    </row>
    <row r="18" spans="1:4" x14ac:dyDescent="0.25">
      <c r="A18" t="s">
        <v>0</v>
      </c>
      <c r="B18" t="s">
        <v>204</v>
      </c>
      <c r="C18" t="s">
        <v>212</v>
      </c>
      <c r="D18">
        <v>2</v>
      </c>
    </row>
    <row r="19" spans="1:4" x14ac:dyDescent="0.25">
      <c r="A19" t="s">
        <v>0</v>
      </c>
      <c r="B19" t="s">
        <v>204</v>
      </c>
      <c r="C19" t="s">
        <v>213</v>
      </c>
      <c r="D19">
        <v>3</v>
      </c>
    </row>
    <row r="20" spans="1:4" x14ac:dyDescent="0.25">
      <c r="A20" t="s">
        <v>0</v>
      </c>
      <c r="B20" t="s">
        <v>204</v>
      </c>
      <c r="C20" t="s">
        <v>214</v>
      </c>
      <c r="D20">
        <v>4</v>
      </c>
    </row>
    <row r="21" spans="1:4" x14ac:dyDescent="0.25">
      <c r="A21" t="s">
        <v>0</v>
      </c>
      <c r="B21" t="s">
        <v>204</v>
      </c>
      <c r="C21" t="s">
        <v>215</v>
      </c>
      <c r="D21">
        <v>5</v>
      </c>
    </row>
    <row r="22" spans="1:4" x14ac:dyDescent="0.25">
      <c r="A22" t="s">
        <v>0</v>
      </c>
      <c r="B22" t="s">
        <v>204</v>
      </c>
      <c r="C22" t="s">
        <v>216</v>
      </c>
      <c r="D22">
        <v>6</v>
      </c>
    </row>
    <row r="23" spans="1:4" x14ac:dyDescent="0.25">
      <c r="A23" t="s">
        <v>0</v>
      </c>
      <c r="B23" t="s">
        <v>204</v>
      </c>
      <c r="C23" t="s">
        <v>217</v>
      </c>
      <c r="D23">
        <v>7</v>
      </c>
    </row>
    <row r="24" spans="1:4" x14ac:dyDescent="0.25">
      <c r="A24" t="s">
        <v>0</v>
      </c>
      <c r="B24" t="s">
        <v>199</v>
      </c>
      <c r="C24" t="s">
        <v>211</v>
      </c>
      <c r="D24">
        <v>1</v>
      </c>
    </row>
    <row r="25" spans="1:4" x14ac:dyDescent="0.25">
      <c r="A25" t="s">
        <v>0</v>
      </c>
      <c r="B25" t="s">
        <v>199</v>
      </c>
      <c r="C25" t="s">
        <v>218</v>
      </c>
      <c r="D25">
        <v>2</v>
      </c>
    </row>
    <row r="26" spans="1:4" x14ac:dyDescent="0.25">
      <c r="A26" t="s">
        <v>0</v>
      </c>
      <c r="B26" t="s">
        <v>199</v>
      </c>
      <c r="C26" t="s">
        <v>212</v>
      </c>
      <c r="D26">
        <v>3</v>
      </c>
    </row>
    <row r="27" spans="1:4" x14ac:dyDescent="0.25">
      <c r="A27" t="s">
        <v>0</v>
      </c>
      <c r="B27" t="s">
        <v>199</v>
      </c>
      <c r="C27" t="s">
        <v>213</v>
      </c>
      <c r="D27">
        <v>4</v>
      </c>
    </row>
    <row r="28" spans="1:4" x14ac:dyDescent="0.25">
      <c r="A28" t="s">
        <v>0</v>
      </c>
      <c r="B28" t="s">
        <v>199</v>
      </c>
      <c r="C28" t="s">
        <v>216</v>
      </c>
      <c r="D28">
        <v>5</v>
      </c>
    </row>
    <row r="29" spans="1:4" x14ac:dyDescent="0.25">
      <c r="A29" t="s">
        <v>0</v>
      </c>
      <c r="B29" t="s">
        <v>199</v>
      </c>
      <c r="C29" t="s">
        <v>215</v>
      </c>
      <c r="D29">
        <v>6</v>
      </c>
    </row>
    <row r="30" spans="1:4" x14ac:dyDescent="0.25">
      <c r="A30" t="s">
        <v>0</v>
      </c>
      <c r="B30" t="s">
        <v>199</v>
      </c>
      <c r="C30" t="s">
        <v>214</v>
      </c>
      <c r="D30">
        <v>7</v>
      </c>
    </row>
    <row r="31" spans="1:4" x14ac:dyDescent="0.25">
      <c r="A31" t="s">
        <v>0</v>
      </c>
      <c r="B31" t="s">
        <v>199</v>
      </c>
      <c r="C31" t="s">
        <v>217</v>
      </c>
      <c r="D31">
        <v>8</v>
      </c>
    </row>
    <row r="32" spans="1:4" x14ac:dyDescent="0.25">
      <c r="A32" t="s">
        <v>0</v>
      </c>
      <c r="B32" t="s">
        <v>199</v>
      </c>
      <c r="C32" t="s">
        <v>219</v>
      </c>
      <c r="D32">
        <v>9</v>
      </c>
    </row>
    <row r="33" spans="1:4" x14ac:dyDescent="0.25">
      <c r="A33" t="s">
        <v>0</v>
      </c>
      <c r="B33" t="s">
        <v>199</v>
      </c>
      <c r="C33" t="s">
        <v>220</v>
      </c>
      <c r="D33">
        <v>10</v>
      </c>
    </row>
    <row r="34" spans="1:4" x14ac:dyDescent="0.25">
      <c r="A34" t="s">
        <v>0</v>
      </c>
      <c r="B34" t="s">
        <v>199</v>
      </c>
      <c r="C34" t="s">
        <v>221</v>
      </c>
      <c r="D34">
        <v>11</v>
      </c>
    </row>
    <row r="35" spans="1:4" x14ac:dyDescent="0.25">
      <c r="A35" t="s">
        <v>0</v>
      </c>
      <c r="B35" t="s">
        <v>199</v>
      </c>
      <c r="C35" t="s">
        <v>222</v>
      </c>
      <c r="D35">
        <v>12</v>
      </c>
    </row>
    <row r="36" spans="1:4" x14ac:dyDescent="0.25">
      <c r="A36" t="s">
        <v>0</v>
      </c>
      <c r="B36" t="s">
        <v>199</v>
      </c>
      <c r="C36" t="s">
        <v>223</v>
      </c>
      <c r="D36">
        <v>13</v>
      </c>
    </row>
    <row r="37" spans="1:4" x14ac:dyDescent="0.25">
      <c r="A37" t="s">
        <v>0</v>
      </c>
      <c r="B37" t="s">
        <v>199</v>
      </c>
      <c r="C37" t="s">
        <v>224</v>
      </c>
      <c r="D37">
        <v>14</v>
      </c>
    </row>
    <row r="38" spans="1:4" x14ac:dyDescent="0.25">
      <c r="A38" t="s">
        <v>0</v>
      </c>
      <c r="B38" t="s">
        <v>199</v>
      </c>
      <c r="C38" t="s">
        <v>225</v>
      </c>
      <c r="D38">
        <v>15</v>
      </c>
    </row>
    <row r="39" spans="1:4" x14ac:dyDescent="0.25">
      <c r="A39" t="s">
        <v>0</v>
      </c>
      <c r="B39" t="s">
        <v>199</v>
      </c>
      <c r="C39" t="s">
        <v>226</v>
      </c>
      <c r="D39">
        <v>16</v>
      </c>
    </row>
    <row r="40" spans="1:4" x14ac:dyDescent="0.25">
      <c r="A40" t="s">
        <v>0</v>
      </c>
      <c r="B40" t="s">
        <v>199</v>
      </c>
      <c r="C40" t="s">
        <v>227</v>
      </c>
      <c r="D40">
        <v>18</v>
      </c>
    </row>
    <row r="41" spans="1:4" x14ac:dyDescent="0.25">
      <c r="A41" t="s">
        <v>0</v>
      </c>
      <c r="B41" t="s">
        <v>199</v>
      </c>
      <c r="C41" t="s">
        <v>228</v>
      </c>
      <c r="D41">
        <v>19</v>
      </c>
    </row>
    <row r="42" spans="1:4" x14ac:dyDescent="0.25">
      <c r="A42" t="s">
        <v>0</v>
      </c>
      <c r="B42" t="s">
        <v>202</v>
      </c>
      <c r="C42" t="s">
        <v>211</v>
      </c>
      <c r="D42">
        <v>1</v>
      </c>
    </row>
    <row r="43" spans="1:4" x14ac:dyDescent="0.25">
      <c r="A43" t="s">
        <v>0</v>
      </c>
      <c r="B43" t="s">
        <v>202</v>
      </c>
      <c r="C43" t="s">
        <v>212</v>
      </c>
      <c r="D43">
        <v>2</v>
      </c>
    </row>
    <row r="44" spans="1:4" x14ac:dyDescent="0.25">
      <c r="A44" t="s">
        <v>0</v>
      </c>
      <c r="B44" t="s">
        <v>202</v>
      </c>
      <c r="C44" t="s">
        <v>214</v>
      </c>
      <c r="D44">
        <v>3</v>
      </c>
    </row>
    <row r="45" spans="1:4" x14ac:dyDescent="0.25">
      <c r="A45" t="s">
        <v>0</v>
      </c>
      <c r="B45" t="s">
        <v>202</v>
      </c>
      <c r="C45" t="s">
        <v>213</v>
      </c>
      <c r="D45">
        <v>4</v>
      </c>
    </row>
    <row r="46" spans="1:4" x14ac:dyDescent="0.25">
      <c r="A46" t="s">
        <v>0</v>
      </c>
      <c r="B46" t="s">
        <v>202</v>
      </c>
      <c r="C46" t="s">
        <v>215</v>
      </c>
      <c r="D46">
        <v>5</v>
      </c>
    </row>
    <row r="47" spans="1:4" x14ac:dyDescent="0.25">
      <c r="A47" t="s">
        <v>0</v>
      </c>
      <c r="B47" t="s">
        <v>202</v>
      </c>
      <c r="C47" t="s">
        <v>216</v>
      </c>
      <c r="D47">
        <v>6</v>
      </c>
    </row>
    <row r="48" spans="1:4" x14ac:dyDescent="0.25">
      <c r="A48" t="s">
        <v>0</v>
      </c>
      <c r="B48" t="s">
        <v>202</v>
      </c>
      <c r="C48" t="s">
        <v>229</v>
      </c>
      <c r="D48">
        <v>7</v>
      </c>
    </row>
    <row r="49" spans="1:4" x14ac:dyDescent="0.25">
      <c r="A49" t="s">
        <v>0</v>
      </c>
      <c r="B49" t="s">
        <v>202</v>
      </c>
      <c r="C49" t="s">
        <v>230</v>
      </c>
      <c r="D49">
        <v>8</v>
      </c>
    </row>
    <row r="50" spans="1:4" x14ac:dyDescent="0.25">
      <c r="A50" t="s">
        <v>0</v>
      </c>
      <c r="B50" t="s">
        <v>202</v>
      </c>
      <c r="C50" t="s">
        <v>231</v>
      </c>
      <c r="D50">
        <v>9</v>
      </c>
    </row>
    <row r="51" spans="1:4" x14ac:dyDescent="0.25">
      <c r="A51" t="s">
        <v>0</v>
      </c>
      <c r="B51" t="s">
        <v>223</v>
      </c>
      <c r="C51" t="s">
        <v>230</v>
      </c>
      <c r="D51">
        <v>1</v>
      </c>
    </row>
    <row r="52" spans="1:4" x14ac:dyDescent="0.25">
      <c r="A52" t="s">
        <v>0</v>
      </c>
      <c r="B52" t="s">
        <v>232</v>
      </c>
      <c r="C52" t="s">
        <v>199</v>
      </c>
      <c r="D52">
        <v>4</v>
      </c>
    </row>
    <row r="53" spans="1:4" x14ac:dyDescent="0.25">
      <c r="A53" t="s">
        <v>0</v>
      </c>
      <c r="B53" t="s">
        <v>233</v>
      </c>
      <c r="C53" t="s">
        <v>199</v>
      </c>
      <c r="D53">
        <v>4</v>
      </c>
    </row>
    <row r="54" spans="1:4" x14ac:dyDescent="0.25">
      <c r="A54" t="s">
        <v>0</v>
      </c>
      <c r="B54" t="s">
        <v>234</v>
      </c>
      <c r="C54" t="s">
        <v>199</v>
      </c>
      <c r="D54">
        <v>4</v>
      </c>
    </row>
    <row r="55" spans="1:4" x14ac:dyDescent="0.25">
      <c r="A55" t="s">
        <v>0</v>
      </c>
      <c r="B55" t="s">
        <v>235</v>
      </c>
      <c r="C55" t="s">
        <v>231</v>
      </c>
      <c r="D55">
        <v>2</v>
      </c>
    </row>
    <row r="56" spans="1:4" x14ac:dyDescent="0.25">
      <c r="A56" t="s">
        <v>0</v>
      </c>
      <c r="B56" t="s">
        <v>235</v>
      </c>
      <c r="C56" t="s">
        <v>230</v>
      </c>
      <c r="D56">
        <v>5</v>
      </c>
    </row>
    <row r="57" spans="1:4" x14ac:dyDescent="0.25">
      <c r="A57" t="s">
        <v>0</v>
      </c>
      <c r="B57" t="s">
        <v>235</v>
      </c>
      <c r="C57" t="s">
        <v>223</v>
      </c>
      <c r="D57">
        <v>7</v>
      </c>
    </row>
    <row r="58" spans="1:4" x14ac:dyDescent="0.25">
      <c r="A58" t="s">
        <v>0</v>
      </c>
      <c r="B58" t="s">
        <v>236</v>
      </c>
      <c r="C58" t="s">
        <v>199</v>
      </c>
      <c r="D58">
        <v>1</v>
      </c>
    </row>
    <row r="59" spans="1:4" x14ac:dyDescent="0.25">
      <c r="A59" t="s">
        <v>0</v>
      </c>
      <c r="B59" t="s">
        <v>237</v>
      </c>
      <c r="C59" t="s">
        <v>199</v>
      </c>
      <c r="D59">
        <v>4</v>
      </c>
    </row>
    <row r="60" spans="1:4" x14ac:dyDescent="0.25">
      <c r="A60" t="s">
        <v>0</v>
      </c>
      <c r="B60" t="s">
        <v>238</v>
      </c>
      <c r="C60" t="s">
        <v>199</v>
      </c>
      <c r="D60">
        <v>1</v>
      </c>
    </row>
    <row r="61" spans="1:4" x14ac:dyDescent="0.25">
      <c r="A61" t="s">
        <v>0</v>
      </c>
      <c r="B61" t="s">
        <v>239</v>
      </c>
      <c r="C61" t="s">
        <v>199</v>
      </c>
      <c r="D61">
        <v>1</v>
      </c>
    </row>
    <row r="62" spans="1:4" x14ac:dyDescent="0.25">
      <c r="A62" t="s">
        <v>0</v>
      </c>
      <c r="B62" t="s">
        <v>240</v>
      </c>
      <c r="C62" t="s">
        <v>199</v>
      </c>
      <c r="D62">
        <v>1</v>
      </c>
    </row>
    <row r="63" spans="1:4" x14ac:dyDescent="0.25">
      <c r="A63" t="s">
        <v>0</v>
      </c>
      <c r="B63" t="s">
        <v>241</v>
      </c>
      <c r="C63" t="s">
        <v>199</v>
      </c>
      <c r="D63">
        <v>2</v>
      </c>
    </row>
    <row r="64" spans="1:4" x14ac:dyDescent="0.25">
      <c r="A64" t="s">
        <v>0</v>
      </c>
      <c r="B64" t="s">
        <v>242</v>
      </c>
      <c r="C64" t="s">
        <v>199</v>
      </c>
      <c r="D64">
        <v>1</v>
      </c>
    </row>
    <row r="65" spans="1:4" x14ac:dyDescent="0.25">
      <c r="A65" t="s">
        <v>0</v>
      </c>
      <c r="B65" t="s">
        <v>231</v>
      </c>
      <c r="C65" t="s">
        <v>230</v>
      </c>
      <c r="D65">
        <v>1</v>
      </c>
    </row>
    <row r="66" spans="1:4" x14ac:dyDescent="0.25">
      <c r="A66" t="s">
        <v>0</v>
      </c>
      <c r="B66" t="s">
        <v>231</v>
      </c>
      <c r="C66" t="s">
        <v>218</v>
      </c>
      <c r="D66">
        <v>2</v>
      </c>
    </row>
    <row r="67" spans="1:4" x14ac:dyDescent="0.25">
      <c r="A67" t="s">
        <v>0</v>
      </c>
      <c r="B67" t="s">
        <v>231</v>
      </c>
      <c r="C67" t="s">
        <v>229</v>
      </c>
      <c r="D67">
        <v>3</v>
      </c>
    </row>
    <row r="68" spans="1:4" x14ac:dyDescent="0.25">
      <c r="A68" t="s">
        <v>0</v>
      </c>
      <c r="B68" t="s">
        <v>231</v>
      </c>
      <c r="C68" t="s">
        <v>243</v>
      </c>
      <c r="D68">
        <v>4</v>
      </c>
    </row>
    <row r="69" spans="1:4" x14ac:dyDescent="0.25">
      <c r="A69" t="s">
        <v>0</v>
      </c>
      <c r="B69" t="s">
        <v>231</v>
      </c>
      <c r="C69" t="s">
        <v>244</v>
      </c>
      <c r="D69">
        <v>5</v>
      </c>
    </row>
    <row r="70" spans="1:4" x14ac:dyDescent="0.25">
      <c r="A70" t="s">
        <v>0</v>
      </c>
      <c r="B70" t="s">
        <v>231</v>
      </c>
      <c r="C70" t="s">
        <v>245</v>
      </c>
      <c r="D70">
        <v>6</v>
      </c>
    </row>
    <row r="71" spans="1:4" x14ac:dyDescent="0.25">
      <c r="A71" t="s">
        <v>0</v>
      </c>
      <c r="B71" t="s">
        <v>231</v>
      </c>
      <c r="C71" t="s">
        <v>246</v>
      </c>
      <c r="D71">
        <v>7</v>
      </c>
    </row>
    <row r="72" spans="1:4" x14ac:dyDescent="0.25">
      <c r="A72" t="s">
        <v>0</v>
      </c>
      <c r="B72" t="s">
        <v>231</v>
      </c>
      <c r="C72" t="s">
        <v>223</v>
      </c>
      <c r="D72">
        <v>8</v>
      </c>
    </row>
    <row r="73" spans="1:4" x14ac:dyDescent="0.25">
      <c r="A73" t="s">
        <v>0</v>
      </c>
      <c r="B73" t="s">
        <v>231</v>
      </c>
      <c r="C73" t="s">
        <v>235</v>
      </c>
      <c r="D73">
        <v>11</v>
      </c>
    </row>
    <row r="74" spans="1:4" x14ac:dyDescent="0.25">
      <c r="A74" t="s">
        <v>0</v>
      </c>
      <c r="B74" t="s">
        <v>247</v>
      </c>
      <c r="C74" t="s">
        <v>231</v>
      </c>
      <c r="D74">
        <v>1</v>
      </c>
    </row>
    <row r="75" spans="1:4" x14ac:dyDescent="0.25">
      <c r="A75" t="s">
        <v>0</v>
      </c>
      <c r="B75" t="s">
        <v>247</v>
      </c>
      <c r="C75" t="s">
        <v>248</v>
      </c>
      <c r="D75">
        <v>3</v>
      </c>
    </row>
    <row r="76" spans="1:4" x14ac:dyDescent="0.25">
      <c r="A76" t="s">
        <v>0</v>
      </c>
      <c r="B76" t="s">
        <v>247</v>
      </c>
      <c r="C76" t="s">
        <v>249</v>
      </c>
      <c r="D76">
        <v>4</v>
      </c>
    </row>
    <row r="77" spans="1:4" x14ac:dyDescent="0.25">
      <c r="A77" t="s">
        <v>0</v>
      </c>
      <c r="B77" t="s">
        <v>247</v>
      </c>
      <c r="C77" t="s">
        <v>245</v>
      </c>
      <c r="D77">
        <v>5</v>
      </c>
    </row>
    <row r="78" spans="1:4" x14ac:dyDescent="0.25">
      <c r="A78" t="s">
        <v>0</v>
      </c>
      <c r="B78" t="s">
        <v>247</v>
      </c>
      <c r="C78" t="s">
        <v>202</v>
      </c>
      <c r="D78">
        <v>6</v>
      </c>
    </row>
    <row r="79" spans="1:4" x14ac:dyDescent="0.25">
      <c r="A79" t="s">
        <v>0</v>
      </c>
      <c r="B79" t="s">
        <v>247</v>
      </c>
      <c r="C79" t="s">
        <v>214</v>
      </c>
      <c r="D79">
        <v>9</v>
      </c>
    </row>
    <row r="80" spans="1:4" x14ac:dyDescent="0.25">
      <c r="A80" t="s">
        <v>0</v>
      </c>
      <c r="B80" t="s">
        <v>247</v>
      </c>
      <c r="C80" t="s">
        <v>250</v>
      </c>
      <c r="D80">
        <v>15</v>
      </c>
    </row>
    <row r="81" spans="1:4" x14ac:dyDescent="0.25">
      <c r="A81" t="s">
        <v>28</v>
      </c>
      <c r="B81" t="s">
        <v>251</v>
      </c>
      <c r="C81" t="s">
        <v>199</v>
      </c>
      <c r="D81">
        <v>1</v>
      </c>
    </row>
  </sheetData>
  <conditionalFormatting sqref="A2:D81">
    <cfRule type="expression" dxfId="15" priority="2">
      <formula>ISBLANK(A2)</formula>
    </cfRule>
  </conditionalFormatting>
  <conditionalFormatting sqref="A2:A81">
    <cfRule type="expression" dxfId="14" priority="2705">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-1377</v>
      </c>
    </row>
    <row r="4" spans="1:3" x14ac:dyDescent="0.25">
      <c r="A4" s="1" t="s">
        <v>75</v>
      </c>
      <c r="B4" s="16">
        <v>41866</v>
      </c>
      <c r="C4" s="7">
        <f ca="1">Tabla_DIAS_RESTANTES[[#This Row],[FIN PERÍODO]]-TODAY()</f>
        <v>-1363</v>
      </c>
    </row>
    <row r="5" spans="1:3" x14ac:dyDescent="0.25">
      <c r="A5" s="1" t="s">
        <v>77</v>
      </c>
      <c r="B5" s="16">
        <v>41866</v>
      </c>
      <c r="C5" s="7">
        <f ca="1">Tabla_DIAS_RESTANTES[[#This Row],[FIN PERÍODO]]-TODAY()</f>
        <v>-1363</v>
      </c>
    </row>
    <row r="6" spans="1:3" x14ac:dyDescent="0.25">
      <c r="A6" s="1" t="s">
        <v>72</v>
      </c>
      <c r="B6" s="16">
        <v>41873</v>
      </c>
      <c r="C6" s="7">
        <f ca="1">Tabla_DIAS_RESTANTES[[#This Row],[FIN PERÍODO]]-TODAY()</f>
        <v>-1356</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43227.876400462963</v>
      </c>
    </row>
    <row r="2" spans="1:2" x14ac:dyDescent="0.25">
      <c r="A2" t="s">
        <v>66</v>
      </c>
      <c r="B2" s="17">
        <v>43227.507372685184</v>
      </c>
    </row>
    <row r="4" spans="1:2" x14ac:dyDescent="0.25">
      <c r="A4" t="s">
        <v>67</v>
      </c>
      <c r="B4" s="18" t="str">
        <f>IF((FINREFRESCADO-INICIOREFRESCADO)&gt;0,FINREFRESCADO-INICIOREFRESCADO,"")</f>
        <v/>
      </c>
    </row>
    <row r="6" spans="1:2" x14ac:dyDescent="0.25">
      <c r="A6" t="s">
        <v>125</v>
      </c>
      <c r="B6" t="s">
        <v>269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E7"/>
  <sheetViews>
    <sheetView showGridLines="0" workbookViewId="0">
      <selection activeCell="F1" sqref="F1"/>
    </sheetView>
  </sheetViews>
  <sheetFormatPr baseColWidth="10" defaultColWidth="11.42578125" defaultRowHeight="15" x14ac:dyDescent="0.25"/>
  <cols>
    <col min="1" max="1" width="25.28515625" bestFit="1" customWidth="1"/>
  </cols>
  <sheetData>
    <row r="1" spans="1:5" ht="38.25" customHeight="1" x14ac:dyDescent="0.25">
      <c r="A1" t="s">
        <v>262</v>
      </c>
      <c r="B1" t="s">
        <v>252</v>
      </c>
      <c r="C1" t="s">
        <v>263</v>
      </c>
      <c r="D1" t="s">
        <v>259</v>
      </c>
      <c r="E1" t="s">
        <v>264</v>
      </c>
    </row>
    <row r="2" spans="1:5" x14ac:dyDescent="0.25">
      <c r="A2" t="s">
        <v>256</v>
      </c>
      <c r="B2" t="s">
        <v>256</v>
      </c>
      <c r="C2" t="s">
        <v>256</v>
      </c>
      <c r="D2" t="s">
        <v>256</v>
      </c>
      <c r="E2" t="s">
        <v>258</v>
      </c>
    </row>
    <row r="3" spans="1:5" x14ac:dyDescent="0.25">
      <c r="A3" t="s">
        <v>258</v>
      </c>
      <c r="B3" t="s">
        <v>258</v>
      </c>
      <c r="C3" t="s">
        <v>258</v>
      </c>
      <c r="D3" t="s">
        <v>258</v>
      </c>
      <c r="E3" t="s">
        <v>254</v>
      </c>
    </row>
    <row r="4" spans="1:5" x14ac:dyDescent="0.25">
      <c r="A4" t="s">
        <v>254</v>
      </c>
      <c r="B4" t="s">
        <v>254</v>
      </c>
      <c r="C4" t="s">
        <v>254</v>
      </c>
      <c r="D4" t="s">
        <v>254</v>
      </c>
      <c r="E4" t="s">
        <v>255</v>
      </c>
    </row>
    <row r="5" spans="1:5" x14ac:dyDescent="0.25">
      <c r="A5" t="s">
        <v>255</v>
      </c>
      <c r="B5" t="s">
        <v>255</v>
      </c>
      <c r="C5" t="s">
        <v>255</v>
      </c>
      <c r="D5" t="s">
        <v>255</v>
      </c>
      <c r="E5" t="s">
        <v>265</v>
      </c>
    </row>
    <row r="6" spans="1:5" x14ac:dyDescent="0.25">
      <c r="A6" t="s">
        <v>260</v>
      </c>
      <c r="B6" t="s">
        <v>257</v>
      </c>
      <c r="C6" t="s">
        <v>260</v>
      </c>
      <c r="D6" t="s">
        <v>260</v>
      </c>
    </row>
    <row r="7" spans="1:5" x14ac:dyDescent="0.25">
      <c r="A7" t="s">
        <v>257</v>
      </c>
      <c r="C7" t="s">
        <v>257</v>
      </c>
      <c r="D7" t="s">
        <v>257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197</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6"/>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262</v>
      </c>
      <c r="C2" t="s">
        <v>266</v>
      </c>
    </row>
    <row r="3" spans="1:3" x14ac:dyDescent="0.25">
      <c r="A3" t="s">
        <v>0</v>
      </c>
      <c r="B3" t="s">
        <v>252</v>
      </c>
      <c r="C3" t="s">
        <v>253</v>
      </c>
    </row>
    <row r="4" spans="1:3" x14ac:dyDescent="0.25">
      <c r="A4" t="s">
        <v>0</v>
      </c>
      <c r="B4" t="s">
        <v>263</v>
      </c>
      <c r="C4" t="s">
        <v>267</v>
      </c>
    </row>
    <row r="5" spans="1:3" x14ac:dyDescent="0.25">
      <c r="A5" t="s">
        <v>0</v>
      </c>
      <c r="B5" t="s">
        <v>259</v>
      </c>
      <c r="C5" t="s">
        <v>261</v>
      </c>
    </row>
    <row r="6" spans="1:3" x14ac:dyDescent="0.25">
      <c r="A6" t="s">
        <v>0</v>
      </c>
      <c r="B6" t="s">
        <v>264</v>
      </c>
      <c r="C6" t="s">
        <v>268</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A0DD0A6-B8BF-4C55-8C95-9B222D41A1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2018-05-09T05:27:54Z</dcterms:modified>
</cp:coreProperties>
</file>