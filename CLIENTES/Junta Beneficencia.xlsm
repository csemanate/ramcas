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s RAMCAS\RAM CAS\MEJORA CONTINUA\CLIENTES\"/>
    </mc:Choice>
  </mc:AlternateContent>
  <bookViews>
    <workbookView xWindow="0" yWindow="0" windowWidth="24000" windowHeight="11025" activeTab="2"/>
  </bookViews>
  <sheets>
    <sheet name="empresa" sheetId="5" r:id="rId1"/>
    <sheet name="bodega" sheetId="1" r:id="rId2"/>
    <sheet name="inventario" sheetId="4" r:id="rId3"/>
  </sheets>
  <definedNames>
    <definedName name="bodega_cod_bodega">bodega[COD_BODEGA]</definedName>
    <definedName name="bodega_cod_empresas">bodega[COD_EMPRESA]</definedName>
    <definedName name="cabecera_cod_bodega">bodega[[#Headers],[COD_BODEGA]]</definedName>
    <definedName name="cod_empresas">empresa[COD_EMPRESA]</definedName>
  </definedNames>
  <calcPr calcId="152511"/>
</workbook>
</file>

<file path=xl/calcChain.xml><?xml version="1.0" encoding="utf-8"?>
<calcChain xmlns="http://schemas.openxmlformats.org/spreadsheetml/2006/main">
  <c r="P3" i="1" l="1"/>
  <c r="P2" i="1"/>
  <c r="P6" i="1"/>
  <c r="P5" i="1"/>
  <c r="O2" i="4" l="1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P4" i="1"/>
</calcChain>
</file>

<file path=xl/sharedStrings.xml><?xml version="1.0" encoding="utf-8"?>
<sst xmlns="http://schemas.openxmlformats.org/spreadsheetml/2006/main" count="93" uniqueCount="45">
  <si>
    <t>COD_EMPRESA</t>
  </si>
  <si>
    <t>NOMBRE</t>
  </si>
  <si>
    <t>ES_ACTIVA</t>
  </si>
  <si>
    <t>ES_PLANTA</t>
  </si>
  <si>
    <t>MANEJA_INVENTARIO</t>
  </si>
  <si>
    <t>TIENE_REPOSICION</t>
  </si>
  <si>
    <t>MANEJA_EXHIBICION</t>
  </si>
  <si>
    <t>TIENE_FACTURACION</t>
  </si>
  <si>
    <t>ES_CONSIGNACION</t>
  </si>
  <si>
    <t>ES_PROVEEDOR</t>
  </si>
  <si>
    <t>TIPO_REPOSICION</t>
  </si>
  <si>
    <t>ES_PROPIA</t>
  </si>
  <si>
    <t>TRANSITO_PROPIO</t>
  </si>
  <si>
    <t>TRANSITO_EXTERNO</t>
  </si>
  <si>
    <t>FECHA_ACTUALIZACION</t>
  </si>
  <si>
    <t>10101R</t>
  </si>
  <si>
    <t>10-602</t>
  </si>
  <si>
    <t>CIENT-01</t>
  </si>
  <si>
    <t>BUFFER_EMPRESA</t>
  </si>
  <si>
    <t>CONSUMO</t>
  </si>
  <si>
    <t>EGRESOS</t>
  </si>
  <si>
    <t>INGRESOS</t>
  </si>
  <si>
    <t>BACKORDER</t>
  </si>
  <si>
    <t>COMPROMETIDO</t>
  </si>
  <si>
    <t>PRODUCCION</t>
  </si>
  <si>
    <t>NEGOCIACION</t>
  </si>
  <si>
    <t>TRANSITO</t>
  </si>
  <si>
    <t>EXISTENCIA</t>
  </si>
  <si>
    <t>COD_PRODUCTO</t>
  </si>
  <si>
    <t>COD_BODEGA</t>
  </si>
  <si>
    <t>EMBARCADO</t>
  </si>
  <si>
    <t>NOMBRE_COMPLETO</t>
  </si>
  <si>
    <t>Junta</t>
  </si>
  <si>
    <t>Junta de Beneficencia</t>
  </si>
  <si>
    <t>Hospital 1</t>
  </si>
  <si>
    <t>Hospital 2</t>
  </si>
  <si>
    <t>JB</t>
  </si>
  <si>
    <t>H1</t>
  </si>
  <si>
    <t>H2</t>
  </si>
  <si>
    <t>H3</t>
  </si>
  <si>
    <t>H4</t>
  </si>
  <si>
    <t>H5</t>
  </si>
  <si>
    <t>Hospital 3</t>
  </si>
  <si>
    <t>Hospital 4</t>
  </si>
  <si>
    <t>Hospital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</si>
</sst>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">
    <xf numFmtId="0" fontId="0" fillId="0" borderId="0" xfId="0"/>
    <xf numFmtId="14" fontId="0" fillId="0" borderId="0" xfId="0" applyNumberFormat="1"/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8" fillId="0" borderId="0" xfId="0" applyFont="1"/>
    <xf numFmtId="0" fontId="13" fillId="0" borderId="10" xfId="0" applyFont="1" applyFill="1" applyBorder="1" applyAlignment="1">
      <alignment horizontal="center"/>
    </xf>
    <xf numFmtId="49" fontId="0" fillId="0" borderId="0" xfId="0" applyNumberFormat="1" applyFont="1" applyFill="1" applyBorder="1" applyAlignment="1">
      <alignment horizontal="center"/>
    </xf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17">
    <dxf>
      <numFmt numFmtId="19" formatCode="dd/mm/yyyy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color theme="0"/>
      </font>
      <fill>
        <patternFill>
          <bgColor rgb="FFFF0000"/>
        </patternFill>
      </fill>
    </dxf>
    <dxf>
      <numFmt numFmtId="19" formatCode="dd/mm/yyyy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theme="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 diagonalUp="0" diagonalDown="0">
        <left/>
        <right/>
        <top style="medium">
          <color theme="1"/>
        </top>
        <bottom style="medium">
          <color theme="1"/>
        </bottom>
      </border>
    </dxf>
    <dxf>
      <numFmt numFmtId="30" formatCode="@"/>
      <fill>
        <patternFill patternType="none">
          <fgColor indexed="64"/>
          <bgColor auto="1"/>
        </patternFill>
      </fill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3" name="empresa" displayName="empresa" ref="A1:C2" totalsRowShown="0" headerRowDxfId="16" dataDxfId="14" headerRowBorderDxfId="15" tableBorderDxfId="13">
  <autoFilter ref="A1:C2"/>
  <sortState ref="A2:C2">
    <sortCondition ref="A1:A2"/>
  </sortState>
  <tableColumns count="3">
    <tableColumn id="1" name="COD_EMPRESA" dataDxfId="12"/>
    <tableColumn id="2" name="NOMBRE" dataDxfId="11"/>
    <tableColumn id="3" name="NOMBRE_COMPLETO" dataDxfId="10"/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id="1" name="bodega" displayName="bodega" ref="A1:P6" totalsRowShown="0" headerRowDxfId="8">
  <autoFilter ref="A1:P6"/>
  <sortState ref="A2:P6">
    <sortCondition ref="A2:A6"/>
    <sortCondition ref="B2:B6"/>
  </sortState>
  <tableColumns count="16">
    <tableColumn id="1" name="COD_EMPRESA" dataDxfId="7"/>
    <tableColumn id="2" name="COD_BODEGA" dataDxfId="6"/>
    <tableColumn id="3" name="NOMBRE"/>
    <tableColumn id="4" name="ES_ACTIVA"/>
    <tableColumn id="5" name="ES_PLANTA"/>
    <tableColumn id="6" name="MANEJA_INVENTARIO"/>
    <tableColumn id="7" name="TIENE_REPOSICION"/>
    <tableColumn id="8" name="MANEJA_EXHIBICION"/>
    <tableColumn id="9" name="TIENE_FACTURACION"/>
    <tableColumn id="10" name="ES_CONSIGNACION"/>
    <tableColumn id="11" name="ES_PROVEEDOR"/>
    <tableColumn id="12" name="TIPO_REPOSICION"/>
    <tableColumn id="13" name="ES_PROPIA"/>
    <tableColumn id="14" name="TRANSITO_PROPIO"/>
    <tableColumn id="15" name="TRANSITO_EXTERNO"/>
    <tableColumn id="16" name="FECHA_ACTUALIZACION" dataDxfId="5">
      <calculatedColumnFormula>TODAY()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2" name="inventario" displayName="inventario" ref="A1:O20" totalsRowShown="0">
  <autoFilter ref="A1:O20"/>
  <tableColumns count="15">
    <tableColumn id="1" name="COD_EMPRESA" dataDxfId="3"/>
    <tableColumn id="2" name="COD_BODEGA" dataDxfId="2"/>
    <tableColumn id="3" name="COD_PRODUCTO" dataDxfId="1"/>
    <tableColumn id="4" name="EXISTENCIA"/>
    <tableColumn id="5" name="TRANSITO"/>
    <tableColumn id="6" name="NEGOCIACION"/>
    <tableColumn id="7" name="PRODUCCION"/>
    <tableColumn id="8" name="EMBARCADO"/>
    <tableColumn id="9" name="COMPROMETIDO"/>
    <tableColumn id="10" name="BACKORDER"/>
    <tableColumn id="11" name="INGRESOS"/>
    <tableColumn id="12" name="EGRESOS"/>
    <tableColumn id="13" name="CONSUMO"/>
    <tableColumn id="14" name="BUFFER_EMPRESA"/>
    <tableColumn id="15" name="FECHA_ACTUALIZACION" dataDxfId="0">
      <calculatedColumnFormula>TODAY()</calculatedColumnFormula>
    </tableColumn>
  </tableColumns>
  <tableStyleInfo name="TableStyleMedium20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2"/>
  <sheetViews>
    <sheetView showGridLines="0" workbookViewId="0">
      <selection activeCell="A2" sqref="A2:C2"/>
    </sheetView>
  </sheetViews>
  <sheetFormatPr baseColWidth="10" defaultRowHeight="15" x14ac:dyDescent="0.25"/>
  <cols>
    <col min="1" max="1" width="16.42578125" customWidth="1"/>
    <col min="2" max="2" width="20.85546875" bestFit="1" customWidth="1"/>
    <col min="3" max="3" width="33.42578125" bestFit="1" customWidth="1"/>
  </cols>
  <sheetData>
    <row r="1" spans="1:3" ht="15.75" thickBot="1" x14ac:dyDescent="0.3">
      <c r="A1" s="5" t="s">
        <v>0</v>
      </c>
      <c r="B1" s="5" t="s">
        <v>1</v>
      </c>
      <c r="C1" s="5" t="s">
        <v>31</v>
      </c>
    </row>
    <row r="2" spans="1:3" x14ac:dyDescent="0.25">
      <c r="A2" s="6" t="s">
        <v>36</v>
      </c>
      <c r="B2" s="6" t="s">
        <v>32</v>
      </c>
      <c r="C2" s="6" t="s">
        <v>33</v>
      </c>
    </row>
  </sheetData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6"/>
  <sheetViews>
    <sheetView showGridLines="0" workbookViewId="0">
      <selection activeCell="A2" sqref="A2:P6"/>
    </sheetView>
  </sheetViews>
  <sheetFormatPr baseColWidth="10" defaultRowHeight="15" x14ac:dyDescent="0.25"/>
  <cols>
    <col min="1" max="1" width="16.42578125" customWidth="1"/>
    <col min="3" max="3" width="19" bestFit="1" customWidth="1"/>
    <col min="4" max="15" width="2.7109375" customWidth="1"/>
    <col min="16" max="16" width="24.28515625" customWidth="1"/>
  </cols>
  <sheetData>
    <row r="1" spans="1:16" x14ac:dyDescent="0.25">
      <c r="A1" s="3" t="s">
        <v>0</v>
      </c>
      <c r="B1" s="3" t="s">
        <v>29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 x14ac:dyDescent="0.25">
      <c r="A2" s="2" t="s">
        <v>36</v>
      </c>
      <c r="B2" s="2" t="s">
        <v>37</v>
      </c>
      <c r="C2" t="s">
        <v>34</v>
      </c>
      <c r="P2" s="1">
        <f ca="1">TODAY()</f>
        <v>42778</v>
      </c>
    </row>
    <row r="3" spans="1:16" x14ac:dyDescent="0.25">
      <c r="A3" s="2" t="s">
        <v>36</v>
      </c>
      <c r="B3" s="2" t="s">
        <v>38</v>
      </c>
      <c r="C3" t="s">
        <v>35</v>
      </c>
      <c r="P3" s="1">
        <f ca="1">TODAY()</f>
        <v>42778</v>
      </c>
    </row>
    <row r="4" spans="1:16" x14ac:dyDescent="0.25">
      <c r="A4" s="2" t="s">
        <v>36</v>
      </c>
      <c r="B4" s="2" t="s">
        <v>39</v>
      </c>
      <c r="C4" t="s">
        <v>42</v>
      </c>
      <c r="P4" s="1">
        <f ca="1">TODAY()</f>
        <v>42778</v>
      </c>
    </row>
    <row r="5" spans="1:16" x14ac:dyDescent="0.25">
      <c r="A5" s="2" t="s">
        <v>36</v>
      </c>
      <c r="B5" s="2" t="s">
        <v>40</v>
      </c>
      <c r="C5" t="s">
        <v>43</v>
      </c>
      <c r="G5" s="4"/>
      <c r="P5" s="1">
        <f ca="1">TODAY()</f>
        <v>42778</v>
      </c>
    </row>
    <row r="6" spans="1:16" x14ac:dyDescent="0.25">
      <c r="A6" s="2" t="s">
        <v>36</v>
      </c>
      <c r="B6" s="2" t="s">
        <v>41</v>
      </c>
      <c r="C6" t="s">
        <v>44</v>
      </c>
      <c r="P6" s="1">
        <f ca="1">TODAY()</f>
        <v>42778</v>
      </c>
    </row>
  </sheetData>
  <conditionalFormatting sqref="A2:P6">
    <cfRule type="expression" dxfId="9" priority="1">
      <formula>ISERROR(MATCH($A2,cod_empresas,0))</formula>
    </cfRule>
  </conditionalFormatting>
  <dataValidations count="1">
    <dataValidation type="list" allowBlank="1" showInputMessage="1" showErrorMessage="1" sqref="A2:A6">
      <formula1>cod_empresas</formula1>
    </dataValidation>
  </dataValidations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20"/>
  <sheetViews>
    <sheetView showGridLines="0" tabSelected="1" workbookViewId="0">
      <selection activeCell="C12" sqref="C12"/>
    </sheetView>
  </sheetViews>
  <sheetFormatPr baseColWidth="10" defaultRowHeight="15" x14ac:dyDescent="0.25"/>
  <cols>
    <col min="1" max="1" width="16.42578125" customWidth="1"/>
    <col min="2" max="2" width="15.5703125" customWidth="1"/>
    <col min="3" max="3" width="18" customWidth="1"/>
    <col min="4" max="4" width="13.28515625" customWidth="1"/>
    <col min="5" max="5" width="12" customWidth="1"/>
    <col min="6" max="6" width="16" customWidth="1"/>
    <col min="7" max="7" width="15.28515625" customWidth="1"/>
    <col min="8" max="8" width="14.28515625" customWidth="1"/>
    <col min="9" max="9" width="18.42578125" customWidth="1"/>
    <col min="10" max="10" width="13.85546875" customWidth="1"/>
    <col min="11" max="11" width="12.140625" customWidth="1"/>
    <col min="13" max="13" width="12.85546875" customWidth="1"/>
    <col min="14" max="14" width="19.28515625" customWidth="1"/>
    <col min="15" max="15" width="24.28515625" customWidth="1"/>
  </cols>
  <sheetData>
    <row r="1" spans="1:15" x14ac:dyDescent="0.25">
      <c r="A1" t="s">
        <v>0</v>
      </c>
      <c r="B1" t="s">
        <v>29</v>
      </c>
      <c r="C1" t="s">
        <v>28</v>
      </c>
      <c r="D1" t="s">
        <v>27</v>
      </c>
      <c r="E1" t="s">
        <v>26</v>
      </c>
      <c r="F1" t="s">
        <v>25</v>
      </c>
      <c r="G1" t="s">
        <v>24</v>
      </c>
      <c r="H1" t="s">
        <v>30</v>
      </c>
      <c r="I1" t="s">
        <v>23</v>
      </c>
      <c r="J1" t="s">
        <v>22</v>
      </c>
      <c r="K1" t="s">
        <v>21</v>
      </c>
      <c r="L1" t="s">
        <v>20</v>
      </c>
      <c r="M1" t="s">
        <v>19</v>
      </c>
      <c r="N1" t="s">
        <v>18</v>
      </c>
      <c r="O1" t="s">
        <v>14</v>
      </c>
    </row>
    <row r="2" spans="1:15" x14ac:dyDescent="0.25">
      <c r="A2" s="2" t="s">
        <v>36</v>
      </c>
      <c r="B2" s="2" t="s">
        <v>37</v>
      </c>
      <c r="C2" s="2" t="s">
        <v>17</v>
      </c>
      <c r="D2">
        <v>1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O2" s="1">
        <f ca="1">TODAY()</f>
        <v>42778</v>
      </c>
    </row>
    <row r="3" spans="1:15" x14ac:dyDescent="0.25">
      <c r="A3" s="2" t="s">
        <v>36</v>
      </c>
      <c r="B3" s="2" t="s">
        <v>37</v>
      </c>
      <c r="C3" s="2">
        <v>1497770</v>
      </c>
      <c r="D3">
        <v>1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O3" s="1">
        <f ca="1">TODAY()</f>
        <v>42778</v>
      </c>
    </row>
    <row r="4" spans="1:15" x14ac:dyDescent="0.25">
      <c r="A4" s="2" t="s">
        <v>36</v>
      </c>
      <c r="B4" s="2" t="s">
        <v>37</v>
      </c>
      <c r="C4" s="2">
        <v>10803</v>
      </c>
      <c r="D4">
        <v>1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O4" s="1">
        <f ca="1">TODAY()</f>
        <v>42778</v>
      </c>
    </row>
    <row r="5" spans="1:15" x14ac:dyDescent="0.25">
      <c r="A5" s="2" t="s">
        <v>36</v>
      </c>
      <c r="B5" s="2" t="s">
        <v>37</v>
      </c>
      <c r="C5" s="2">
        <v>30196056</v>
      </c>
      <c r="D5">
        <v>6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O5" s="1">
        <f ca="1">TODAY()</f>
        <v>42778</v>
      </c>
    </row>
    <row r="6" spans="1:15" x14ac:dyDescent="0.25">
      <c r="A6" s="2" t="s">
        <v>36</v>
      </c>
      <c r="B6" s="2" t="s">
        <v>37</v>
      </c>
      <c r="C6" s="2">
        <v>30196241</v>
      </c>
      <c r="D6">
        <v>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O6" s="1">
        <f ca="1">TODAY()</f>
        <v>42778</v>
      </c>
    </row>
    <row r="7" spans="1:15" x14ac:dyDescent="0.25">
      <c r="A7" s="2" t="s">
        <v>36</v>
      </c>
      <c r="B7" s="2" t="s">
        <v>37</v>
      </c>
      <c r="C7" s="2">
        <v>30196250</v>
      </c>
      <c r="D7">
        <v>4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O7" s="1">
        <f ca="1">TODAY()</f>
        <v>42778</v>
      </c>
    </row>
    <row r="8" spans="1:15" x14ac:dyDescent="0.25">
      <c r="A8" s="2" t="s">
        <v>36</v>
      </c>
      <c r="B8" s="2" t="s">
        <v>37</v>
      </c>
      <c r="C8" s="2">
        <v>30210456</v>
      </c>
      <c r="D8">
        <v>4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O8" s="1">
        <f ca="1">TODAY()</f>
        <v>42778</v>
      </c>
    </row>
    <row r="9" spans="1:15" x14ac:dyDescent="0.25">
      <c r="A9" s="2" t="s">
        <v>36</v>
      </c>
      <c r="B9" s="2" t="s">
        <v>38</v>
      </c>
      <c r="C9" s="2">
        <v>30210992</v>
      </c>
      <c r="D9">
        <v>17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O9" s="1">
        <f ca="1">TODAY()</f>
        <v>42778</v>
      </c>
    </row>
    <row r="10" spans="1:15" x14ac:dyDescent="0.25">
      <c r="A10" s="2" t="s">
        <v>36</v>
      </c>
      <c r="B10" s="2" t="s">
        <v>38</v>
      </c>
      <c r="C10" s="2">
        <v>8848803</v>
      </c>
      <c r="D10">
        <v>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O10" s="1">
        <f ca="1">TODAY()</f>
        <v>42778</v>
      </c>
    </row>
    <row r="11" spans="1:15" x14ac:dyDescent="0.25">
      <c r="A11" s="2" t="s">
        <v>36</v>
      </c>
      <c r="B11" s="2" t="s">
        <v>38</v>
      </c>
      <c r="C11" s="2">
        <v>9235403</v>
      </c>
      <c r="D11">
        <v>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O11" s="1">
        <f ca="1">TODAY()</f>
        <v>42778</v>
      </c>
    </row>
    <row r="12" spans="1:15" x14ac:dyDescent="0.25">
      <c r="A12" s="2" t="s">
        <v>36</v>
      </c>
      <c r="B12" s="2" t="s">
        <v>38</v>
      </c>
      <c r="C12" s="2">
        <v>30197082</v>
      </c>
      <c r="D12">
        <v>6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O12" s="1">
        <f ca="1">TODAY()</f>
        <v>42778</v>
      </c>
    </row>
    <row r="13" spans="1:15" x14ac:dyDescent="0.25">
      <c r="A13" s="2" t="s">
        <v>36</v>
      </c>
      <c r="B13" s="2" t="s">
        <v>38</v>
      </c>
      <c r="C13" s="2">
        <v>30197085</v>
      </c>
      <c r="D13">
        <v>24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O13" s="1">
        <f ca="1">TODAY()</f>
        <v>42778</v>
      </c>
    </row>
    <row r="14" spans="1:15" x14ac:dyDescent="0.25">
      <c r="A14" s="2" t="s">
        <v>36</v>
      </c>
      <c r="B14" s="2" t="s">
        <v>38</v>
      </c>
      <c r="C14" s="2">
        <v>30209703</v>
      </c>
      <c r="D14">
        <v>300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O14" s="1">
        <f ca="1">TODAY()</f>
        <v>42778</v>
      </c>
    </row>
    <row r="15" spans="1:15" x14ac:dyDescent="0.25">
      <c r="A15" s="2" t="s">
        <v>36</v>
      </c>
      <c r="B15" s="2" t="s">
        <v>39</v>
      </c>
      <c r="C15" s="2">
        <v>8810809</v>
      </c>
      <c r="D15">
        <v>1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O15" s="1">
        <f ca="1">TODAY()</f>
        <v>42778</v>
      </c>
    </row>
    <row r="16" spans="1:15" x14ac:dyDescent="0.25">
      <c r="A16" s="2" t="s">
        <v>36</v>
      </c>
      <c r="B16" s="2" t="s">
        <v>39</v>
      </c>
      <c r="C16" s="2">
        <v>776416</v>
      </c>
      <c r="D16">
        <v>152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O16" s="1">
        <f ca="1">TODAY()</f>
        <v>42778</v>
      </c>
    </row>
    <row r="17" spans="1:15" x14ac:dyDescent="0.25">
      <c r="A17" s="2" t="s">
        <v>36</v>
      </c>
      <c r="B17" s="2" t="s">
        <v>40</v>
      </c>
      <c r="C17" s="2" t="s">
        <v>16</v>
      </c>
      <c r="D17">
        <v>2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O17" s="1">
        <f ca="1">TODAY()</f>
        <v>42778</v>
      </c>
    </row>
    <row r="18" spans="1:15" x14ac:dyDescent="0.25">
      <c r="A18" s="2" t="s">
        <v>36</v>
      </c>
      <c r="B18" s="2" t="s">
        <v>41</v>
      </c>
      <c r="C18" s="2" t="s">
        <v>15</v>
      </c>
      <c r="D18">
        <v>8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O18" s="1">
        <f ca="1">TODAY()</f>
        <v>42778</v>
      </c>
    </row>
    <row r="19" spans="1:15" x14ac:dyDescent="0.25">
      <c r="A19" s="2" t="s">
        <v>36</v>
      </c>
      <c r="B19" s="2" t="s">
        <v>41</v>
      </c>
      <c r="C19" s="2">
        <v>10105</v>
      </c>
      <c r="D19">
        <v>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O19" s="1">
        <f ca="1">TODAY()</f>
        <v>42778</v>
      </c>
    </row>
    <row r="20" spans="1:15" x14ac:dyDescent="0.25">
      <c r="A20" s="2" t="s">
        <v>36</v>
      </c>
      <c r="B20" s="2" t="s">
        <v>41</v>
      </c>
      <c r="C20" s="2">
        <v>10110</v>
      </c>
      <c r="D20">
        <v>100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O20" s="1">
        <f ca="1">TODAY()</f>
        <v>42778</v>
      </c>
    </row>
  </sheetData>
  <dataValidations count="2">
    <dataValidation type="list" allowBlank="1" showInputMessage="1" showErrorMessage="1" sqref="A2:A20">
      <formula1>cod_empresas</formula1>
    </dataValidation>
    <dataValidation type="list" allowBlank="1" showInputMessage="1" showErrorMessage="1" sqref="B2:B20">
      <formula1>OFFSET(cabecera_cod_bodega,MATCH(A2,bodega_cod_empresas,0),,SUMPRODUCT(--(A2=bodega_cod_empresas)),1)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334FB0BE-0B3C-4EFB-B53E-7EAAA41ABAE9}">
            <xm:f>OR(SUMPRODUCT(--($A2&amp;$B2=bodega!$A$2:$A$6&amp;bodega!$B$2:$B$6))=0,ISERROR(MATCH($A2,bodega_cod_empresas,0)),ISERROR(MATCH($B2,bodega_cod_bodega,0)))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A2:O20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4</vt:i4>
      </vt:variant>
    </vt:vector>
  </HeadingPairs>
  <TitlesOfParts>
    <vt:vector size="7" baseType="lpstr">
      <vt:lpstr>empresa</vt:lpstr>
      <vt:lpstr>bodega</vt:lpstr>
      <vt:lpstr>inventario</vt:lpstr>
      <vt:lpstr>bodega_cod_bodega</vt:lpstr>
      <vt:lpstr>bodega_cod_empresas</vt:lpstr>
      <vt:lpstr>cabecera_cod_bodega</vt:lpstr>
      <vt:lpstr>cod_empresas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RAMCAS</dc:creator>
  <cp:lastModifiedBy>RAMCAS</cp:lastModifiedBy>
  <dcterms:created xsi:type="dcterms:W3CDTF">2017-02-02T04:38:42Z</dcterms:created>
  <dcterms:modified xsi:type="dcterms:W3CDTF">2017-02-12T22:17:19Z</dcterms:modified>
</cp:coreProperties>
</file>