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28.xml" ContentType="application/vnd.ms-office.activeX+xml"/>
  <Override PartName="/xl/activeX/activeX28.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3.xml" ContentType="application/vnd.ms-office.activeX+xml"/>
  <Override PartName="/xl/activeX/activeX3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 name="version">CENTROCONTROL!$I$3</definedName>
  </definedNames>
  <calcPr calcId="152511"/>
</workbook>
</file>

<file path=xl/calcChain.xml><?xml version="1.0" encoding="utf-8"?>
<calcChain xmlns="http://schemas.openxmlformats.org/spreadsheetml/2006/main">
  <c r="C2" i="24" l="1"/>
  <c r="C3" i="24"/>
  <c r="C4" i="24"/>
  <c r="C5" i="24"/>
  <c r="C6" i="24"/>
  <c r="C5" i="30" l="1"/>
  <c r="G5" i="30"/>
  <c r="H5" i="30"/>
  <c r="K5" i="30"/>
  <c r="L5" i="30"/>
  <c r="M5" i="30"/>
  <c r="N5" i="30"/>
  <c r="O5" i="30"/>
  <c r="P5" i="30"/>
  <c r="Q5" i="30"/>
  <c r="I2" i="30"/>
  <c r="I3" i="30"/>
  <c r="I4" i="30"/>
  <c r="I5"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<sst xmlns="http://schemas.openxmlformats.org/spreadsheetml/2006/main" count="543" uniqueCount="267">
  <si>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</si>
  <si>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</si>
  <si>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</si>
  <si>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</si>
  <si>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</si>
  <si>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</si>
  <si>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</si>
  <si>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</si>
  <si>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</si>
  <si>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</si>
  <si>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</si>
  <si>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</si>
  <si>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</si>
  <si>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</si>
  <si>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</si>
  <si>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</si>
  <si>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</si>
  <si>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</si>
  <si>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</si>
  <si>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</si>
  <si>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</si>
  <si>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</si>
  <si>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</si>
  <si>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</si>
  <si>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</si>
  <si>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</si>
  <si>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</si>
  <si>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</si>
  <si>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</si>
  <si>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</si>
  <si>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</si>
  <si>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</si>
  <si>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</si>
  <si>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</si>
  <si>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</si>
  <si>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</si>
  <si>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</si>
  <si>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</si>
  <si>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</si>
  <si>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</si>
  <si>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</si>
  <si>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</si>
  <si>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</si>
  <si>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</si>
  <si>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</si>
  <si>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</si>
  <si>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</si>
  <si>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</si>
  <si>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</si>
  <si>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</si>
  <si>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</si>
  <si>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</si>
  <si>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</si>
  <si>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</si>
  <si>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</si>
  <si>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</si>
  <si>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</si>
  <si>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</si>
  <si>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</si>
  <si>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</si>
  <si>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</si>
  <si>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</si>
  <si>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</si>
  <si>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</si>
  <si>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</si>
  <si>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</si>
  <si>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</si>
  <si>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</si>
  <si>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</si>
  <si>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</si>
  <si>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</si>
  <si>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</si>
  <si>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</si>
  <si>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</si>
  <si>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</si>
  <si>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</si>
  <si>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</si>
  <si>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</si>
  <si>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</si>
  <si>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</si>
  <si>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</si>
  <si>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</si>
  <si>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</si>
  <si>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</si>
  <si>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</si>
  <si>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</si>
  <si>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</si>
  <si>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</si>
  <si>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</si>
  <si>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</si>
  <si>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</si>
  <si>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</si>
  <si>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</si>
  <si>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</si>
  <si>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</si>
  <si>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</si>
  <si>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</si>
  <si>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</si>
  <si>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</si>
  <si>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</si>
  <si>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</si>
  <si>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</si>
  <si>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</si>
  <si>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</si>
  <si>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</si>
  <si>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</si>
  <si>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</si>
  <si>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</si>
  <si>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</si>
  <si>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</si>
  <si>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</si>
  <si>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</si>
  <si>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</si>
  <si>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</si>
  <si>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</si>
  <si>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</si>
  <si>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</si>
  <si>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</si>
  <si>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</si>
  <si>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</si>
  <si>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</si>
  <si>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</si>
  <si>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</si>
  <si>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</si>
  <si>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</si>
  <si>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</si>
  <si>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</si>
  <si>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</si>
  <si>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</si>
  <si>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</si>
  <si>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</si>
  <si>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</si>
  <si>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</si>
  <si>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</si>
  <si>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</si>
  <si>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</si>
  <si>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</si>
  <si>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</si>
  <si>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</si>
  <si>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</si>
  <si>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</si>
  <si>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</si>
  <si>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</si>
  <si>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</si>
  <si>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</si>
  <si>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</si>
  <si>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</si>
  <si>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</si>
  <si>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</si>
  <si>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</si>
  <si>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</si>
  <si>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</si>
  <si>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</si>
  <si>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</si>
  <si>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</si>
  <si>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</si>
  <si>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</si>
  <si>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</si>
  <si>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</si>
  <si>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</si>
  <si>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</si>
  <si>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</si>
  <si>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</si>
  <si>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</si>
  <si>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</si>
  <si>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</si>
  <si>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</si>
  <si>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</si>
  <si>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</si>
  <si>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</si>
  <si>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</si>
  <si>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</si>
  <si>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</si>
  <si>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</si>
  <si>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</si>
  <si>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</si>
  <si>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</si>
  <si>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</si>
  <si>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</si>
  <si>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</si>
  <si>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</si>
  <si>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</si>
  <si>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</si>
  <si>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</si>
  <si>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</si>
  <si>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</si>
  <si>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</si>
  <si>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</si>
  <si>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</si>
  <si>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</si>
  <si>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</si>
  <si>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</si>
  <si>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</si>
  <si>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</si>
  <si>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</si>
  <si>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</si>
  <si>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</si>
  <si>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</si>
  <si>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</si>
  <si>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</si>
  <si>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</si>
  <si>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</si>
  <si>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</si>
  <si>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</si>
  <si>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</si>
  <si>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</si>
  <si>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</si>
  <si>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</si>
  <si>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</si>
  <si>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</si>
  <si>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</si>
  <si>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</si>
  <si>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</si>
  <si>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</si>
  <si>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</si>
  <si>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</si>
  <si>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</si>
  <si>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</si>
  <si>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</si>
  <si>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</si>
  <si>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</si>
  <si>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</si>
  <si>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</si>
  <si>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</si>
  <si>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</si>
  <si>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</si>
  <si>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</si>
  <si>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</si>
  <si>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</si>
  <si>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</si>
  <si>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</si>
  <si>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</si>
  <si>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</si>
  <si>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</si>
  <si>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</si>
  <si>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</si>
  <si>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</si>
  <si>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</si>
  <si>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</si>
  <si>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</si>
  <si>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</si>
  <si>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</si>
  <si>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</si>
  <si>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</si>
  <si>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</si>
  <si>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</si>
  <si>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</si>
  <si>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</si>
  <si>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</si>
  <si>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</si>
  <si>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</si>
  <si>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</si>
  <si>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v. 3.8.3     05/2018</t>
  </si>
  <si>
    <t>Hojas CB</t>
  </si>
  <si>
    <t>Accesorios.xlsm</t>
  </si>
  <si>
    <t>Agroinsumos Riera.xlsm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</si>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</sst>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xf numFmtId="0" fontId="11" fillId="5" borderId="4" xfId="0" applyFont="1" applyFill="1" applyBorder="1" applyAlignment="1">
      <alignment horizontal="right"/>
    </xf>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ECF1F8"/>
      <color rgb="FF800080"/>
      <color rgb="FFAFC2FF"/>
      <color rgb="FF8FAAFF"/>
      <color rgb="FFCDCEFF"/>
      <color rgb="FF99CCFF"/>
      <color rgb="FFEAEAEA"/>
      <color rgb="FFFF5050"/>
      <color rgb="FF00660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noThreeD="1" sel="0" val="0"/>
</file>

<file path=xl/ctrlProps/ctrlProp5.xml><?xml version="1.0" encoding="utf-8"?>
<formControlPr xmlns="http://schemas.microsoft.com/office/spreadsheetml/2009/9/main" objectType="List" dx="22" fmlaLink="CENTROCONTROL!$K$20" fmlaRange="AUX!$P$2:$P$4" noThreeD="1" sel="0"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19.emf"/><Relationship Id="rId16" Type="http://schemas.openxmlformats.org/officeDocument/2006/relationships/image" Target="../media/image7.emf"/><Relationship Id="rId20"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21.emf"/><Relationship Id="rId15" Type="http://schemas.openxmlformats.org/officeDocument/2006/relationships/image" Target="../media/image8.emf"/><Relationship Id="rId23" Type="http://schemas.openxmlformats.org/officeDocument/2006/relationships/image" Target="../media/image23.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20.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_Titulo"/>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340"/>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15</xdr:row>
          <xdr:rowOff>9525</xdr:rowOff>
        </xdr:from>
        <xdr:to>
          <xdr:col>7</xdr:col>
          <xdr:colOff>476250</xdr:colOff>
          <xdr:row>15</xdr:row>
          <xdr:rowOff>171450</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28575</xdr:colOff>
          <xdr:row>5</xdr:row>
          <xdr:rowOff>28575</xdr:rowOff>
        </xdr:from>
        <xdr:to>
          <xdr:col>5</xdr:col>
          <xdr:colOff>733425</xdr:colOff>
          <xdr:row>6</xdr:row>
          <xdr:rowOff>95250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xdr:row>
          <xdr:rowOff>180975</xdr:rowOff>
        </xdr:from>
        <xdr:to>
          <xdr:col>0</xdr:col>
          <xdr:colOff>962025</xdr:colOff>
          <xdr:row>2</xdr:row>
          <xdr:rowOff>142875</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1057744</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oneCell">
        <xdr:from>
          <xdr:col>30</xdr:col>
          <xdr:colOff>285750</xdr:colOff>
          <xdr:row>3</xdr:row>
          <xdr:rowOff>200025</xdr:rowOff>
        </xdr:from>
        <xdr:to>
          <xdr:col>31</xdr:col>
          <xdr:colOff>714375</xdr:colOff>
          <xdr:row>4</xdr:row>
          <xdr:rowOff>266700</xdr:rowOff>
        </xdr:to>
        <xdr:sp macro="" textlink="">
          <xdr:nvSpPr>
            <xdr:cNvPr id="170306" name="cbo_Lista_Empresas" hidden="1">
              <a:extLst>
                <a:ext uri="{63B3BB69-23CF-44E3-9099-C40C66FF867C}">
                  <a14:compatExt spid="_x0000_s17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228600</xdr:colOff>
          <xdr:row>5</xdr:row>
          <xdr:rowOff>76200</xdr:rowOff>
        </xdr:from>
        <xdr:to>
          <xdr:col>32</xdr:col>
          <xdr:colOff>152400</xdr:colOff>
          <xdr:row>14</xdr:row>
          <xdr:rowOff>9525</xdr:rowOff>
        </xdr:to>
        <xdr:sp macro="" textlink="">
          <xdr:nvSpPr>
            <xdr:cNvPr id="170307" name="lst_Empresas_Formulario" hidden="1">
              <a:extLst>
                <a:ext uri="{63B3BB69-23CF-44E3-9099-C40C66FF867C}">
                  <a14:compatExt spid="_x0000_s17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419100</xdr:colOff>
          <xdr:row>4</xdr:row>
          <xdr:rowOff>85725</xdr:rowOff>
        </xdr:from>
        <xdr:to>
          <xdr:col>30</xdr:col>
          <xdr:colOff>38100</xdr:colOff>
          <xdr:row>4</xdr:row>
          <xdr:rowOff>257175</xdr:rowOff>
        </xdr:to>
        <xdr:sp macro="" textlink="">
          <xdr:nvSpPr>
            <xdr:cNvPr id="170308" name="Button 3396" hidden="1">
              <a:extLst>
                <a:ext uri="{63B3BB69-23CF-44E3-9099-C40C66FF867C}">
                  <a14:compatExt spid="_x0000_s170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3396</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68"/>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5" totalsRowCount="1" headerRowDxfId="80">
  <autoFilter ref="B1:Q4"/>
  <sortState ref="B2:Q4">
    <sortCondition descending="1" ref="H1:H4"/>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7.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8.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0.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55" Type="http://schemas.openxmlformats.org/officeDocument/2006/relationships/ctrlProp" Target="../ctrlProps/ctrlProp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2.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28.emf"/><Relationship Id="rId4" Type="http://schemas.openxmlformats.org/officeDocument/2006/relationships/control" Target="../activeX/activeX2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1.emf"/><Relationship Id="rId4" Type="http://schemas.openxmlformats.org/officeDocument/2006/relationships/control" Target="../activeX/activeX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2.emf"/><Relationship Id="rId4" Type="http://schemas.openxmlformats.org/officeDocument/2006/relationships/control" Target="../activeX/activeX28.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4.emf"/><Relationship Id="rId5" Type="http://schemas.openxmlformats.org/officeDocument/2006/relationships/control" Target="../activeX/activeX30.xml"/><Relationship Id="rId4" Type="http://schemas.openxmlformats.org/officeDocument/2006/relationships/image" Target="../media/image33.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6.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9.xml"/><Relationship Id="rId5" Type="http://schemas.openxmlformats.org/officeDocument/2006/relationships/image" Target="../media/image37.emf"/><Relationship Id="rId4" Type="http://schemas.openxmlformats.org/officeDocument/2006/relationships/control" Target="../activeX/activeX3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74" t="s">
        <v>252</v>
      </c>
    </row>
    <row r="4" spans="1:15" ht="15.75" customHeight="1" thickBot="1" x14ac:dyDescent="0.35">
      <c r="A4" s="33"/>
      <c r="B4" s="71" t="s">
        <v>160</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43231</v>
      </c>
    </row>
    <row r="7" spans="1:15" ht="15.75" thickBot="1" x14ac:dyDescent="0.3">
      <c r="A7" s="33"/>
      <c r="B7" s="34"/>
      <c r="C7" s="34"/>
      <c r="D7" s="34"/>
      <c r="E7" s="34"/>
      <c r="F7" s="34"/>
      <c r="G7" s="40" t="s">
        <v>67</v>
      </c>
      <c r="H7" s="41"/>
      <c r="I7" s="42">
        <f>DURACIONREFRESCADO</f>
        <v>6.921296298969537E-3</v>
      </c>
    </row>
    <row r="8" spans="1:15" ht="15.75" thickBot="1" x14ac:dyDescent="0.3">
      <c r="A8" s="33"/>
      <c r="B8" s="34"/>
      <c r="C8" s="36"/>
      <c r="D8" s="36"/>
      <c r="E8" s="43"/>
      <c r="F8" s="36"/>
      <c r="G8" s="33" t="s">
        <v>62</v>
      </c>
      <c r="H8" s="35"/>
      <c r="I8" s="58">
        <v>43231</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43231</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43231</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43229</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144</v>
      </c>
      <c r="H15" s="41"/>
      <c r="I15" s="64">
        <v>0.16666666666666666</v>
      </c>
    </row>
    <row r="16" spans="1:15" ht="15" customHeight="1" thickBot="1" x14ac:dyDescent="0.3">
      <c r="A16" s="33"/>
      <c r="B16" s="34"/>
      <c r="C16" s="34"/>
      <c r="D16" s="34"/>
      <c r="E16" s="34"/>
      <c r="F16" s="34"/>
      <c r="G16" s="40"/>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194</v>
      </c>
      <c r="Q1048569" s="27" t="s">
        <v>145</v>
      </c>
    </row>
  </sheetData>
  <sheetProtection algorithmName="SHA-512" hashValue="0u0oMhzMclo/mhyoazCkIjYFGqI31Pt5tIfMzcA9dZxU3YcwsnxN6Ps68xtXMLrtSbJ0k6BLCbGv+U+s6D1avw==" saltValue="kQRFh0Rdn6qJ8wp0b1/+q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34" r:id="rId38" name="cboEmpresa">
          <controlPr defaultSize="0" autoLine="0" r:id="rId39">
            <anchor>
              <from>
                <xdr:col>0</xdr:col>
                <xdr:colOff>0</xdr:colOff>
                <xdr:row>4</xdr:row>
                <xdr:rowOff>9525</xdr:rowOff>
              </from>
              <to>
                <xdr:col>0</xdr:col>
                <xdr:colOff>1266825</xdr:colOff>
                <xdr:row>4</xdr:row>
                <xdr:rowOff>257175</xdr:rowOff>
              </to>
            </anchor>
          </controlPr>
        </control>
      </mc:Choice>
      <mc:Fallback>
        <control shapeId="1034" r:id="rId38" name="cboEmpresa"/>
      </mc:Fallback>
    </mc:AlternateContent>
    <mc:AlternateContent xmlns:mc="http://schemas.openxmlformats.org/markup-compatibility/2006">
      <mc:Choice Requires="x14">
        <control shapeId="1053" r:id="rId40" name="cmdControl">
          <controlPr defaultSize="0" autoLine="0" r:id="rId41">
            <anchor>
              <from>
                <xdr:col>0</xdr:col>
                <xdr:colOff>28575</xdr:colOff>
                <xdr:row>5</xdr:row>
                <xdr:rowOff>28575</xdr:rowOff>
              </from>
              <to>
                <xdr:col>0</xdr:col>
                <xdr:colOff>904875</xdr:colOff>
                <xdr:row>7</xdr:row>
                <xdr:rowOff>171450</xdr:rowOff>
              </to>
            </anchor>
          </controlPr>
        </control>
      </mc:Choice>
      <mc:Fallback>
        <control shapeId="1053" r:id="rId40" name="cmdControl"/>
      </mc:Fallback>
    </mc:AlternateContent>
    <mc:AlternateContent xmlns:mc="http://schemas.openxmlformats.org/markup-compatibility/2006">
      <mc:Choice Requires="x14">
        <control shapeId="1057" r:id="rId42" name="cmdMantenimiento">
          <controlPr defaultSize="0" autoLine="0" r:id="rId43">
            <anchor>
              <from>
                <xdr:col>4</xdr:col>
                <xdr:colOff>447675</xdr:colOff>
                <xdr:row>4</xdr:row>
                <xdr:rowOff>19050</xdr:rowOff>
              </from>
              <to>
                <xdr:col>5</xdr:col>
                <xdr:colOff>733425</xdr:colOff>
                <xdr:row>4</xdr:row>
                <xdr:rowOff>285750</xdr:rowOff>
              </to>
            </anchor>
          </controlPr>
        </control>
      </mc:Choice>
      <mc:Fallback>
        <control shapeId="1057" r:id="rId42" name="cmdMantenimiento"/>
      </mc:Fallback>
    </mc:AlternateContent>
    <mc:AlternateContent xmlns:mc="http://schemas.openxmlformats.org/markup-compatibility/2006">
      <mc:Choice Requires="x14">
        <control shapeId="1060" r:id="rId44" name="cmd_refresca_items">
          <controlPr defaultSize="0" autoLine="0" r:id="rId45">
            <anchor>
              <from>
                <xdr:col>3</xdr:col>
                <xdr:colOff>28575</xdr:colOff>
                <xdr:row>4</xdr:row>
                <xdr:rowOff>19050</xdr:rowOff>
              </from>
              <to>
                <xdr:col>3</xdr:col>
                <xdr:colOff>714375</xdr:colOff>
                <xdr:row>4</xdr:row>
                <xdr:rowOff>276225</xdr:rowOff>
              </to>
            </anchor>
          </controlPr>
        </control>
      </mc:Choice>
      <mc:Fallback>
        <control shapeId="1060" r:id="rId44" name="cmd_refresca_items"/>
      </mc:Fallback>
    </mc:AlternateContent>
    <mc:AlternateContent xmlns:mc="http://schemas.openxmlformats.org/markup-compatibility/2006">
      <mc:Choice Requires="x14">
        <control shapeId="1061" r:id="rId46" name="Refrescar_Alertas">
          <controlPr defaultSize="0" autoLine="0" r:id="rId47">
            <anchor>
              <from>
                <xdr:col>4</xdr:col>
                <xdr:colOff>600075</xdr:colOff>
                <xdr:row>10</xdr:row>
                <xdr:rowOff>0</xdr:rowOff>
              </from>
              <to>
                <xdr:col>4</xdr:col>
                <xdr:colOff>895350</xdr:colOff>
                <xdr:row>10</xdr:row>
                <xdr:rowOff>171450</xdr:rowOff>
              </to>
            </anchor>
          </controlPr>
        </control>
      </mc:Choice>
      <mc:Fallback>
        <control shapeId="1061" r:id="rId46" name="Refrescar_Alertas"/>
      </mc:Fallback>
    </mc:AlternateContent>
    <mc:AlternateContent xmlns:mc="http://schemas.openxmlformats.org/markup-compatibility/2006">
      <mc:Choice Requires="x14">
        <control shapeId="97019" r:id="rId48" name="cmdTransferenciasActivas">
          <controlPr defaultSize="0" autoLine="0" r:id="rId49">
            <anchor>
              <from>
                <xdr:col>1</xdr:col>
                <xdr:colOff>28575</xdr:colOff>
                <xdr:row>6</xdr:row>
                <xdr:rowOff>85725</xdr:rowOff>
              </from>
              <to>
                <xdr:col>1</xdr:col>
                <xdr:colOff>381000</xdr:colOff>
                <xdr:row>7</xdr:row>
                <xdr:rowOff>171450</xdr:rowOff>
              </to>
            </anchor>
          </controlPr>
        </control>
      </mc:Choice>
      <mc:Fallback>
        <control shapeId="97019" r:id="rId48" name="cmdTransferenciasActivas"/>
      </mc:Fallback>
    </mc:AlternateContent>
    <mc:AlternateContent xmlns:mc="http://schemas.openxmlformats.org/markup-compatibility/2006">
      <mc:Choice Requires="x14">
        <control shapeId="170283" r:id="rId50" name="Button 3371">
          <controlPr defaultSize="0" print="0" autoFill="0" autoPict="0" macro="[0]!Trae_Datos_del_ERP">
            <anchor>
              <from>
                <xdr:col>6</xdr:col>
                <xdr:colOff>47625</xdr:colOff>
                <xdr:row>15</xdr:row>
                <xdr:rowOff>9525</xdr:rowOff>
              </from>
              <to>
                <xdr:col>7</xdr:col>
                <xdr:colOff>476250</xdr:colOff>
                <xdr:row>15</xdr:row>
                <xdr:rowOff>171450</xdr:rowOff>
              </to>
            </anchor>
          </controlPr>
        </control>
      </mc:Choice>
    </mc:AlternateContent>
    <mc:AlternateContent xmlns:mc="http://schemas.openxmlformats.org/markup-compatibility/2006">
      <mc:Choice Requires="x14">
        <control shapeId="170289" r:id="rId51" name="cmd_Ayuda_CCB">
          <controlPr defaultSize="0" print="0" autoFill="0" autoPict="0" macro="[0]!Abre_Ayuda_de_Centrocontrol">
            <anchor>
              <from>
                <xdr:col>5</xdr:col>
                <xdr:colOff>28575</xdr:colOff>
                <xdr:row>5</xdr:row>
                <xdr:rowOff>28575</xdr:rowOff>
              </from>
              <to>
                <xdr:col>5</xdr:col>
                <xdr:colOff>733425</xdr:colOff>
                <xdr:row>6</xdr:row>
                <xdr:rowOff>95250</xdr:rowOff>
              </to>
            </anchor>
          </controlPr>
        </control>
      </mc:Choice>
    </mc:AlternateContent>
    <mc:AlternateContent xmlns:mc="http://schemas.openxmlformats.org/markup-compatibility/2006">
      <mc:Choice Requires="x14">
        <control shapeId="170298" r:id="rId52" name="cmd_Cambia_Usuario">
          <controlPr defaultSize="0" print="0" autoFill="0" autoPict="0" macro="[0]!Cambia_Usuario">
            <anchor>
              <from>
                <xdr:col>0</xdr:col>
                <xdr:colOff>19050</xdr:colOff>
                <xdr:row>1</xdr:row>
                <xdr:rowOff>180975</xdr:rowOff>
              </from>
              <to>
                <xdr:col>0</xdr:col>
                <xdr:colOff>962025</xdr:colOff>
                <xdr:row>2</xdr:row>
                <xdr:rowOff>142875</xdr:rowOff>
              </to>
            </anchor>
          </controlPr>
        </control>
      </mc:Choice>
    </mc:AlternateContent>
    <mc:AlternateContent xmlns:mc="http://schemas.openxmlformats.org/markup-compatibility/2006">
      <mc:Choice Requires="x14">
        <control shapeId="170306" r:id="rId53" name="cbo_Lista_Empresas">
          <controlPr defaultSize="0" autoLine="0" autoPict="0">
            <anchor moveWithCells="1">
              <from>
                <xdr:col>30</xdr:col>
                <xdr:colOff>285750</xdr:colOff>
                <xdr:row>3</xdr:row>
                <xdr:rowOff>200025</xdr:rowOff>
              </from>
              <to>
                <xdr:col>31</xdr:col>
                <xdr:colOff>714375</xdr:colOff>
                <xdr:row>4</xdr:row>
                <xdr:rowOff>266700</xdr:rowOff>
              </to>
            </anchor>
          </controlPr>
        </control>
      </mc:Choice>
    </mc:AlternateContent>
    <mc:AlternateContent xmlns:mc="http://schemas.openxmlformats.org/markup-compatibility/2006">
      <mc:Choice Requires="x14">
        <control shapeId="170307" r:id="rId54" name="lst_Empresas_Formulario">
          <controlPr defaultSize="0" autoLine="0" autoPict="0">
            <anchor>
              <from>
                <xdr:col>28</xdr:col>
                <xdr:colOff>228600</xdr:colOff>
                <xdr:row>5</xdr:row>
                <xdr:rowOff>76200</xdr:rowOff>
              </from>
              <to>
                <xdr:col>32</xdr:col>
                <xdr:colOff>152400</xdr:colOff>
                <xdr:row>14</xdr:row>
                <xdr:rowOff>9525</xdr:rowOff>
              </to>
            </anchor>
          </controlPr>
        </control>
      </mc:Choice>
    </mc:AlternateContent>
    <mc:AlternateContent xmlns:mc="http://schemas.openxmlformats.org/markup-compatibility/2006">
      <mc:Choice Requires="x14">
        <control shapeId="170308" r:id="rId55" name="Button 3396">
          <controlPr defaultSize="0" print="0" autoFill="0" autoPict="0" macro="[0]!Llena_Listado_HojasCB_Formulario">
            <anchor moveWithCells="1" sizeWithCells="1">
              <from>
                <xdr:col>28</xdr:col>
                <xdr:colOff>419100</xdr:colOff>
                <xdr:row>4</xdr:row>
                <xdr:rowOff>85725</xdr:rowOff>
              </from>
              <to>
                <xdr:col>30</xdr:col>
                <xdr:colOff>38100</xdr:colOff>
                <xdr:row>4</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60"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B13" sqref="B13"/>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43231.554525462961</v>
      </c>
      <c r="H2" s="26">
        <v>43231.556620370371</v>
      </c>
      <c r="I2" s="25">
        <f>tbl_Fechas_Refrescado[[#This Row],[FIN]]-tbl_Fechas_Refrescado[[#This Row],[INICIO]]</f>
        <v>2.0949074096279219E-3</v>
      </c>
      <c r="J2" s="25"/>
      <c r="K2" s="22">
        <v>228</v>
      </c>
      <c r="L2" s="22">
        <v>0</v>
      </c>
      <c r="M2" s="22">
        <v>57</v>
      </c>
      <c r="N2" s="22">
        <v>45</v>
      </c>
      <c r="O2" s="23">
        <v>887470</v>
      </c>
      <c r="P2" s="23">
        <v>288629</v>
      </c>
      <c r="Q2" s="23">
        <v>209515</v>
      </c>
      <c r="V2" s="24"/>
    </row>
    <row r="3" spans="2:22" x14ac:dyDescent="0.25">
      <c r="B3" t="s">
        <v>0</v>
      </c>
      <c r="C3" t="s">
        <v>264</v>
      </c>
      <c r="D3" s="6">
        <v>1</v>
      </c>
      <c r="E3" s="6" t="s">
        <v>104</v>
      </c>
      <c r="F3" s="6">
        <v>1</v>
      </c>
      <c r="G3" s="26">
        <v>43231.553043981483</v>
      </c>
      <c r="H3" s="26">
        <v>43231.553900462961</v>
      </c>
      <c r="I3" s="25">
        <f>tbl_Fechas_Refrescado[[#This Row],[FIN]]-tbl_Fechas_Refrescado[[#This Row],[INICIO]]</f>
        <v>8.5648147796746343E-4</v>
      </c>
      <c r="J3" s="25"/>
      <c r="K3" s="22">
        <v>71</v>
      </c>
      <c r="L3" s="22">
        <v>0</v>
      </c>
      <c r="M3" s="22">
        <v>6</v>
      </c>
      <c r="N3" s="22">
        <v>6</v>
      </c>
      <c r="O3" s="23">
        <v>4146</v>
      </c>
      <c r="P3" s="23">
        <v>7182</v>
      </c>
      <c r="Q3" s="23">
        <v>0</v>
      </c>
    </row>
    <row r="4" spans="2:22" x14ac:dyDescent="0.25">
      <c r="B4" t="s">
        <v>0</v>
      </c>
      <c r="C4" t="s">
        <v>254</v>
      </c>
      <c r="D4" s="6">
        <v>1</v>
      </c>
      <c r="E4" s="6" t="s">
        <v>104</v>
      </c>
      <c r="F4" s="6">
        <v>1</v>
      </c>
      <c r="G4" s="26">
        <v>43231.550543981481</v>
      </c>
      <c r="H4" s="26">
        <v>43231.552418981482</v>
      </c>
      <c r="I4" s="25">
        <f>tbl_Fechas_Refrescado[[#This Row],[FIN]]-tbl_Fechas_Refrescado[[#This Row],[INICIO]]</f>
        <v>1.8750000017462298E-3</v>
      </c>
      <c r="J4" s="25"/>
      <c r="K4" s="22">
        <v>174</v>
      </c>
      <c r="L4" s="22">
        <v>0</v>
      </c>
      <c r="M4" s="22">
        <v>80</v>
      </c>
      <c r="N4" s="22">
        <v>63</v>
      </c>
      <c r="O4" s="23">
        <v>108643</v>
      </c>
      <c r="P4" s="23">
        <v>44617</v>
      </c>
      <c r="Q4" s="23">
        <v>66202</v>
      </c>
    </row>
    <row r="5" spans="2:22" x14ac:dyDescent="0.25">
      <c r="B5" t="s">
        <v>105</v>
      </c>
      <c r="C5" s="6">
        <f>SUBTOTAL(103,tbl_Fechas_Refrescado[HOJA CB])</f>
        <v>3</v>
      </c>
      <c r="D5" s="6"/>
      <c r="E5" s="6"/>
      <c r="F5" s="6"/>
      <c r="G5" s="26">
        <f>SUBTOTAL(105,tbl_Fechas_Refrescado[INICIO])</f>
        <v>43231.550543981481</v>
      </c>
      <c r="H5" s="26">
        <f>SUBTOTAL(104,tbl_Fechas_Refrescado[FIN])</f>
        <v>43231.556620370371</v>
      </c>
      <c r="I5" s="25">
        <f>SUBTOTAL(109,tbl_Fechas_Refrescado[DURACIÓN])</f>
        <v>4.8263888893416151E-3</v>
      </c>
      <c r="J5" s="25"/>
      <c r="K5" s="6">
        <f>SUBTOTAL(104,tbl_Fechas_Refrescado[DIAS PERIODO])</f>
        <v>228</v>
      </c>
      <c r="L5" s="6">
        <f>SUBTOTAL(109,tbl_Fechas_Refrescado[DUPLICADOS])</f>
        <v>0</v>
      </c>
      <c r="M5" s="6">
        <f>SUBTOTAL(109,tbl_Fechas_Refrescado[SKUs Totales])</f>
        <v>143</v>
      </c>
      <c r="N5" s="6">
        <f>SUBTOTAL(109,tbl_Fechas_Refrescado[SKUs Buffer])</f>
        <v>114</v>
      </c>
      <c r="O5" s="23">
        <f>SUBTOTAL(109,tbl_Fechas_Refrescado[COSTO BUFFER])</f>
        <v>1000259</v>
      </c>
      <c r="P5" s="23">
        <f>SUBTOTAL(109,tbl_Fechas_Refrescado[COSTO FISICO])</f>
        <v>340428</v>
      </c>
      <c r="Q5" s="23">
        <f>SUBTOTAL(109,tbl_Fechas_Refrescado[COSTO TRANSITO])</f>
        <v>275717</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272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-1379</v>
      </c>
    </row>
    <row r="4" spans="1:3" x14ac:dyDescent="0.25">
      <c r="A4" s="1" t="s">
        <v>75</v>
      </c>
      <c r="B4" s="16">
        <v>41866</v>
      </c>
      <c r="C4" s="7">
        <f ca="1">Tabla_DIAS_RESTANTES[[#This Row],[FIN PERÍODO]]-TODAY()</f>
        <v>-1365</v>
      </c>
    </row>
    <row r="5" spans="1:3" x14ac:dyDescent="0.25">
      <c r="A5" s="1" t="s">
        <v>77</v>
      </c>
      <c r="B5" s="16">
        <v>41866</v>
      </c>
      <c r="C5" s="7">
        <f ca="1">Tabla_DIAS_RESTANTES[[#This Row],[FIN PERÍODO]]-TODAY()</f>
        <v>-1365</v>
      </c>
    </row>
    <row r="6" spans="1:3" x14ac:dyDescent="0.25">
      <c r="A6" s="1" t="s">
        <v>72</v>
      </c>
      <c r="B6" s="16">
        <v>41873</v>
      </c>
      <c r="C6" s="7">
        <f ca="1">Tabla_DIAS_RESTANTES[[#This Row],[FIN PERÍODO]]-TODAY()</f>
        <v>-1358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253</v>
      </c>
      <c r="R1">
        <v>1</v>
      </c>
    </row>
    <row r="2" spans="1:18" x14ac:dyDescent="0.25">
      <c r="P2" t="s">
        <v>254</v>
      </c>
    </row>
    <row r="3" spans="1:18" x14ac:dyDescent="0.25">
      <c r="P3" t="s">
        <v>255</v>
      </c>
    </row>
    <row r="4" spans="1:18" x14ac:dyDescent="0.25">
      <c r="P4" t="s">
        <v>250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43231.549895833334</v>
      </c>
    </row>
    <row r="2" spans="1:2" x14ac:dyDescent="0.25">
      <c r="A2" t="s">
        <v>66</v>
      </c>
      <c r="B2" s="17">
        <v>43231.556817129633</v>
      </c>
    </row>
    <row r="4" spans="1:2" x14ac:dyDescent="0.25">
      <c r="A4" t="s">
        <v>67</v>
      </c>
      <c r="B4" s="18">
        <f>IF((FINREFRESCADO-INICIOREFRESCADO)&gt;0,FINREFRESCADO-INICIOREFRESCADO,"")</f>
        <v>6.921296298969537E-3</v>
      </c>
    </row>
    <row r="6" spans="1:2" x14ac:dyDescent="0.25">
      <c r="A6" t="s">
        <v>123</v>
      </c>
      <c r="B6" t="s">
        <v>265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254</v>
      </c>
      <c r="B1" t="s">
        <v>264</v>
      </c>
      <c r="C1" t="s">
        <v>250</v>
      </c>
    </row>
    <row r="2" spans="1:3" x14ac:dyDescent="0.25">
      <c r="A2" t="s">
        <v>257</v>
      </c>
      <c r="B2" t="s">
        <v>257</v>
      </c>
      <c r="C2" t="s">
        <v>257</v>
      </c>
    </row>
    <row r="3" spans="1:3" x14ac:dyDescent="0.25">
      <c r="A3" t="s">
        <v>258</v>
      </c>
      <c r="B3" t="s">
        <v>258</v>
      </c>
      <c r="C3" t="s">
        <v>258</v>
      </c>
    </row>
    <row r="4" spans="1:3" x14ac:dyDescent="0.25">
      <c r="A4" t="s">
        <v>259</v>
      </c>
      <c r="B4" t="s">
        <v>259</v>
      </c>
      <c r="C4" t="s">
        <v>259</v>
      </c>
    </row>
    <row r="5" spans="1:3" x14ac:dyDescent="0.25">
      <c r="A5" t="s">
        <v>260</v>
      </c>
      <c r="B5" t="s">
        <v>260</v>
      </c>
      <c r="C5" t="s">
        <v>260</v>
      </c>
    </row>
    <row r="6" spans="1:3" x14ac:dyDescent="0.25">
      <c r="A6" t="s">
        <v>261</v>
      </c>
      <c r="C6" t="s">
        <v>262</v>
      </c>
    </row>
    <row r="7" spans="1:3" x14ac:dyDescent="0.25">
      <c r="A7" t="s">
        <v>262</v>
      </c>
    </row>
    <row r="8" spans="1:3" x14ac:dyDescent="0.25">
      <c r="A8" t="s">
        <v>263</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254</v>
      </c>
      <c r="C2" t="s">
        <v>256</v>
      </c>
    </row>
    <row r="3" spans="1:3" x14ac:dyDescent="0.25">
      <c r="A3" t="s">
        <v>0</v>
      </c>
      <c r="B3" t="s">
        <v>264</v>
      </c>
      <c r="C3" t="s">
        <v>266</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52F07F-81A2-4AD2-BFFC-55938E5EF6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33</vt:i4>
      </vt:variant>
    </vt:vector>
  </HeadingPairs>
  <TitlesOfParts>
    <vt:vector size="48"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2018-05-12T01:06:34Z</dcterms:modified>
</cp:coreProperties>
</file>